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單元" sheetId="2" state="visible" r:id="rId2"/>
    <sheet xmlns:r="http://schemas.openxmlformats.org/officeDocument/2006/relationships" name="表單" sheetId="3" state="visible" r:id="rId3"/>
    <sheet xmlns:r="http://schemas.openxmlformats.org/officeDocument/2006/relationships" name="檢查項目" sheetId="4" state="visible" r:id="rId4"/>
    <sheet xmlns:r="http://schemas.openxmlformats.org/officeDocument/2006/relationships" name="數值欄位" sheetId="5" state="visible" r:id="rId5"/>
    <sheet xmlns:r="http://schemas.openxmlformats.org/officeDocument/2006/relationships" name="可連結表單" sheetId="6" state="visible" r:id="rId6"/>
    <sheet xmlns:r="http://schemas.openxmlformats.org/officeDocument/2006/relationships" name="代碼表" sheetId="7" state="visible" r:id="rId7"/>
  </sheets>
  <definedNames>
    <definedName name="_xlnm._FilterDatabase" localSheetId="1" hidden="1">'單元'!$A$1:$B$1</definedName>
    <definedName name="_xlnm.Print_Titles" localSheetId="1">'單元'!$1:$1</definedName>
    <definedName name="_xlnm._FilterDatabase" localSheetId="2" hidden="1">'表單'!$A$1:$M$300</definedName>
    <definedName name="_xlnm.Print_Titles" localSheetId="2">'表單'!$1:$1</definedName>
    <definedName name="_xlnm._FilterDatabase" localSheetId="3" hidden="1">'檢查項目'!$A$1:$O$300</definedName>
    <definedName name="_xlnm.Print_Titles" localSheetId="3">'檢查項目'!$1:$1</definedName>
    <definedName name="_xlnm._FilterDatabase" localSheetId="4" hidden="1">'數值欄位'!$A$1:$L$300</definedName>
    <definedName name="_xlnm.Print_Titles" localSheetId="4">'數值欄位'!$1:$1</definedName>
    <definedName name="_xlnm._FilterDatabase" localSheetId="5" hidden="1">'可連結表單'!$A$1:$E$1</definedName>
    <definedName name="_xlnm.Print_Titles" localSheetId="5">'可連結表單'!$1:$1</definedName>
    <definedName name="_xlnm.Print_Area" localSheetId="5">'可連結表單'!$A$1:$E$2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0E6E8C"/>
      <sz val="16"/>
    </font>
    <font>
      <name val="Microsoft JhengHei"/>
      <color rgb="00555555"/>
      <sz val="10"/>
    </font>
    <font>
      <name val="Microsoft JhengHei"/>
      <b val="1"/>
      <color rgb="00FFFFFF"/>
      <sz val="11"/>
    </font>
    <font>
      <name val="Microsoft JhengHei"/>
      <b val="1"/>
      <color rgb="00000000"/>
      <sz val="10"/>
    </font>
    <font>
      <name val="Microsoft JhengHei"/>
      <color rgb="00000000"/>
      <sz val="10"/>
    </font>
    <font>
      <name val="Microsoft JhengHei"/>
      <b val="1"/>
      <color rgb="00FFFFFF"/>
      <sz val="10"/>
    </font>
    <font>
      <name val="Microsoft JhengHe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0E6E8C"/>
      </patternFill>
    </fill>
    <fill>
      <patternFill patternType="solid">
        <fgColor rgb="005FA8C0"/>
      </patternFill>
    </fill>
    <fill>
      <patternFill patternType="solid">
        <fgColor rgb="008C8C8C"/>
      </patternFill>
    </fill>
    <fill>
      <patternFill patternType="solid">
        <fgColor rgb="00EEE8F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8D3DA"/>
      </left>
      <right style="thin">
        <color rgb="00C8D3DA"/>
      </right>
      <top style="thin">
        <color rgb="00C8D3DA"/>
      </top>
      <bottom style="thin">
        <color rgb="00C8D3D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系統</author>
  </authors>
  <commentList>
    <comment ref="A1" authorId="0" shapeId="0">
      <text>
        <t>字串，同一分項工程內不可重複。例：P11、BP-01、A區</t>
      </text>
    </comment>
    <comment ref="B1" authorId="0" shapeId="0">
      <text>
        <t>選填，僅供辨識</t>
      </text>
    </comment>
  </commentList>
</comments>
</file>

<file path=xl/comments/comment2.xml><?xml version="1.0" encoding="utf-8"?>
<comments xmlns="http://schemas.openxmlformats.org/spreadsheetml/2006/main">
  <authors>
    <author>系統</author>
  </authors>
  <commentList>
    <comment ref="A1" authorId="0" shapeId="0">
      <text>
        <t>串接鍵值，本檔內不可重複。例：5-5、SP-5</t>
      </text>
    </comment>
    <comment ref="B1" authorId="0" shapeId="0">
      <text>
        <t>例：連續壁施工自主檢查表</t>
      </text>
    </comment>
    <comment ref="C1" authorId="0" shapeId="0">
      <text>
        <t>下拉：自主檢查表／抽查紀錄表</t>
      </text>
    </comment>
    <comment ref="D1" authorId="0" shapeId="0">
      <text>
        <t>留白＝掛在分項工程下；填「P11、P12」＝建在這些單元下（各一張同表號表單）；填「全部」＝單元工作表的所有單元</t>
      </text>
    </comment>
    <comment ref="E1" authorId="0" shapeId="0">
      <text>
        <t>例：CF671-PL-0032 施工計畫書 第5章（p.5-10）</t>
      </text>
    </comment>
    <comment ref="F1" authorId="0" shapeId="0">
      <text>
        <t>僅抽查紀錄表使用：抽查時帶入此自主檢查表作為廠商自檢對照</t>
      </text>
    </comment>
    <comment ref="G1" authorId="0" shapeId="0">
      <text>
        <t>左側清單顯示順序，留白依列順序</t>
      </text>
    </comment>
    <comment ref="H1" authorId="0" shapeId="0">
      <text>
        <t>依填寫順序列出階段，用「、」分隔。留白＝施工前、施工中、施工後。例：挖掘前、挖掘中、挖掘後</t>
      </text>
    </comment>
    <comment ref="I1" authorId="0" shapeId="0">
      <text>
        <t>依適用單元自動展開</t>
      </text>
    </comment>
    <comment ref="J1" authorId="0" shapeId="0">
      <text>
        <t>此表單實際使用的階段</t>
      </text>
    </comment>
    <comment ref="K1" authorId="0" shapeId="0">
      <text>
        <t>單元編號留白的檢查項目數</t>
      </text>
    </comment>
    <comment ref="L1" authorId="0" shapeId="0">
      <text>
        <t>檢查項目＋數值欄位中，有填單元編號的列數</t>
      </text>
    </comment>
    <comment ref="M1" authorId="0" shapeId="0">
      <text>
        <t>自動檢查，同時列出所有問題；⚠＝會被擋下，✓＝沒問題</t>
      </text>
    </comment>
  </commentList>
</comments>
</file>

<file path=xl/comments/comment3.xml><?xml version="1.0" encoding="utf-8"?>
<comments xmlns="http://schemas.openxmlformats.org/spreadsheetml/2006/main">
  <authors>
    <author>系統</author>
  </authors>
  <commentList>
    <comment ref="A1" authorId="0" shapeId="0">
      <text>
        <t>對應「表單」工作表的表號（下拉）</t>
      </text>
    </comment>
    <comment ref="B1" authorId="0" shapeId="0">
      <text>
        <t>留白＝所有適用單元共用；有填＝只套用在該單元（同項次＝覆蓋，新項次＝新增，排除=Y＝不使用）</t>
      </text>
    </comment>
    <comment ref="C1" authorId="0" shapeId="0">
      <text>
        <t>表單內流水號 1、2、3…；同表號＋單元內不可重複</t>
      </text>
    </comment>
    <comment ref="D1" authorId="0" shapeId="0">
      <text>
        <t>須為該表單「階段設定」中的階段（預設 施工前／施工中／施工後）；排除列可留白</t>
      </text>
    </comment>
    <comment ref="E1" authorId="0" shapeId="0">
      <text>
        <t>例：開挖寬度及深度（排除列可留白）</t>
      </text>
    </comment>
    <comment ref="F1" authorId="0" shapeId="0">
      <text>
        <t>可多行（Alt+Enter 換行）</t>
      </text>
    </comment>
    <comment ref="G1" authorId="0" shapeId="0">
      <text>
        <t>下拉：選項／數值／照片／文字／連結表單。數值需到「數值欄位」設定欄位</t>
      </text>
    </comment>
    <comment ref="H1" authorId="0" shapeId="0">
      <text>
        <t>Y／N（預設 N）。Y＝檢驗停留點，需監造會驗放行</t>
      </text>
    </comment>
    <comment ref="I1" authorId="0" shapeId="0">
      <text>
        <t>Y／N（預設 N）</t>
      </text>
    </comment>
    <comment ref="J1" authorId="0" shapeId="0">
      <text>
        <t>需存在於系統「參考文件」，可參考代碼表</t>
      </text>
    </comment>
    <comment ref="K1" authorId="0" shapeId="0">
      <text>
        <t>判定類型＝連結表單時必填：同分項工程的自主檢查表號</t>
      </text>
    </comment>
    <comment ref="L1" authorId="0" shapeId="0">
      <text>
        <t>僅單元列使用：Y＝此單元不使用該共用項次</t>
      </text>
    </comment>
    <comment ref="M1" authorId="0" shapeId="0">
      <text>
        <t>共用／覆蓋／新增／排除</t>
      </text>
    </comment>
    <comment ref="N1" authorId="0" shapeId="0">
      <text>
        <t>此表號＋項次的數值欄位列數</t>
      </text>
    </comment>
    <comment ref="O1" authorId="0" shapeId="0">
      <text>
        <t>自動檢查，同時列出所有問題；⚠＝會被擋下，✓＝沒問題</t>
      </text>
    </comment>
  </commentList>
</comments>
</file>

<file path=xl/comments/comment4.xml><?xml version="1.0" encoding="utf-8"?>
<comments xmlns="http://schemas.openxmlformats.org/spreadsheetml/2006/main">
  <authors>
    <author>系統</author>
  </authors>
  <commentList>
    <comment ref="A1" authorId="0" shapeId="0">
      <text>
        <t>對應檢查項目的表號</t>
      </text>
    </comment>
    <comment ref="B1" authorId="0" shapeId="0">
      <text>
        <t>留白＝共用；有填＝只套用在該單元（同欄位名稱＝覆蓋上下限，新名稱＝新增，排除=Y＝不使用）</t>
      </text>
    </comment>
    <comment ref="C1" authorId="0" shapeId="0">
      <text>
        <t>對應檢查項目的項次（該項判定類型需為「數值」）</t>
      </text>
    </comment>
    <comment ref="D1" authorId="0" shapeId="0">
      <text>
        <t>現場要填的量測值名稱，例：寬度、坍度</t>
      </text>
    </comment>
    <comment ref="E1" authorId="0" shapeId="0">
      <text>
        <t>例：cm、m、kgf/cm²、°C</t>
      </text>
    </comment>
    <comment ref="F1" authorId="0" shapeId="0">
      <text>
        <t>數字。實測值 &lt; 下限 → 建議判定 ╳。留白＝不檢查下限</t>
      </text>
    </comment>
    <comment ref="G1" authorId="0" shapeId="0">
      <text>
        <t>數字。實測值 &gt; 上限 → 建議判定 ╳。留白＝不檢查上限</t>
      </text>
    </comment>
    <comment ref="H1" authorId="0" shapeId="0">
      <text>
        <t>僅單元列使用：Y＝此單元不使用該共用欄位</t>
      </text>
    </comment>
    <comment ref="I1" authorId="0" shapeId="0">
      <text>
        <t>依表號＋項次自動帶出</t>
      </text>
    </comment>
    <comment ref="J1" authorId="0" shapeId="0">
      <text>
        <t>共用／覆蓋／新增／排除</t>
      </text>
    </comment>
    <comment ref="K1" authorId="0" shapeId="0">
      <text>
        <t>依上下限自動組成，與現場顯示一致</t>
      </text>
    </comment>
    <comment ref="L1" authorId="0" shapeId="0">
      <text>
        <t>自動檢查，同時列出所有問題；⚠＝會被擋下，✓＝沒問題</t>
      </text>
    </comment>
  </commentList>
</comments>
</file>

<file path=xl/comments/comment5.xml><?xml version="1.0" encoding="utf-8"?>
<comments xmlns="http://schemas.openxmlformats.org/spreadsheetml/2006/main">
  <authors>
    <author>系統</author>
  </authors>
  <commentList>
    <comment ref="A1" authorId="0" shapeId="0">
      <text>
        <t>自動產生：本分項工程系統現有的自主檢查表＋本檔「表單」工作表的自主檢查表</t>
      </text>
    </comment>
    <comment ref="B1" authorId="0" shapeId="0">
      <text>
        <t>本檔有的以本檔為準</t>
      </text>
    </comment>
    <comment ref="C1" authorId="0" shapeId="0">
      <text>
        <t>此表號建在哪些單元下（本檔有的取「表單」的適用單元）</t>
      </text>
    </comment>
    <comment ref="D1" authorId="0" shapeId="0">
      <text>
        <t>線上表單／空白範本 PDF（PDF 表單也可被連結）</t>
      </text>
    </comment>
    <comment ref="E1" authorId="0" shapeId="0">
      <text>
        <t>本檔＝本檔「表單」工作表有這張表；系統＝系統現有、本檔沒有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2" ht="28" customHeight="1">
      <c r="B2" s="1" t="inlineStr">
        <is>
          <t>表單匯出檔（可修改後匯入）</t>
        </is>
      </c>
    </row>
    <row r="3" ht="30" customHeight="1">
      <c r="B3" s="2" t="inlineStr">
        <is>
          <t>本檔由系統「匯出 Excel」產生，欄位、檢查欄與規則和「分項工程表單匯入範本」完全相同。修改後可用表單範本的「匯入檢查項目」或「匯入此分項全部表單」匯入。</t>
        </is>
      </c>
    </row>
    <row r="5" ht="20" customHeight="1">
      <c r="B5" s="3" t="inlineStr">
        <is>
          <t>工作表說明</t>
        </is>
      </c>
      <c r="C5" s="4" t="n"/>
    </row>
    <row r="6">
      <c r="B6" s="5" t="inlineStr">
        <is>
          <t>單元</t>
        </is>
      </c>
      <c r="C6" s="6" t="inlineStr">
        <is>
          <t>選填。此分項工程的單元編號；沒有單元可整張留白。</t>
        </is>
      </c>
    </row>
    <row r="7">
      <c r="B7" s="5" t="inlineStr">
        <is>
          <t>表單</t>
        </is>
      </c>
      <c r="C7" s="6" t="inlineStr">
        <is>
          <t>每一列＝一張表單的基本資料，「表號」是串接其他工作表的鍵值。「適用單元」決定這張表單要建在哪些單元下。</t>
        </is>
      </c>
    </row>
    <row r="8">
      <c r="B8" s="5" t="inlineStr">
        <is>
          <t>檢查項目</t>
        </is>
      </c>
      <c r="C8" s="6" t="inlineStr">
        <is>
          <t>每一列＝一個檢查項目。單元編號留白＝所有適用單元共用；有填＝只套用在該單元（覆蓋／新增／排除）。</t>
        </is>
      </c>
    </row>
    <row r="9">
      <c r="B9" s="5" t="inlineStr">
        <is>
          <t>數值欄位</t>
        </is>
      </c>
      <c r="C9" s="6" t="inlineStr">
        <is>
          <t>判定類型為「數值」的項目要量測的欄位與檢核條件（下限／上限），規則同上，可依單元設定不同上下限。</t>
        </is>
      </c>
    </row>
    <row r="10">
      <c r="B10" s="5" t="inlineStr">
        <is>
          <t>可連結表單</t>
        </is>
      </c>
      <c r="C10" s="6" t="inlineStr">
        <is>
          <t>自動列出可連結的自主檢查表＝本檔「表單」工作表的自主檢查表＋系統現有的自主檢查表（含空白範本 PDF）；本檔有的以本檔內容為準，「來源」欄標示本檔／系統。「連結表號」「配對自主檢查表號」的下拉選單從這裡選，請勿修改。</t>
        </is>
      </c>
    </row>
    <row r="11">
      <c r="B11" s="5" t="inlineStr">
        <is>
          <t>代碼表</t>
        </is>
      </c>
      <c r="C11" s="6" t="inlineStr">
        <is>
          <t>下拉選單的選項來源與預設階段，請勿修改。</t>
        </is>
      </c>
    </row>
    <row r="13" ht="20" customHeight="1">
      <c r="B13" s="3" t="inlineStr">
        <is>
          <t>表單的「適用單元」</t>
        </is>
      </c>
      <c r="C13" s="4" t="n"/>
    </row>
    <row r="14">
      <c r="B14" s="5" t="inlineStr">
        <is>
          <t>留白</t>
        </is>
      </c>
      <c r="C14" s="6" t="inlineStr">
        <is>
          <t>表單掛在分項工程下（標案 → 分項工程 → 表單）。</t>
        </is>
      </c>
    </row>
    <row r="15">
      <c r="B15" s="5" t="inlineStr">
        <is>
          <t>P11、P12</t>
        </is>
      </c>
      <c r="C15" s="6" t="inlineStr">
        <is>
          <t>列出單元編號（用「、」或「,」分隔），系統會在每個單元下各建一張同表號的表單（標案 → 分項工程 → 單元 → 表單）。</t>
        </is>
      </c>
    </row>
    <row r="16">
      <c r="B16" s="5" t="inlineStr">
        <is>
          <t>全部</t>
        </is>
      </c>
      <c r="C16" s="6" t="inlineStr">
        <is>
          <t>套用到「單元」工作表的所有單元。</t>
        </is>
      </c>
    </row>
    <row r="18" ht="20" customHeight="1">
      <c r="B18" s="3" t="inlineStr">
        <is>
          <t>表單的「階段設定」</t>
        </is>
      </c>
      <c r="C18" s="4" t="n"/>
    </row>
    <row r="19">
      <c r="B19" s="5" t="inlineStr">
        <is>
          <t>留白</t>
        </is>
      </c>
      <c r="C19" s="6" t="inlineStr">
        <is>
          <t>使用預設階段：施工前、施工中、施工後。</t>
        </is>
      </c>
    </row>
    <row r="20">
      <c r="B20" s="5" t="inlineStr">
        <is>
          <t>自訂</t>
        </is>
      </c>
      <c r="C20" s="6" t="inlineStr">
        <is>
          <t>依填寫順序列出，用「、」分隔，例：挖掘前、挖掘中、挖掘後；階段數可多可少。現場依此順序分頁籤，前一階段完成才能填下一階段。</t>
        </is>
      </c>
    </row>
    <row r="21">
      <c r="B21" s="6" t="inlineStr">
        <is>
          <t>檢查項目的「階段」必須是該表單階段設定中的名稱（灰底「階段（展開）」欄會列出可用的階段）。</t>
        </is>
      </c>
    </row>
    <row r="23" ht="20" customHeight="1">
      <c r="B23" s="3" t="inlineStr">
        <is>
          <t>同一張表單、不同單元有差異時（共用＋單元覆蓋）</t>
        </is>
      </c>
      <c r="C23" s="4" t="n"/>
    </row>
    <row r="24">
      <c r="B24" s="6" t="inlineStr">
        <is>
          <t>先把所有單元都一樣的內容寫成「共用列」（單元編號留白），只有不一樣的地方再寫一列「單元列」（填單元編號，淡紫底）：</t>
        </is>
      </c>
    </row>
    <row r="25">
      <c r="B25" s="5" t="inlineStr">
        <is>
          <t>覆蓋</t>
        </is>
      </c>
      <c r="C25" s="6" t="inlineStr">
        <is>
          <t>單元列的 表號＋項次 和共用列相同 → 該單元改用單元列的內容（數值欄位以 表號＋項次＋欄位名稱 比對）。</t>
        </is>
      </c>
    </row>
    <row r="26">
      <c r="B26" s="5" t="inlineStr">
        <is>
          <t>新增</t>
        </is>
      </c>
      <c r="C26" s="6" t="inlineStr">
        <is>
          <t>單元列的項次在共用列沒有 → 該單元多一個專屬項目。</t>
        </is>
      </c>
    </row>
    <row r="27">
      <c r="B27" s="5" t="inlineStr">
        <is>
          <t>排除</t>
        </is>
      </c>
      <c r="C27" s="6" t="inlineStr">
        <is>
          <t>單元列的「排除」填 Y → 該單元不使用這個共用項目／欄位（其餘欄位可留白）。</t>
        </is>
      </c>
    </row>
    <row r="28">
      <c r="B28" s="6" t="inlineStr">
        <is>
          <t>例：表5-5 適用全部單元；P12 為公單元，排除第 13 項「端鈑外回填碎石」並新增第 17 項；P11 的鋼筋籠頂高程上下限與共用值不同。</t>
        </is>
      </c>
    </row>
    <row r="30" ht="20" customHeight="1">
      <c r="B30" s="3" t="inlineStr">
        <is>
          <t>欄位顏色</t>
        </is>
      </c>
      <c r="C30" s="4" t="n"/>
    </row>
    <row r="31">
      <c r="B31" s="7" t="n"/>
      <c r="C31" s="8" t="inlineStr">
        <is>
          <t>必填欄位（標題有 *）</t>
        </is>
      </c>
    </row>
    <row r="32">
      <c r="B32" s="9" t="n"/>
      <c r="C32" s="8" t="inlineStr">
        <is>
          <t>選填欄位</t>
        </is>
      </c>
    </row>
    <row r="33">
      <c r="B33" s="10" t="n"/>
      <c r="C33" s="8" t="inlineStr">
        <is>
          <t>自動帶出／檢查欄位（灰底公式，不用填，匯入時忽略）</t>
        </is>
      </c>
    </row>
    <row r="34">
      <c r="B34" s="11" t="n"/>
      <c r="C34" s="8" t="inlineStr">
        <is>
          <t>淡紫底＝單元列（只套用在該單元的覆蓋／新增／排除）</t>
        </is>
      </c>
    </row>
    <row r="35">
      <c r="B35" s="6" t="inlineStr">
        <is>
          <t>滑鼠移到欄位標題上可看到每個欄位的填寫說明。「檢查」欄出現 ⚠ 表示匯入時會被擋下，✓ 表示沒問題。</t>
        </is>
      </c>
    </row>
    <row r="37" ht="20" customHeight="1">
      <c r="B37" s="3" t="inlineStr">
        <is>
          <t>匯入規則</t>
        </is>
      </c>
      <c r="C37" s="4" t="n"/>
    </row>
    <row r="38">
      <c r="B38" s="6" t="inlineStr">
        <is>
          <t>1. 單元編號在同一分項工程內不可重複（大小寫視為相同）；本檔的單元會加到系統，已存在的略過。</t>
        </is>
      </c>
    </row>
    <row r="39">
      <c r="B39" s="6" t="inlineStr">
        <is>
          <t>2. 表號在本檔內不可重複；同一表號可透過「適用單元」建在多個單元下。</t>
        </is>
      </c>
    </row>
    <row r="40">
      <c r="B40" s="6" t="inlineStr">
        <is>
          <t>3. 系統已有相同表號（同分項工程、同單元）時：更新該表單；若已有填寫紀錄，另存新版本，舊紀錄保留原內容。</t>
        </is>
      </c>
    </row>
    <row r="41">
      <c r="B41" s="6" t="inlineStr">
        <is>
          <t>4. 表單的適用單元必須存在於「單元」工作表或系統已設定的單元。</t>
        </is>
      </c>
    </row>
    <row r="42">
      <c r="B42" s="6" t="inlineStr">
        <is>
          <t>5. 檢查項目：同一表號＋單元＋項次不可重複；單元列的單元必須在該表單的適用單元內；排除列必須有對應的共用項次。</t>
        </is>
      </c>
    </row>
    <row r="43">
      <c r="B43" s="6" t="inlineStr">
        <is>
          <t>6. 判定類型＝數值：至少要有 1 筆數值欄位；下限、上限需為數字且下限 ≤ 上限，可留白（留白＝只記錄、不檢核）。</t>
        </is>
      </c>
    </row>
    <row r="44">
      <c r="B44" s="6" t="inlineStr">
        <is>
          <t>7. 判定類型＝連結表單：連結表號必填，須為「可連結表單」工作表中的表號（本分項系統已有的自主檢查表，含空白範本 PDF，或本檔新增的自主檢查表）。</t>
        </is>
      </c>
    </row>
    <row r="45">
      <c r="B45" s="6" t="inlineStr">
        <is>
          <t>8. 引用文件編號若有填，必須存在於系統「參考文件」。</t>
        </is>
      </c>
    </row>
    <row r="46">
      <c r="B46" s="6" t="inlineStr">
        <is>
          <t>9. 抽查紀錄表的「配對自主檢查表號」若有填，須為本檔或系統已有的自主檢查表。</t>
        </is>
      </c>
    </row>
    <row r="47">
      <c r="B47" s="6" t="inlineStr">
        <is>
          <t>10. 有錯誤的表單整張不匯入（含其檢查項目與欄位），並在匯入預覽列出原因；匯入預覽會顯示每個單元展開後的實際項目。</t>
        </is>
      </c>
    </row>
  </sheetData>
  <mergeCells count="15">
    <mergeCell ref="B39:C39"/>
    <mergeCell ref="B24:C24"/>
    <mergeCell ref="B21:C21"/>
    <mergeCell ref="B38:C38"/>
    <mergeCell ref="B44:C44"/>
    <mergeCell ref="B47:C47"/>
    <mergeCell ref="B3:C3"/>
    <mergeCell ref="B28:C28"/>
    <mergeCell ref="B42:C42"/>
    <mergeCell ref="B45:C45"/>
    <mergeCell ref="B46:C46"/>
    <mergeCell ref="B40:C40"/>
    <mergeCell ref="B41:C41"/>
    <mergeCell ref="B35:C35"/>
    <mergeCell ref="B43:C43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B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 ht="32" customHeight="1">
      <c r="A1" s="12" t="inlineStr">
        <is>
          <t>單元編號 *</t>
        </is>
      </c>
      <c r="B1" s="13" t="inlineStr">
        <is>
          <t>說明</t>
        </is>
      </c>
    </row>
  </sheetData>
  <autoFilter ref="A1:B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M300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36" customWidth="1" min="5" max="5"/>
    <col width="14" customWidth="1" min="6" max="6"/>
    <col width="6" customWidth="1" min="7" max="7"/>
    <col width="22" customWidth="1" min="8" max="8"/>
    <col width="18" customWidth="1" min="9" max="9"/>
    <col width="22" customWidth="1" min="10" max="10"/>
    <col width="9" customWidth="1" min="11" max="11"/>
    <col width="9" customWidth="1" min="12" max="12"/>
    <col width="24" customWidth="1" min="13" max="13"/>
  </cols>
  <sheetData>
    <row r="1" ht="32" customHeight="1">
      <c r="A1" s="12" t="inlineStr">
        <is>
          <t>表號 *</t>
        </is>
      </c>
      <c r="B1" s="12" t="inlineStr">
        <is>
          <t>表單名稱 *</t>
        </is>
      </c>
      <c r="C1" s="12" t="inlineStr">
        <is>
          <t>表單類型 *</t>
        </is>
      </c>
      <c r="D1" s="13" t="inlineStr">
        <is>
          <t>適用單元</t>
        </is>
      </c>
      <c r="E1" s="13" t="inlineStr">
        <is>
          <t>來源依據</t>
        </is>
      </c>
      <c r="F1" s="13" t="inlineStr">
        <is>
          <t>配對自主檢查表號</t>
        </is>
      </c>
      <c r="G1" s="13" t="inlineStr">
        <is>
          <t>排序</t>
        </is>
      </c>
      <c r="H1" s="13" t="inlineStr">
        <is>
          <t>階段設定</t>
        </is>
      </c>
      <c r="I1" s="14" t="inlineStr">
        <is>
          <t>建立位置（展開）</t>
        </is>
      </c>
      <c r="J1" s="14" t="inlineStr">
        <is>
          <t>階段（展開）</t>
        </is>
      </c>
      <c r="K1" s="14" t="inlineStr">
        <is>
          <t>共用項目數</t>
        </is>
      </c>
      <c r="L1" s="14" t="inlineStr">
        <is>
          <t>單元差異列數</t>
        </is>
      </c>
      <c r="M1" s="14" t="inlineStr">
        <is>
          <t>檢查</t>
        </is>
      </c>
    </row>
    <row r="2">
      <c r="I2" s="2">
        <f>IF(A2="","",IF(TRIM(D2)="","（分項工程層）",IF(TRIM(D2)="全部",_xlfn.TEXTJOIN("、",TRUE,單元!$A$2:$A$500),SUBSTITUTE(SUBSTITUTE(SUBSTITUTE(TRIM(D2),"，","、"),",","、")," ",""))))</f>
        <v/>
      </c>
      <c r="J2" s="2">
        <f>IF(A2="","",IF(TRIM(H2)="","施工前、施工中、施工後",SUBSTITUTE(SUBSTITUTE(SUBSTITUTE(TRIM(H2),"，","、"),",","、")," ","")))</f>
        <v/>
      </c>
      <c r="K2" s="2">
        <f>IF(A2="","",SUMPRODUCT((檢查項目!$A$2:$A$500=A2)*(檢查項目!$B$2:$B$500="")))</f>
        <v/>
      </c>
      <c r="L2" s="2">
        <f>IF(A2="","",SUMPRODUCT((檢查項目!$A$2:$A$500=A2)*(檢查項目!$B$2:$B$500&lt;&gt;""))+SUMPRODUCT((數值欄位!$A$2:$A$500=A2)*(數值欄位!$B$2:$B$500&lt;&gt;"")))</f>
        <v/>
      </c>
      <c r="M2" s="2">
        <f>IF(A2="","",IF(TRIM(IF(COUNTIF($A$2:$A$500,A2)&gt;1,"⚠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",""))="","✓",TRIM(IF(COUNTIF($A$2:$A$500,A2)&gt;1,"⚠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",""))))</f>
        <v/>
      </c>
    </row>
    <row r="3">
      <c r="I3" s="2">
        <f>IF(A3="","",IF(TRIM(D3)="","（分項工程層）",IF(TRIM(D3)="全部",_xlfn.TEXTJOIN("、",TRUE,單元!$A$2:$A$500),SUBSTITUTE(SUBSTITUTE(SUBSTITUTE(TRIM(D3),"，","、"),",","、")," ",""))))</f>
        <v/>
      </c>
      <c r="J3" s="2">
        <f>IF(A3="","",IF(TRIM(H3)="","施工前、施工中、施工後",SUBSTITUTE(SUBSTITUTE(SUBSTITUTE(TRIM(H3),"，","、"),",","、")," ","")))</f>
        <v/>
      </c>
      <c r="K3" s="2">
        <f>IF(A3="","",SUMPRODUCT((檢查項目!$A$2:$A$500=A3)*(檢查項目!$B$2:$B$500="")))</f>
        <v/>
      </c>
      <c r="L3" s="2">
        <f>IF(A3="","",SUMPRODUCT((檢查項目!$A$2:$A$500=A3)*(檢查項目!$B$2:$B$500&lt;&gt;""))+SUMPRODUCT((數值欄位!$A$2:$A$500=A3)*(數值欄位!$B$2:$B$500&lt;&gt;"")))</f>
        <v/>
      </c>
      <c r="M3" s="2">
        <f>IF(A3="","",IF(TRIM(IF(COUNTIF($A$2:$A$500,A3)&gt;1,"⚠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",""))="","✓",TRIM(IF(COUNTIF($A$2:$A$500,A3)&gt;1,"⚠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",""))))</f>
        <v/>
      </c>
    </row>
    <row r="4">
      <c r="I4" s="2">
        <f>IF(A4="","",IF(TRIM(D4)="","（分項工程層）",IF(TRIM(D4)="全部",_xlfn.TEXTJOIN("、",TRUE,單元!$A$2:$A$500),SUBSTITUTE(SUBSTITUTE(SUBSTITUTE(TRIM(D4),"，","、"),",","、")," ",""))))</f>
        <v/>
      </c>
      <c r="J4" s="2">
        <f>IF(A4="","",IF(TRIM(H4)="","施工前、施工中、施工後",SUBSTITUTE(SUBSTITUTE(SUBSTITUTE(TRIM(H4),"，","、"),",","、")," ","")))</f>
        <v/>
      </c>
      <c r="K4" s="2">
        <f>IF(A4="","",SUMPRODUCT((檢查項目!$A$2:$A$500=A4)*(檢查項目!$B$2:$B$500="")))</f>
        <v/>
      </c>
      <c r="L4" s="2">
        <f>IF(A4="","",SUMPRODUCT((檢查項目!$A$2:$A$500=A4)*(檢查項目!$B$2:$B$500&lt;&gt;""))+SUMPRODUCT((數值欄位!$A$2:$A$500=A4)*(數值欄位!$B$2:$B$500&lt;&gt;"")))</f>
        <v/>
      </c>
      <c r="M4" s="2">
        <f>IF(A4="","",IF(TRIM(IF(COUNTIF($A$2:$A$500,A4)&gt;1,"⚠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",""))="","✓",TRIM(IF(COUNTIF($A$2:$A$500,A4)&gt;1,"⚠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",""))))</f>
        <v/>
      </c>
    </row>
    <row r="5">
      <c r="I5" s="2">
        <f>IF(A5="","",IF(TRIM(D5)="","（分項工程層）",IF(TRIM(D5)="全部",_xlfn.TEXTJOIN("、",TRUE,單元!$A$2:$A$500),SUBSTITUTE(SUBSTITUTE(SUBSTITUTE(TRIM(D5),"，","、"),",","、")," ",""))))</f>
        <v/>
      </c>
      <c r="J5" s="2">
        <f>IF(A5="","",IF(TRIM(H5)="","施工前、施工中、施工後",SUBSTITUTE(SUBSTITUTE(SUBSTITUTE(TRIM(H5),"，","、"),",","、")," ","")))</f>
        <v/>
      </c>
      <c r="K5" s="2">
        <f>IF(A5="","",SUMPRODUCT((檢查項目!$A$2:$A$500=A5)*(檢查項目!$B$2:$B$500="")))</f>
        <v/>
      </c>
      <c r="L5" s="2">
        <f>IF(A5="","",SUMPRODUCT((檢查項目!$A$2:$A$500=A5)*(檢查項目!$B$2:$B$500&lt;&gt;""))+SUMPRODUCT((數值欄位!$A$2:$A$500=A5)*(數值欄位!$B$2:$B$500&lt;&gt;"")))</f>
        <v/>
      </c>
      <c r="M5" s="2">
        <f>IF(A5="","",IF(TRIM(IF(COUNTIF($A$2:$A$500,A5)&gt;1,"⚠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",""))="","✓",TRIM(IF(COUNTIF($A$2:$A$500,A5)&gt;1,"⚠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",""))))</f>
        <v/>
      </c>
    </row>
    <row r="6">
      <c r="I6" s="2">
        <f>IF(A6="","",IF(TRIM(D6)="","（分項工程層）",IF(TRIM(D6)="全部",_xlfn.TEXTJOIN("、",TRUE,單元!$A$2:$A$500),SUBSTITUTE(SUBSTITUTE(SUBSTITUTE(TRIM(D6),"，","、"),",","、")," ",""))))</f>
        <v/>
      </c>
      <c r="J6" s="2">
        <f>IF(A6="","",IF(TRIM(H6)="","施工前、施工中、施工後",SUBSTITUTE(SUBSTITUTE(SUBSTITUTE(TRIM(H6),"，","、"),",","、")," ","")))</f>
        <v/>
      </c>
      <c r="K6" s="2">
        <f>IF(A6="","",SUMPRODUCT((檢查項目!$A$2:$A$500=A6)*(檢查項目!$B$2:$B$500="")))</f>
        <v/>
      </c>
      <c r="L6" s="2">
        <f>IF(A6="","",SUMPRODUCT((檢查項目!$A$2:$A$500=A6)*(檢查項目!$B$2:$B$500&lt;&gt;""))+SUMPRODUCT((數值欄位!$A$2:$A$500=A6)*(數值欄位!$B$2:$B$500&lt;&gt;"")))</f>
        <v/>
      </c>
      <c r="M6" s="2">
        <f>IF(A6="","",IF(TRIM(IF(COUNTIF($A$2:$A$500,A6)&gt;1,"⚠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",""))="","✓",TRIM(IF(COUNTIF($A$2:$A$500,A6)&gt;1,"⚠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",""))))</f>
        <v/>
      </c>
    </row>
    <row r="7">
      <c r="I7" s="2">
        <f>IF(A7="","",IF(TRIM(D7)="","（分項工程層）",IF(TRIM(D7)="全部",_xlfn.TEXTJOIN("、",TRUE,單元!$A$2:$A$500),SUBSTITUTE(SUBSTITUTE(SUBSTITUTE(TRIM(D7),"，","、"),",","、")," ",""))))</f>
        <v/>
      </c>
      <c r="J7" s="2">
        <f>IF(A7="","",IF(TRIM(H7)="","施工前、施工中、施工後",SUBSTITUTE(SUBSTITUTE(SUBSTITUTE(TRIM(H7),"，","、"),",","、")," ","")))</f>
        <v/>
      </c>
      <c r="K7" s="2">
        <f>IF(A7="","",SUMPRODUCT((檢查項目!$A$2:$A$500=A7)*(檢查項目!$B$2:$B$500="")))</f>
        <v/>
      </c>
      <c r="L7" s="2">
        <f>IF(A7="","",SUMPRODUCT((檢查項目!$A$2:$A$500=A7)*(檢查項目!$B$2:$B$500&lt;&gt;""))+SUMPRODUCT((數值欄位!$A$2:$A$500=A7)*(數值欄位!$B$2:$B$500&lt;&gt;"")))</f>
        <v/>
      </c>
      <c r="M7" s="2">
        <f>IF(A7="","",IF(TRIM(IF(COUNTIF($A$2:$A$500,A7)&gt;1,"⚠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",""))="","✓",TRIM(IF(COUNTIF($A$2:$A$500,A7)&gt;1,"⚠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",""))))</f>
        <v/>
      </c>
    </row>
    <row r="8">
      <c r="I8" s="2">
        <f>IF(A8="","",IF(TRIM(D8)="","（分項工程層）",IF(TRIM(D8)="全部",_xlfn.TEXTJOIN("、",TRUE,單元!$A$2:$A$500),SUBSTITUTE(SUBSTITUTE(SUBSTITUTE(TRIM(D8),"，","、"),",","、")," ",""))))</f>
        <v/>
      </c>
      <c r="J8" s="2">
        <f>IF(A8="","",IF(TRIM(H8)="","施工前、施工中、施工後",SUBSTITUTE(SUBSTITUTE(SUBSTITUTE(TRIM(H8),"，","、"),",","、")," ","")))</f>
        <v/>
      </c>
      <c r="K8" s="2">
        <f>IF(A8="","",SUMPRODUCT((檢查項目!$A$2:$A$500=A8)*(檢查項目!$B$2:$B$500="")))</f>
        <v/>
      </c>
      <c r="L8" s="2">
        <f>IF(A8="","",SUMPRODUCT((檢查項目!$A$2:$A$500=A8)*(檢查項目!$B$2:$B$500&lt;&gt;""))+SUMPRODUCT((數值欄位!$A$2:$A$500=A8)*(數值欄位!$B$2:$B$500&lt;&gt;"")))</f>
        <v/>
      </c>
      <c r="M8" s="2">
        <f>IF(A8="","",IF(TRIM(IF(COUNTIF($A$2:$A$500,A8)&gt;1,"⚠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",""))="","✓",TRIM(IF(COUNTIF($A$2:$A$500,A8)&gt;1,"⚠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",""))))</f>
        <v/>
      </c>
    </row>
    <row r="9">
      <c r="I9" s="2">
        <f>IF(A9="","",IF(TRIM(D9)="","（分項工程層）",IF(TRIM(D9)="全部",_xlfn.TEXTJOIN("、",TRUE,單元!$A$2:$A$500),SUBSTITUTE(SUBSTITUTE(SUBSTITUTE(TRIM(D9),"，","、"),",","、")," ",""))))</f>
        <v/>
      </c>
      <c r="J9" s="2">
        <f>IF(A9="","",IF(TRIM(H9)="","施工前、施工中、施工後",SUBSTITUTE(SUBSTITUTE(SUBSTITUTE(TRIM(H9),"，","、"),",","、")," ","")))</f>
        <v/>
      </c>
      <c r="K9" s="2">
        <f>IF(A9="","",SUMPRODUCT((檢查項目!$A$2:$A$500=A9)*(檢查項目!$B$2:$B$500="")))</f>
        <v/>
      </c>
      <c r="L9" s="2">
        <f>IF(A9="","",SUMPRODUCT((檢查項目!$A$2:$A$500=A9)*(檢查項目!$B$2:$B$500&lt;&gt;""))+SUMPRODUCT((數值欄位!$A$2:$A$500=A9)*(數值欄位!$B$2:$B$500&lt;&gt;"")))</f>
        <v/>
      </c>
      <c r="M9" s="2">
        <f>IF(A9="","",IF(TRIM(IF(COUNTIF($A$2:$A$500,A9)&gt;1,"⚠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",""))="","✓",TRIM(IF(COUNTIF($A$2:$A$500,A9)&gt;1,"⚠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",""))))</f>
        <v/>
      </c>
    </row>
    <row r="10">
      <c r="I10" s="2">
        <f>IF(A10="","",IF(TRIM(D10)="","（分項工程層）",IF(TRIM(D10)="全部",_xlfn.TEXTJOIN("、",TRUE,單元!$A$2:$A$500),SUBSTITUTE(SUBSTITUTE(SUBSTITUTE(TRIM(D10),"，","、"),",","、")," ",""))))</f>
        <v/>
      </c>
      <c r="J10" s="2">
        <f>IF(A10="","",IF(TRIM(H10)="","施工前、施工中、施工後",SUBSTITUTE(SUBSTITUTE(SUBSTITUTE(TRIM(H10),"，","、"),",","、")," ","")))</f>
        <v/>
      </c>
      <c r="K10" s="2">
        <f>IF(A10="","",SUMPRODUCT((檢查項目!$A$2:$A$500=A10)*(檢查項目!$B$2:$B$500="")))</f>
        <v/>
      </c>
      <c r="L10" s="2">
        <f>IF(A10="","",SUMPRODUCT((檢查項目!$A$2:$A$500=A10)*(檢查項目!$B$2:$B$500&lt;&gt;""))+SUMPRODUCT((數值欄位!$A$2:$A$500=A10)*(數值欄位!$B$2:$B$500&lt;&gt;"")))</f>
        <v/>
      </c>
      <c r="M10" s="2">
        <f>IF(A10="","",IF(TRIM(IF(COUNTIF($A$2:$A$500,A10)&gt;1,"⚠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",""))="","✓",TRIM(IF(COUNTIF($A$2:$A$500,A10)&gt;1,"⚠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",""))))</f>
        <v/>
      </c>
    </row>
    <row r="11">
      <c r="I11" s="2">
        <f>IF(A11="","",IF(TRIM(D11)="","（分項工程層）",IF(TRIM(D11)="全部",_xlfn.TEXTJOIN("、",TRUE,單元!$A$2:$A$500),SUBSTITUTE(SUBSTITUTE(SUBSTITUTE(TRIM(D11),"，","、"),",","、")," ",""))))</f>
        <v/>
      </c>
      <c r="J11" s="2">
        <f>IF(A11="","",IF(TRIM(H11)="","施工前、施工中、施工後",SUBSTITUTE(SUBSTITUTE(SUBSTITUTE(TRIM(H11),"，","、"),",","、")," ","")))</f>
        <v/>
      </c>
      <c r="K11" s="2">
        <f>IF(A11="","",SUMPRODUCT((檢查項目!$A$2:$A$500=A11)*(檢查項目!$B$2:$B$500="")))</f>
        <v/>
      </c>
      <c r="L11" s="2">
        <f>IF(A11="","",SUMPRODUCT((檢查項目!$A$2:$A$500=A11)*(檢查項目!$B$2:$B$500&lt;&gt;""))+SUMPRODUCT((數值欄位!$A$2:$A$500=A11)*(數值欄位!$B$2:$B$500&lt;&gt;"")))</f>
        <v/>
      </c>
      <c r="M11" s="2">
        <f>IF(A11="","",IF(TRIM(IF(COUNTIF($A$2:$A$500,A11)&gt;1,"⚠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",""))="","✓",TRIM(IF(COUNTIF($A$2:$A$500,A11)&gt;1,"⚠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",""))))</f>
        <v/>
      </c>
    </row>
    <row r="12">
      <c r="I12" s="2">
        <f>IF(A12="","",IF(TRIM(D12)="","（分項工程層）",IF(TRIM(D12)="全部",_xlfn.TEXTJOIN("、",TRUE,單元!$A$2:$A$500),SUBSTITUTE(SUBSTITUTE(SUBSTITUTE(TRIM(D12),"，","、"),",","、")," ",""))))</f>
        <v/>
      </c>
      <c r="J12" s="2">
        <f>IF(A12="","",IF(TRIM(H12)="","施工前、施工中、施工後",SUBSTITUTE(SUBSTITUTE(SUBSTITUTE(TRIM(H12),"，","、"),",","、")," ","")))</f>
        <v/>
      </c>
      <c r="K12" s="2">
        <f>IF(A12="","",SUMPRODUCT((檢查項目!$A$2:$A$500=A12)*(檢查項目!$B$2:$B$500="")))</f>
        <v/>
      </c>
      <c r="L12" s="2">
        <f>IF(A12="","",SUMPRODUCT((檢查項目!$A$2:$A$500=A12)*(檢查項目!$B$2:$B$500&lt;&gt;""))+SUMPRODUCT((數值欄位!$A$2:$A$500=A12)*(數值欄位!$B$2:$B$500&lt;&gt;"")))</f>
        <v/>
      </c>
      <c r="M12" s="2">
        <f>IF(A12="","",IF(TRIM(IF(COUNTIF($A$2:$A$500,A12)&gt;1,"⚠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",""))="","✓",TRIM(IF(COUNTIF($A$2:$A$500,A12)&gt;1,"⚠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",""))))</f>
        <v/>
      </c>
    </row>
    <row r="13">
      <c r="I13" s="2">
        <f>IF(A13="","",IF(TRIM(D13)="","（分項工程層）",IF(TRIM(D13)="全部",_xlfn.TEXTJOIN("、",TRUE,單元!$A$2:$A$500),SUBSTITUTE(SUBSTITUTE(SUBSTITUTE(TRIM(D13),"，","、"),",","、")," ",""))))</f>
        <v/>
      </c>
      <c r="J13" s="2">
        <f>IF(A13="","",IF(TRIM(H13)="","施工前、施工中、施工後",SUBSTITUTE(SUBSTITUTE(SUBSTITUTE(TRIM(H13),"，","、"),",","、")," ","")))</f>
        <v/>
      </c>
      <c r="K13" s="2">
        <f>IF(A13="","",SUMPRODUCT((檢查項目!$A$2:$A$500=A13)*(檢查項目!$B$2:$B$500="")))</f>
        <v/>
      </c>
      <c r="L13" s="2">
        <f>IF(A13="","",SUMPRODUCT((檢查項目!$A$2:$A$500=A13)*(檢查項目!$B$2:$B$500&lt;&gt;""))+SUMPRODUCT((數值欄位!$A$2:$A$500=A13)*(數值欄位!$B$2:$B$500&lt;&gt;"")))</f>
        <v/>
      </c>
      <c r="M13" s="2">
        <f>IF(A13="","",IF(TRIM(IF(COUNTIF($A$2:$A$500,A13)&gt;1,"⚠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",""))="","✓",TRIM(IF(COUNTIF($A$2:$A$500,A13)&gt;1,"⚠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",""))))</f>
        <v/>
      </c>
    </row>
    <row r="14">
      <c r="I14" s="2">
        <f>IF(A14="","",IF(TRIM(D14)="","（分項工程層）",IF(TRIM(D14)="全部",_xlfn.TEXTJOIN("、",TRUE,單元!$A$2:$A$500),SUBSTITUTE(SUBSTITUTE(SUBSTITUTE(TRIM(D14),"，","、"),",","、")," ",""))))</f>
        <v/>
      </c>
      <c r="J14" s="2">
        <f>IF(A14="","",IF(TRIM(H14)="","施工前、施工中、施工後",SUBSTITUTE(SUBSTITUTE(SUBSTITUTE(TRIM(H14),"，","、"),",","、")," ","")))</f>
        <v/>
      </c>
      <c r="K14" s="2">
        <f>IF(A14="","",SUMPRODUCT((檢查項目!$A$2:$A$500=A14)*(檢查項目!$B$2:$B$500="")))</f>
        <v/>
      </c>
      <c r="L14" s="2">
        <f>IF(A14="","",SUMPRODUCT((檢查項目!$A$2:$A$500=A14)*(檢查項目!$B$2:$B$500&lt;&gt;""))+SUMPRODUCT((數值欄位!$A$2:$A$500=A14)*(數值欄位!$B$2:$B$500&lt;&gt;"")))</f>
        <v/>
      </c>
      <c r="M14" s="2">
        <f>IF(A14="","",IF(TRIM(IF(COUNTIF($A$2:$A$500,A14)&gt;1,"⚠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",""))="","✓",TRIM(IF(COUNTIF($A$2:$A$500,A14)&gt;1,"⚠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",""))))</f>
        <v/>
      </c>
    </row>
    <row r="15">
      <c r="I15" s="2">
        <f>IF(A15="","",IF(TRIM(D15)="","（分項工程層）",IF(TRIM(D15)="全部",_xlfn.TEXTJOIN("、",TRUE,單元!$A$2:$A$500),SUBSTITUTE(SUBSTITUTE(SUBSTITUTE(TRIM(D15),"，","、"),",","、")," ",""))))</f>
        <v/>
      </c>
      <c r="J15" s="2">
        <f>IF(A15="","",IF(TRIM(H15)="","施工前、施工中、施工後",SUBSTITUTE(SUBSTITUTE(SUBSTITUTE(TRIM(H15),"，","、"),",","、")," ","")))</f>
        <v/>
      </c>
      <c r="K15" s="2">
        <f>IF(A15="","",SUMPRODUCT((檢查項目!$A$2:$A$500=A15)*(檢查項目!$B$2:$B$500="")))</f>
        <v/>
      </c>
      <c r="L15" s="2">
        <f>IF(A15="","",SUMPRODUCT((檢查項目!$A$2:$A$500=A15)*(檢查項目!$B$2:$B$500&lt;&gt;""))+SUMPRODUCT((數值欄位!$A$2:$A$500=A15)*(數值欄位!$B$2:$B$500&lt;&gt;"")))</f>
        <v/>
      </c>
      <c r="M15" s="2">
        <f>IF(A15="","",IF(TRIM(IF(COUNTIF($A$2:$A$500,A15)&gt;1,"⚠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",""))="","✓",TRIM(IF(COUNTIF($A$2:$A$500,A15)&gt;1,"⚠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",""))))</f>
        <v/>
      </c>
    </row>
    <row r="16">
      <c r="I16" s="2">
        <f>IF(A16="","",IF(TRIM(D16)="","（分項工程層）",IF(TRIM(D16)="全部",_xlfn.TEXTJOIN("、",TRUE,單元!$A$2:$A$500),SUBSTITUTE(SUBSTITUTE(SUBSTITUTE(TRIM(D16),"，","、"),",","、")," ",""))))</f>
        <v/>
      </c>
      <c r="J16" s="2">
        <f>IF(A16="","",IF(TRIM(H16)="","施工前、施工中、施工後",SUBSTITUTE(SUBSTITUTE(SUBSTITUTE(TRIM(H16),"，","、"),",","、")," ","")))</f>
        <v/>
      </c>
      <c r="K16" s="2">
        <f>IF(A16="","",SUMPRODUCT((檢查項目!$A$2:$A$500=A16)*(檢查項目!$B$2:$B$500="")))</f>
        <v/>
      </c>
      <c r="L16" s="2">
        <f>IF(A16="","",SUMPRODUCT((檢查項目!$A$2:$A$500=A16)*(檢查項目!$B$2:$B$500&lt;&gt;""))+SUMPRODUCT((數值欄位!$A$2:$A$500=A16)*(數值欄位!$B$2:$B$500&lt;&gt;"")))</f>
        <v/>
      </c>
      <c r="M16" s="2">
        <f>IF(A16="","",IF(TRIM(IF(COUNTIF($A$2:$A$500,A16)&gt;1,"⚠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",""))="","✓",TRIM(IF(COUNTIF($A$2:$A$500,A16)&gt;1,"⚠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",""))))</f>
        <v/>
      </c>
    </row>
    <row r="17">
      <c r="I17" s="2">
        <f>IF(A17="","",IF(TRIM(D17)="","（分項工程層）",IF(TRIM(D17)="全部",_xlfn.TEXTJOIN("、",TRUE,單元!$A$2:$A$500),SUBSTITUTE(SUBSTITUTE(SUBSTITUTE(TRIM(D17),"，","、"),",","、")," ",""))))</f>
        <v/>
      </c>
      <c r="J17" s="2">
        <f>IF(A17="","",IF(TRIM(H17)="","施工前、施工中、施工後",SUBSTITUTE(SUBSTITUTE(SUBSTITUTE(TRIM(H17),"，","、"),",","、")," ","")))</f>
        <v/>
      </c>
      <c r="K17" s="2">
        <f>IF(A17="","",SUMPRODUCT((檢查項目!$A$2:$A$500=A17)*(檢查項目!$B$2:$B$500="")))</f>
        <v/>
      </c>
      <c r="L17" s="2">
        <f>IF(A17="","",SUMPRODUCT((檢查項目!$A$2:$A$500=A17)*(檢查項目!$B$2:$B$500&lt;&gt;""))+SUMPRODUCT((數值欄位!$A$2:$A$500=A17)*(數值欄位!$B$2:$B$500&lt;&gt;"")))</f>
        <v/>
      </c>
      <c r="M17" s="2">
        <f>IF(A17="","",IF(TRIM(IF(COUNTIF($A$2:$A$500,A17)&gt;1,"⚠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",""))="","✓",TRIM(IF(COUNTIF($A$2:$A$500,A17)&gt;1,"⚠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",""))))</f>
        <v/>
      </c>
    </row>
    <row r="18">
      <c r="I18" s="2">
        <f>IF(A18="","",IF(TRIM(D18)="","（分項工程層）",IF(TRIM(D18)="全部",_xlfn.TEXTJOIN("、",TRUE,單元!$A$2:$A$500),SUBSTITUTE(SUBSTITUTE(SUBSTITUTE(TRIM(D18),"，","、"),",","、")," ",""))))</f>
        <v/>
      </c>
      <c r="J18" s="2">
        <f>IF(A18="","",IF(TRIM(H18)="","施工前、施工中、施工後",SUBSTITUTE(SUBSTITUTE(SUBSTITUTE(TRIM(H18),"，","、"),",","、")," ","")))</f>
        <v/>
      </c>
      <c r="K18" s="2">
        <f>IF(A18="","",SUMPRODUCT((檢查項目!$A$2:$A$500=A18)*(檢查項目!$B$2:$B$500="")))</f>
        <v/>
      </c>
      <c r="L18" s="2">
        <f>IF(A18="","",SUMPRODUCT((檢查項目!$A$2:$A$500=A18)*(檢查項目!$B$2:$B$500&lt;&gt;""))+SUMPRODUCT((數值欄位!$A$2:$A$500=A18)*(數值欄位!$B$2:$B$500&lt;&gt;"")))</f>
        <v/>
      </c>
      <c r="M18" s="2">
        <f>IF(A18="","",IF(TRIM(IF(COUNTIF($A$2:$A$500,A18)&gt;1,"⚠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",""))="","✓",TRIM(IF(COUNTIF($A$2:$A$500,A18)&gt;1,"⚠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",""))))</f>
        <v/>
      </c>
    </row>
    <row r="19">
      <c r="I19" s="2">
        <f>IF(A19="","",IF(TRIM(D19)="","（分項工程層）",IF(TRIM(D19)="全部",_xlfn.TEXTJOIN("、",TRUE,單元!$A$2:$A$500),SUBSTITUTE(SUBSTITUTE(SUBSTITUTE(TRIM(D19),"，","、"),",","、")," ",""))))</f>
        <v/>
      </c>
      <c r="J19" s="2">
        <f>IF(A19="","",IF(TRIM(H19)="","施工前、施工中、施工後",SUBSTITUTE(SUBSTITUTE(SUBSTITUTE(TRIM(H19),"，","、"),",","、")," ","")))</f>
        <v/>
      </c>
      <c r="K19" s="2">
        <f>IF(A19="","",SUMPRODUCT((檢查項目!$A$2:$A$500=A19)*(檢查項目!$B$2:$B$500="")))</f>
        <v/>
      </c>
      <c r="L19" s="2">
        <f>IF(A19="","",SUMPRODUCT((檢查項目!$A$2:$A$500=A19)*(檢查項目!$B$2:$B$500&lt;&gt;""))+SUMPRODUCT((數值欄位!$A$2:$A$500=A19)*(數值欄位!$B$2:$B$500&lt;&gt;"")))</f>
        <v/>
      </c>
      <c r="M19" s="2">
        <f>IF(A19="","",IF(TRIM(IF(COUNTIF($A$2:$A$500,A19)&gt;1,"⚠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",""))="","✓",TRIM(IF(COUNTIF($A$2:$A$500,A19)&gt;1,"⚠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",""))))</f>
        <v/>
      </c>
    </row>
    <row r="20">
      <c r="I20" s="2">
        <f>IF(A20="","",IF(TRIM(D20)="","（分項工程層）",IF(TRIM(D20)="全部",_xlfn.TEXTJOIN("、",TRUE,單元!$A$2:$A$500),SUBSTITUTE(SUBSTITUTE(SUBSTITUTE(TRIM(D20),"，","、"),",","、")," ",""))))</f>
        <v/>
      </c>
      <c r="J20" s="2">
        <f>IF(A20="","",IF(TRIM(H20)="","施工前、施工中、施工後",SUBSTITUTE(SUBSTITUTE(SUBSTITUTE(TRIM(H20),"，","、"),",","、")," ","")))</f>
        <v/>
      </c>
      <c r="K20" s="2">
        <f>IF(A20="","",SUMPRODUCT((檢查項目!$A$2:$A$500=A20)*(檢查項目!$B$2:$B$500="")))</f>
        <v/>
      </c>
      <c r="L20" s="2">
        <f>IF(A20="","",SUMPRODUCT((檢查項目!$A$2:$A$500=A20)*(檢查項目!$B$2:$B$500&lt;&gt;""))+SUMPRODUCT((數值欄位!$A$2:$A$500=A20)*(數值欄位!$B$2:$B$500&lt;&gt;"")))</f>
        <v/>
      </c>
      <c r="M20" s="2">
        <f>IF(A20="","",IF(TRIM(IF(COUNTIF($A$2:$A$500,A20)&gt;1,"⚠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",""))="","✓",TRIM(IF(COUNTIF($A$2:$A$500,A20)&gt;1,"⚠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",""))))</f>
        <v/>
      </c>
    </row>
    <row r="21">
      <c r="I21" s="2">
        <f>IF(A21="","",IF(TRIM(D21)="","（分項工程層）",IF(TRIM(D21)="全部",_xlfn.TEXTJOIN("、",TRUE,單元!$A$2:$A$500),SUBSTITUTE(SUBSTITUTE(SUBSTITUTE(TRIM(D21),"，","、"),",","、")," ",""))))</f>
        <v/>
      </c>
      <c r="J21" s="2">
        <f>IF(A21="","",IF(TRIM(H21)="","施工前、施工中、施工後",SUBSTITUTE(SUBSTITUTE(SUBSTITUTE(TRIM(H21),"，","、"),",","、")," ","")))</f>
        <v/>
      </c>
      <c r="K21" s="2">
        <f>IF(A21="","",SUMPRODUCT((檢查項目!$A$2:$A$500=A21)*(檢查項目!$B$2:$B$500="")))</f>
        <v/>
      </c>
      <c r="L21" s="2">
        <f>IF(A21="","",SUMPRODUCT((檢查項目!$A$2:$A$500=A21)*(檢查項目!$B$2:$B$500&lt;&gt;""))+SUMPRODUCT((數值欄位!$A$2:$A$500=A21)*(數值欄位!$B$2:$B$500&lt;&gt;"")))</f>
        <v/>
      </c>
      <c r="M21" s="2">
        <f>IF(A21="","",IF(TRIM(IF(COUNTIF($A$2:$A$500,A21)&gt;1,"⚠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",""))="","✓",TRIM(IF(COUNTIF($A$2:$A$500,A21)&gt;1,"⚠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",""))))</f>
        <v/>
      </c>
    </row>
    <row r="22">
      <c r="I22" s="2">
        <f>IF(A22="","",IF(TRIM(D22)="","（分項工程層）",IF(TRIM(D22)="全部",_xlfn.TEXTJOIN("、",TRUE,單元!$A$2:$A$500),SUBSTITUTE(SUBSTITUTE(SUBSTITUTE(TRIM(D22),"，","、"),",","、")," ",""))))</f>
        <v/>
      </c>
      <c r="J22" s="2">
        <f>IF(A22="","",IF(TRIM(H22)="","施工前、施工中、施工後",SUBSTITUTE(SUBSTITUTE(SUBSTITUTE(TRIM(H22),"，","、"),",","、")," ","")))</f>
        <v/>
      </c>
      <c r="K22" s="2">
        <f>IF(A22="","",SUMPRODUCT((檢查項目!$A$2:$A$500=A22)*(檢查項目!$B$2:$B$500="")))</f>
        <v/>
      </c>
      <c r="L22" s="2">
        <f>IF(A22="","",SUMPRODUCT((檢查項目!$A$2:$A$500=A22)*(檢查項目!$B$2:$B$500&lt;&gt;""))+SUMPRODUCT((數值欄位!$A$2:$A$500=A22)*(數值欄位!$B$2:$B$500&lt;&gt;"")))</f>
        <v/>
      </c>
      <c r="M22" s="2">
        <f>IF(A22="","",IF(TRIM(IF(COUNTIF($A$2:$A$500,A22)&gt;1,"⚠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",""))="","✓",TRIM(IF(COUNTIF($A$2:$A$500,A22)&gt;1,"⚠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",""))))</f>
        <v/>
      </c>
    </row>
    <row r="23">
      <c r="I23" s="2">
        <f>IF(A23="","",IF(TRIM(D23)="","（分項工程層）",IF(TRIM(D23)="全部",_xlfn.TEXTJOIN("、",TRUE,單元!$A$2:$A$500),SUBSTITUTE(SUBSTITUTE(SUBSTITUTE(TRIM(D23),"，","、"),",","、")," ",""))))</f>
        <v/>
      </c>
      <c r="J23" s="2">
        <f>IF(A23="","",IF(TRIM(H23)="","施工前、施工中、施工後",SUBSTITUTE(SUBSTITUTE(SUBSTITUTE(TRIM(H23),"，","、"),",","、")," ","")))</f>
        <v/>
      </c>
      <c r="K23" s="2">
        <f>IF(A23="","",SUMPRODUCT((檢查項目!$A$2:$A$500=A23)*(檢查項目!$B$2:$B$500="")))</f>
        <v/>
      </c>
      <c r="L23" s="2">
        <f>IF(A23="","",SUMPRODUCT((檢查項目!$A$2:$A$500=A23)*(檢查項目!$B$2:$B$500&lt;&gt;""))+SUMPRODUCT((數值欄位!$A$2:$A$500=A23)*(數值欄位!$B$2:$B$500&lt;&gt;"")))</f>
        <v/>
      </c>
      <c r="M23" s="2">
        <f>IF(A23="","",IF(TRIM(IF(COUNTIF($A$2:$A$500,A23)&gt;1,"⚠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",""))="","✓",TRIM(IF(COUNTIF($A$2:$A$500,A23)&gt;1,"⚠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",""))))</f>
        <v/>
      </c>
    </row>
    <row r="24">
      <c r="I24" s="2">
        <f>IF(A24="","",IF(TRIM(D24)="","（分項工程層）",IF(TRIM(D24)="全部",_xlfn.TEXTJOIN("、",TRUE,單元!$A$2:$A$500),SUBSTITUTE(SUBSTITUTE(SUBSTITUTE(TRIM(D24),"，","、"),",","、")," ",""))))</f>
        <v/>
      </c>
      <c r="J24" s="2">
        <f>IF(A24="","",IF(TRIM(H24)="","施工前、施工中、施工後",SUBSTITUTE(SUBSTITUTE(SUBSTITUTE(TRIM(H24),"，","、"),",","、")," ","")))</f>
        <v/>
      </c>
      <c r="K24" s="2">
        <f>IF(A24="","",SUMPRODUCT((檢查項目!$A$2:$A$500=A24)*(檢查項目!$B$2:$B$500="")))</f>
        <v/>
      </c>
      <c r="L24" s="2">
        <f>IF(A24="","",SUMPRODUCT((檢查項目!$A$2:$A$500=A24)*(檢查項目!$B$2:$B$500&lt;&gt;""))+SUMPRODUCT((數值欄位!$A$2:$A$500=A24)*(數值欄位!$B$2:$B$500&lt;&gt;"")))</f>
        <v/>
      </c>
      <c r="M24" s="2">
        <f>IF(A24="","",IF(TRIM(IF(COUNTIF($A$2:$A$500,A24)&gt;1,"⚠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",""))="","✓",TRIM(IF(COUNTIF($A$2:$A$500,A24)&gt;1,"⚠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",""))))</f>
        <v/>
      </c>
    </row>
    <row r="25">
      <c r="I25" s="2">
        <f>IF(A25="","",IF(TRIM(D25)="","（分項工程層）",IF(TRIM(D25)="全部",_xlfn.TEXTJOIN("、",TRUE,單元!$A$2:$A$500),SUBSTITUTE(SUBSTITUTE(SUBSTITUTE(TRIM(D25),"，","、"),",","、")," ",""))))</f>
        <v/>
      </c>
      <c r="J25" s="2">
        <f>IF(A25="","",IF(TRIM(H25)="","施工前、施工中、施工後",SUBSTITUTE(SUBSTITUTE(SUBSTITUTE(TRIM(H25),"，","、"),",","、")," ","")))</f>
        <v/>
      </c>
      <c r="K25" s="2">
        <f>IF(A25="","",SUMPRODUCT((檢查項目!$A$2:$A$500=A25)*(檢查項目!$B$2:$B$500="")))</f>
        <v/>
      </c>
      <c r="L25" s="2">
        <f>IF(A25="","",SUMPRODUCT((檢查項目!$A$2:$A$500=A25)*(檢查項目!$B$2:$B$500&lt;&gt;""))+SUMPRODUCT((數值欄位!$A$2:$A$500=A25)*(數值欄位!$B$2:$B$500&lt;&gt;"")))</f>
        <v/>
      </c>
      <c r="M25" s="2">
        <f>IF(A25="","",IF(TRIM(IF(COUNTIF($A$2:$A$500,A25)&gt;1,"⚠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",""))="","✓",TRIM(IF(COUNTIF($A$2:$A$500,A25)&gt;1,"⚠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",""))))</f>
        <v/>
      </c>
    </row>
    <row r="26">
      <c r="I26" s="2">
        <f>IF(A26="","",IF(TRIM(D26)="","（分項工程層）",IF(TRIM(D26)="全部",_xlfn.TEXTJOIN("、",TRUE,單元!$A$2:$A$500),SUBSTITUTE(SUBSTITUTE(SUBSTITUTE(TRIM(D26),"，","、"),",","、")," ",""))))</f>
        <v/>
      </c>
      <c r="J26" s="2">
        <f>IF(A26="","",IF(TRIM(H26)="","施工前、施工中、施工後",SUBSTITUTE(SUBSTITUTE(SUBSTITUTE(TRIM(H26),"，","、"),",","、")," ","")))</f>
        <v/>
      </c>
      <c r="K26" s="2">
        <f>IF(A26="","",SUMPRODUCT((檢查項目!$A$2:$A$500=A26)*(檢查項目!$B$2:$B$500="")))</f>
        <v/>
      </c>
      <c r="L26" s="2">
        <f>IF(A26="","",SUMPRODUCT((檢查項目!$A$2:$A$500=A26)*(檢查項目!$B$2:$B$500&lt;&gt;""))+SUMPRODUCT((數值欄位!$A$2:$A$500=A26)*(數值欄位!$B$2:$B$500&lt;&gt;"")))</f>
        <v/>
      </c>
      <c r="M26" s="2">
        <f>IF(A26="","",IF(TRIM(IF(COUNTIF($A$2:$A$500,A26)&gt;1,"⚠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",""))="","✓",TRIM(IF(COUNTIF($A$2:$A$500,A26)&gt;1,"⚠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",""))))</f>
        <v/>
      </c>
    </row>
    <row r="27">
      <c r="I27" s="2">
        <f>IF(A27="","",IF(TRIM(D27)="","（分項工程層）",IF(TRIM(D27)="全部",_xlfn.TEXTJOIN("、",TRUE,單元!$A$2:$A$500),SUBSTITUTE(SUBSTITUTE(SUBSTITUTE(TRIM(D27),"，","、"),",","、")," ",""))))</f>
        <v/>
      </c>
      <c r="J27" s="2">
        <f>IF(A27="","",IF(TRIM(H27)="","施工前、施工中、施工後",SUBSTITUTE(SUBSTITUTE(SUBSTITUTE(TRIM(H27),"，","、"),",","、")," ","")))</f>
        <v/>
      </c>
      <c r="K27" s="2">
        <f>IF(A27="","",SUMPRODUCT((檢查項目!$A$2:$A$500=A27)*(檢查項目!$B$2:$B$500="")))</f>
        <v/>
      </c>
      <c r="L27" s="2">
        <f>IF(A27="","",SUMPRODUCT((檢查項目!$A$2:$A$500=A27)*(檢查項目!$B$2:$B$500&lt;&gt;""))+SUMPRODUCT((數值欄位!$A$2:$A$500=A27)*(數值欄位!$B$2:$B$500&lt;&gt;"")))</f>
        <v/>
      </c>
      <c r="M27" s="2">
        <f>IF(A27="","",IF(TRIM(IF(COUNTIF($A$2:$A$500,A27)&gt;1,"⚠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",""))="","✓",TRIM(IF(COUNTIF($A$2:$A$500,A27)&gt;1,"⚠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",""))))</f>
        <v/>
      </c>
    </row>
    <row r="28">
      <c r="I28" s="2">
        <f>IF(A28="","",IF(TRIM(D28)="","（分項工程層）",IF(TRIM(D28)="全部",_xlfn.TEXTJOIN("、",TRUE,單元!$A$2:$A$500),SUBSTITUTE(SUBSTITUTE(SUBSTITUTE(TRIM(D28),"，","、"),",","、")," ",""))))</f>
        <v/>
      </c>
      <c r="J28" s="2">
        <f>IF(A28="","",IF(TRIM(H28)="","施工前、施工中、施工後",SUBSTITUTE(SUBSTITUTE(SUBSTITUTE(TRIM(H28),"，","、"),",","、")," ","")))</f>
        <v/>
      </c>
      <c r="K28" s="2">
        <f>IF(A28="","",SUMPRODUCT((檢查項目!$A$2:$A$500=A28)*(檢查項目!$B$2:$B$500="")))</f>
        <v/>
      </c>
      <c r="L28" s="2">
        <f>IF(A28="","",SUMPRODUCT((檢查項目!$A$2:$A$500=A28)*(檢查項目!$B$2:$B$500&lt;&gt;""))+SUMPRODUCT((數值欄位!$A$2:$A$500=A28)*(數值欄位!$B$2:$B$500&lt;&gt;"")))</f>
        <v/>
      </c>
      <c r="M28" s="2">
        <f>IF(A28="","",IF(TRIM(IF(COUNTIF($A$2:$A$500,A28)&gt;1,"⚠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",""))="","✓",TRIM(IF(COUNTIF($A$2:$A$500,A28)&gt;1,"⚠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",""))))</f>
        <v/>
      </c>
    </row>
    <row r="29">
      <c r="I29" s="2">
        <f>IF(A29="","",IF(TRIM(D29)="","（分項工程層）",IF(TRIM(D29)="全部",_xlfn.TEXTJOIN("、",TRUE,單元!$A$2:$A$500),SUBSTITUTE(SUBSTITUTE(SUBSTITUTE(TRIM(D29),"，","、"),",","、")," ",""))))</f>
        <v/>
      </c>
      <c r="J29" s="2">
        <f>IF(A29="","",IF(TRIM(H29)="","施工前、施工中、施工後",SUBSTITUTE(SUBSTITUTE(SUBSTITUTE(TRIM(H29),"，","、"),",","、")," ","")))</f>
        <v/>
      </c>
      <c r="K29" s="2">
        <f>IF(A29="","",SUMPRODUCT((檢查項目!$A$2:$A$500=A29)*(檢查項目!$B$2:$B$500="")))</f>
        <v/>
      </c>
      <c r="L29" s="2">
        <f>IF(A29="","",SUMPRODUCT((檢查項目!$A$2:$A$500=A29)*(檢查項目!$B$2:$B$500&lt;&gt;""))+SUMPRODUCT((數值欄位!$A$2:$A$500=A29)*(數值欄位!$B$2:$B$500&lt;&gt;"")))</f>
        <v/>
      </c>
      <c r="M29" s="2">
        <f>IF(A29="","",IF(TRIM(IF(COUNTIF($A$2:$A$500,A29)&gt;1,"⚠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",""))="","✓",TRIM(IF(COUNTIF($A$2:$A$500,A29)&gt;1,"⚠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",""))))</f>
        <v/>
      </c>
    </row>
    <row r="30">
      <c r="I30" s="2">
        <f>IF(A30="","",IF(TRIM(D30)="","（分項工程層）",IF(TRIM(D30)="全部",_xlfn.TEXTJOIN("、",TRUE,單元!$A$2:$A$500),SUBSTITUTE(SUBSTITUTE(SUBSTITUTE(TRIM(D30),"，","、"),",","、")," ",""))))</f>
        <v/>
      </c>
      <c r="J30" s="2">
        <f>IF(A30="","",IF(TRIM(H30)="","施工前、施工中、施工後",SUBSTITUTE(SUBSTITUTE(SUBSTITUTE(TRIM(H30),"，","、"),",","、")," ","")))</f>
        <v/>
      </c>
      <c r="K30" s="2">
        <f>IF(A30="","",SUMPRODUCT((檢查項目!$A$2:$A$500=A30)*(檢查項目!$B$2:$B$500="")))</f>
        <v/>
      </c>
      <c r="L30" s="2">
        <f>IF(A30="","",SUMPRODUCT((檢查項目!$A$2:$A$500=A30)*(檢查項目!$B$2:$B$500&lt;&gt;""))+SUMPRODUCT((數值欄位!$A$2:$A$500=A30)*(數值欄位!$B$2:$B$500&lt;&gt;"")))</f>
        <v/>
      </c>
      <c r="M30" s="2">
        <f>IF(A30="","",IF(TRIM(IF(COUNTIF($A$2:$A$500,A30)&gt;1,"⚠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",""))="","✓",TRIM(IF(COUNTIF($A$2:$A$500,A30)&gt;1,"⚠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",""))))</f>
        <v/>
      </c>
    </row>
    <row r="31">
      <c r="I31" s="2">
        <f>IF(A31="","",IF(TRIM(D31)="","（分項工程層）",IF(TRIM(D31)="全部",_xlfn.TEXTJOIN("、",TRUE,單元!$A$2:$A$500),SUBSTITUTE(SUBSTITUTE(SUBSTITUTE(TRIM(D31),"，","、"),",","、")," ",""))))</f>
        <v/>
      </c>
      <c r="J31" s="2">
        <f>IF(A31="","",IF(TRIM(H31)="","施工前、施工中、施工後",SUBSTITUTE(SUBSTITUTE(SUBSTITUTE(TRIM(H31),"，","、"),",","、")," ","")))</f>
        <v/>
      </c>
      <c r="K31" s="2">
        <f>IF(A31="","",SUMPRODUCT((檢查項目!$A$2:$A$500=A31)*(檢查項目!$B$2:$B$500="")))</f>
        <v/>
      </c>
      <c r="L31" s="2">
        <f>IF(A31="","",SUMPRODUCT((檢查項目!$A$2:$A$500=A31)*(檢查項目!$B$2:$B$500&lt;&gt;""))+SUMPRODUCT((數值欄位!$A$2:$A$500=A31)*(數值欄位!$B$2:$B$500&lt;&gt;"")))</f>
        <v/>
      </c>
      <c r="M31" s="2">
        <f>IF(A31="","",IF(TRIM(IF(COUNTIF($A$2:$A$500,A31)&gt;1,"⚠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",""))="","✓",TRIM(IF(COUNTIF($A$2:$A$500,A31)&gt;1,"⚠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",""))))</f>
        <v/>
      </c>
    </row>
    <row r="32">
      <c r="I32" s="2">
        <f>IF(A32="","",IF(TRIM(D32)="","（分項工程層）",IF(TRIM(D32)="全部",_xlfn.TEXTJOIN("、",TRUE,單元!$A$2:$A$500),SUBSTITUTE(SUBSTITUTE(SUBSTITUTE(TRIM(D32),"，","、"),",","、")," ",""))))</f>
        <v/>
      </c>
      <c r="J32" s="2">
        <f>IF(A32="","",IF(TRIM(H32)="","施工前、施工中、施工後",SUBSTITUTE(SUBSTITUTE(SUBSTITUTE(TRIM(H32),"，","、"),",","、")," ","")))</f>
        <v/>
      </c>
      <c r="K32" s="2">
        <f>IF(A32="","",SUMPRODUCT((檢查項目!$A$2:$A$500=A32)*(檢查項目!$B$2:$B$500="")))</f>
        <v/>
      </c>
      <c r="L32" s="2">
        <f>IF(A32="","",SUMPRODUCT((檢查項目!$A$2:$A$500=A32)*(檢查項目!$B$2:$B$500&lt;&gt;""))+SUMPRODUCT((數值欄位!$A$2:$A$500=A32)*(數值欄位!$B$2:$B$500&lt;&gt;"")))</f>
        <v/>
      </c>
      <c r="M32" s="2">
        <f>IF(A32="","",IF(TRIM(IF(COUNTIF($A$2:$A$500,A32)&gt;1,"⚠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",""))="","✓",TRIM(IF(COUNTIF($A$2:$A$500,A32)&gt;1,"⚠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",""))))</f>
        <v/>
      </c>
    </row>
    <row r="33">
      <c r="I33" s="2">
        <f>IF(A33="","",IF(TRIM(D33)="","（分項工程層）",IF(TRIM(D33)="全部",_xlfn.TEXTJOIN("、",TRUE,單元!$A$2:$A$500),SUBSTITUTE(SUBSTITUTE(SUBSTITUTE(TRIM(D33),"，","、"),",","、")," ",""))))</f>
        <v/>
      </c>
      <c r="J33" s="2">
        <f>IF(A33="","",IF(TRIM(H33)="","施工前、施工中、施工後",SUBSTITUTE(SUBSTITUTE(SUBSTITUTE(TRIM(H33),"，","、"),",","、")," ","")))</f>
        <v/>
      </c>
      <c r="K33" s="2">
        <f>IF(A33="","",SUMPRODUCT((檢查項目!$A$2:$A$500=A33)*(檢查項目!$B$2:$B$500="")))</f>
        <v/>
      </c>
      <c r="L33" s="2">
        <f>IF(A33="","",SUMPRODUCT((檢查項目!$A$2:$A$500=A33)*(檢查項目!$B$2:$B$500&lt;&gt;""))+SUMPRODUCT((數值欄位!$A$2:$A$500=A33)*(數值欄位!$B$2:$B$500&lt;&gt;"")))</f>
        <v/>
      </c>
      <c r="M33" s="2">
        <f>IF(A33="","",IF(TRIM(IF(COUNTIF($A$2:$A$500,A33)&gt;1,"⚠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",""))="","✓",TRIM(IF(COUNTIF($A$2:$A$500,A33)&gt;1,"⚠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",""))))</f>
        <v/>
      </c>
    </row>
    <row r="34">
      <c r="I34" s="2">
        <f>IF(A34="","",IF(TRIM(D34)="","（分項工程層）",IF(TRIM(D34)="全部",_xlfn.TEXTJOIN("、",TRUE,單元!$A$2:$A$500),SUBSTITUTE(SUBSTITUTE(SUBSTITUTE(TRIM(D34),"，","、"),",","、")," ",""))))</f>
        <v/>
      </c>
      <c r="J34" s="2">
        <f>IF(A34="","",IF(TRIM(H34)="","施工前、施工中、施工後",SUBSTITUTE(SUBSTITUTE(SUBSTITUTE(TRIM(H34),"，","、"),",","、")," ","")))</f>
        <v/>
      </c>
      <c r="K34" s="2">
        <f>IF(A34="","",SUMPRODUCT((檢查項目!$A$2:$A$500=A34)*(檢查項目!$B$2:$B$500="")))</f>
        <v/>
      </c>
      <c r="L34" s="2">
        <f>IF(A34="","",SUMPRODUCT((檢查項目!$A$2:$A$500=A34)*(檢查項目!$B$2:$B$500&lt;&gt;""))+SUMPRODUCT((數值欄位!$A$2:$A$500=A34)*(數值欄位!$B$2:$B$500&lt;&gt;"")))</f>
        <v/>
      </c>
      <c r="M34" s="2">
        <f>IF(A34="","",IF(TRIM(IF(COUNTIF($A$2:$A$500,A34)&gt;1,"⚠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",""))="","✓",TRIM(IF(COUNTIF($A$2:$A$500,A34)&gt;1,"⚠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",""))))</f>
        <v/>
      </c>
    </row>
    <row r="35">
      <c r="I35" s="2">
        <f>IF(A35="","",IF(TRIM(D35)="","（分項工程層）",IF(TRIM(D35)="全部",_xlfn.TEXTJOIN("、",TRUE,單元!$A$2:$A$500),SUBSTITUTE(SUBSTITUTE(SUBSTITUTE(TRIM(D35),"，","、"),",","、")," ",""))))</f>
        <v/>
      </c>
      <c r="J35" s="2">
        <f>IF(A35="","",IF(TRIM(H35)="","施工前、施工中、施工後",SUBSTITUTE(SUBSTITUTE(SUBSTITUTE(TRIM(H35),"，","、"),",","、")," ","")))</f>
        <v/>
      </c>
      <c r="K35" s="2">
        <f>IF(A35="","",SUMPRODUCT((檢查項目!$A$2:$A$500=A35)*(檢查項目!$B$2:$B$500="")))</f>
        <v/>
      </c>
      <c r="L35" s="2">
        <f>IF(A35="","",SUMPRODUCT((檢查項目!$A$2:$A$500=A35)*(檢查項目!$B$2:$B$500&lt;&gt;""))+SUMPRODUCT((數值欄位!$A$2:$A$500=A35)*(數值欄位!$B$2:$B$500&lt;&gt;"")))</f>
        <v/>
      </c>
      <c r="M35" s="2">
        <f>IF(A35="","",IF(TRIM(IF(COUNTIF($A$2:$A$500,A35)&gt;1,"⚠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",""))="","✓",TRIM(IF(COUNTIF($A$2:$A$500,A35)&gt;1,"⚠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",""))))</f>
        <v/>
      </c>
    </row>
    <row r="36">
      <c r="I36" s="2">
        <f>IF(A36="","",IF(TRIM(D36)="","（分項工程層）",IF(TRIM(D36)="全部",_xlfn.TEXTJOIN("、",TRUE,單元!$A$2:$A$500),SUBSTITUTE(SUBSTITUTE(SUBSTITUTE(TRIM(D36),"，","、"),",","、")," ",""))))</f>
        <v/>
      </c>
      <c r="J36" s="2">
        <f>IF(A36="","",IF(TRIM(H36)="","施工前、施工中、施工後",SUBSTITUTE(SUBSTITUTE(SUBSTITUTE(TRIM(H36),"，","、"),",","、")," ","")))</f>
        <v/>
      </c>
      <c r="K36" s="2">
        <f>IF(A36="","",SUMPRODUCT((檢查項目!$A$2:$A$500=A36)*(檢查項目!$B$2:$B$500="")))</f>
        <v/>
      </c>
      <c r="L36" s="2">
        <f>IF(A36="","",SUMPRODUCT((檢查項目!$A$2:$A$500=A36)*(檢查項目!$B$2:$B$500&lt;&gt;""))+SUMPRODUCT((數值欄位!$A$2:$A$500=A36)*(數值欄位!$B$2:$B$500&lt;&gt;"")))</f>
        <v/>
      </c>
      <c r="M36" s="2">
        <f>IF(A36="","",IF(TRIM(IF(COUNTIF($A$2:$A$500,A36)&gt;1,"⚠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",""))="","✓",TRIM(IF(COUNTIF($A$2:$A$500,A36)&gt;1,"⚠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",""))))</f>
        <v/>
      </c>
    </row>
    <row r="37">
      <c r="I37" s="2">
        <f>IF(A37="","",IF(TRIM(D37)="","（分項工程層）",IF(TRIM(D37)="全部",_xlfn.TEXTJOIN("、",TRUE,單元!$A$2:$A$500),SUBSTITUTE(SUBSTITUTE(SUBSTITUTE(TRIM(D37),"，","、"),",","、")," ",""))))</f>
        <v/>
      </c>
      <c r="J37" s="2">
        <f>IF(A37="","",IF(TRIM(H37)="","施工前、施工中、施工後",SUBSTITUTE(SUBSTITUTE(SUBSTITUTE(TRIM(H37),"，","、"),",","、")," ","")))</f>
        <v/>
      </c>
      <c r="K37" s="2">
        <f>IF(A37="","",SUMPRODUCT((檢查項目!$A$2:$A$500=A37)*(檢查項目!$B$2:$B$500="")))</f>
        <v/>
      </c>
      <c r="L37" s="2">
        <f>IF(A37="","",SUMPRODUCT((檢查項目!$A$2:$A$500=A37)*(檢查項目!$B$2:$B$500&lt;&gt;""))+SUMPRODUCT((數值欄位!$A$2:$A$500=A37)*(數值欄位!$B$2:$B$500&lt;&gt;"")))</f>
        <v/>
      </c>
      <c r="M37" s="2">
        <f>IF(A37="","",IF(TRIM(IF(COUNTIF($A$2:$A$500,A37)&gt;1,"⚠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",""))="","✓",TRIM(IF(COUNTIF($A$2:$A$500,A37)&gt;1,"⚠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",""))))</f>
        <v/>
      </c>
    </row>
    <row r="38">
      <c r="I38" s="2">
        <f>IF(A38="","",IF(TRIM(D38)="","（分項工程層）",IF(TRIM(D38)="全部",_xlfn.TEXTJOIN("、",TRUE,單元!$A$2:$A$500),SUBSTITUTE(SUBSTITUTE(SUBSTITUTE(TRIM(D38),"，","、"),",","、")," ",""))))</f>
        <v/>
      </c>
      <c r="J38" s="2">
        <f>IF(A38="","",IF(TRIM(H38)="","施工前、施工中、施工後",SUBSTITUTE(SUBSTITUTE(SUBSTITUTE(TRIM(H38),"，","、"),",","、")," ","")))</f>
        <v/>
      </c>
      <c r="K38" s="2">
        <f>IF(A38="","",SUMPRODUCT((檢查項目!$A$2:$A$500=A38)*(檢查項目!$B$2:$B$500="")))</f>
        <v/>
      </c>
      <c r="L38" s="2">
        <f>IF(A38="","",SUMPRODUCT((檢查項目!$A$2:$A$500=A38)*(檢查項目!$B$2:$B$500&lt;&gt;""))+SUMPRODUCT((數值欄位!$A$2:$A$500=A38)*(數值欄位!$B$2:$B$500&lt;&gt;"")))</f>
        <v/>
      </c>
      <c r="M38" s="2">
        <f>IF(A38="","",IF(TRIM(IF(COUNTIF($A$2:$A$500,A38)&gt;1,"⚠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",""))="","✓",TRIM(IF(COUNTIF($A$2:$A$500,A38)&gt;1,"⚠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",""))))</f>
        <v/>
      </c>
    </row>
    <row r="39">
      <c r="I39" s="2">
        <f>IF(A39="","",IF(TRIM(D39)="","（分項工程層）",IF(TRIM(D39)="全部",_xlfn.TEXTJOIN("、",TRUE,單元!$A$2:$A$500),SUBSTITUTE(SUBSTITUTE(SUBSTITUTE(TRIM(D39),"，","、"),",","、")," ",""))))</f>
        <v/>
      </c>
      <c r="J39" s="2">
        <f>IF(A39="","",IF(TRIM(H39)="","施工前、施工中、施工後",SUBSTITUTE(SUBSTITUTE(SUBSTITUTE(TRIM(H39),"，","、"),",","、")," ","")))</f>
        <v/>
      </c>
      <c r="K39" s="2">
        <f>IF(A39="","",SUMPRODUCT((檢查項目!$A$2:$A$500=A39)*(檢查項目!$B$2:$B$500="")))</f>
        <v/>
      </c>
      <c r="L39" s="2">
        <f>IF(A39="","",SUMPRODUCT((檢查項目!$A$2:$A$500=A39)*(檢查項目!$B$2:$B$500&lt;&gt;""))+SUMPRODUCT((數值欄位!$A$2:$A$500=A39)*(數值欄位!$B$2:$B$500&lt;&gt;"")))</f>
        <v/>
      </c>
      <c r="M39" s="2">
        <f>IF(A39="","",IF(TRIM(IF(COUNTIF($A$2:$A$500,A39)&gt;1,"⚠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",""))="","✓",TRIM(IF(COUNTIF($A$2:$A$500,A39)&gt;1,"⚠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",""))))</f>
        <v/>
      </c>
    </row>
    <row r="40">
      <c r="I40" s="2">
        <f>IF(A40="","",IF(TRIM(D40)="","（分項工程層）",IF(TRIM(D40)="全部",_xlfn.TEXTJOIN("、",TRUE,單元!$A$2:$A$500),SUBSTITUTE(SUBSTITUTE(SUBSTITUTE(TRIM(D40),"，","、"),",","、")," ",""))))</f>
        <v/>
      </c>
      <c r="J40" s="2">
        <f>IF(A40="","",IF(TRIM(H40)="","施工前、施工中、施工後",SUBSTITUTE(SUBSTITUTE(SUBSTITUTE(TRIM(H40),"，","、"),",","、")," ","")))</f>
        <v/>
      </c>
      <c r="K40" s="2">
        <f>IF(A40="","",SUMPRODUCT((檢查項目!$A$2:$A$500=A40)*(檢查項目!$B$2:$B$500="")))</f>
        <v/>
      </c>
      <c r="L40" s="2">
        <f>IF(A40="","",SUMPRODUCT((檢查項目!$A$2:$A$500=A40)*(檢查項目!$B$2:$B$500&lt;&gt;""))+SUMPRODUCT((數值欄位!$A$2:$A$500=A40)*(數值欄位!$B$2:$B$500&lt;&gt;"")))</f>
        <v/>
      </c>
      <c r="M40" s="2">
        <f>IF(A40="","",IF(TRIM(IF(COUNTIF($A$2:$A$500,A40)&gt;1,"⚠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",""))="","✓",TRIM(IF(COUNTIF($A$2:$A$500,A40)&gt;1,"⚠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",""))))</f>
        <v/>
      </c>
    </row>
    <row r="41">
      <c r="I41" s="2">
        <f>IF(A41="","",IF(TRIM(D41)="","（分項工程層）",IF(TRIM(D41)="全部",_xlfn.TEXTJOIN("、",TRUE,單元!$A$2:$A$500),SUBSTITUTE(SUBSTITUTE(SUBSTITUTE(TRIM(D41),"，","、"),",","、")," ",""))))</f>
        <v/>
      </c>
      <c r="J41" s="2">
        <f>IF(A41="","",IF(TRIM(H41)="","施工前、施工中、施工後",SUBSTITUTE(SUBSTITUTE(SUBSTITUTE(TRIM(H41),"，","、"),",","、")," ","")))</f>
        <v/>
      </c>
      <c r="K41" s="2">
        <f>IF(A41="","",SUMPRODUCT((檢查項目!$A$2:$A$500=A41)*(檢查項目!$B$2:$B$500="")))</f>
        <v/>
      </c>
      <c r="L41" s="2">
        <f>IF(A41="","",SUMPRODUCT((檢查項目!$A$2:$A$500=A41)*(檢查項目!$B$2:$B$500&lt;&gt;""))+SUMPRODUCT((數值欄位!$A$2:$A$500=A41)*(數值欄位!$B$2:$B$500&lt;&gt;"")))</f>
        <v/>
      </c>
      <c r="M41" s="2">
        <f>IF(A41="","",IF(TRIM(IF(COUNTIF($A$2:$A$500,A41)&gt;1,"⚠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",""))="","✓",TRIM(IF(COUNTIF($A$2:$A$500,A41)&gt;1,"⚠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",""))))</f>
        <v/>
      </c>
    </row>
    <row r="42">
      <c r="I42" s="2">
        <f>IF(A42="","",IF(TRIM(D42)="","（分項工程層）",IF(TRIM(D42)="全部",_xlfn.TEXTJOIN("、",TRUE,單元!$A$2:$A$500),SUBSTITUTE(SUBSTITUTE(SUBSTITUTE(TRIM(D42),"，","、"),",","、")," ",""))))</f>
        <v/>
      </c>
      <c r="J42" s="2">
        <f>IF(A42="","",IF(TRIM(H42)="","施工前、施工中、施工後",SUBSTITUTE(SUBSTITUTE(SUBSTITUTE(TRIM(H42),"，","、"),",","、")," ","")))</f>
        <v/>
      </c>
      <c r="K42" s="2">
        <f>IF(A42="","",SUMPRODUCT((檢查項目!$A$2:$A$500=A42)*(檢查項目!$B$2:$B$500="")))</f>
        <v/>
      </c>
      <c r="L42" s="2">
        <f>IF(A42="","",SUMPRODUCT((檢查項目!$A$2:$A$500=A42)*(檢查項目!$B$2:$B$500&lt;&gt;""))+SUMPRODUCT((數值欄位!$A$2:$A$500=A42)*(數值欄位!$B$2:$B$500&lt;&gt;"")))</f>
        <v/>
      </c>
      <c r="M42" s="2">
        <f>IF(A42="","",IF(TRIM(IF(COUNTIF($A$2:$A$500,A42)&gt;1,"⚠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",""))="","✓",TRIM(IF(COUNTIF($A$2:$A$500,A42)&gt;1,"⚠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",""))))</f>
        <v/>
      </c>
    </row>
    <row r="43">
      <c r="I43" s="2">
        <f>IF(A43="","",IF(TRIM(D43)="","（分項工程層）",IF(TRIM(D43)="全部",_xlfn.TEXTJOIN("、",TRUE,單元!$A$2:$A$500),SUBSTITUTE(SUBSTITUTE(SUBSTITUTE(TRIM(D43),"，","、"),",","、")," ",""))))</f>
        <v/>
      </c>
      <c r="J43" s="2">
        <f>IF(A43="","",IF(TRIM(H43)="","施工前、施工中、施工後",SUBSTITUTE(SUBSTITUTE(SUBSTITUTE(TRIM(H43),"，","、"),",","、")," ","")))</f>
        <v/>
      </c>
      <c r="K43" s="2">
        <f>IF(A43="","",SUMPRODUCT((檢查項目!$A$2:$A$500=A43)*(檢查項目!$B$2:$B$500="")))</f>
        <v/>
      </c>
      <c r="L43" s="2">
        <f>IF(A43="","",SUMPRODUCT((檢查項目!$A$2:$A$500=A43)*(檢查項目!$B$2:$B$500&lt;&gt;""))+SUMPRODUCT((數值欄位!$A$2:$A$500=A43)*(數值欄位!$B$2:$B$500&lt;&gt;"")))</f>
        <v/>
      </c>
      <c r="M43" s="2">
        <f>IF(A43="","",IF(TRIM(IF(COUNTIF($A$2:$A$500,A43)&gt;1,"⚠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",""))="","✓",TRIM(IF(COUNTIF($A$2:$A$500,A43)&gt;1,"⚠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",""))))</f>
        <v/>
      </c>
    </row>
    <row r="44">
      <c r="I44" s="2">
        <f>IF(A44="","",IF(TRIM(D44)="","（分項工程層）",IF(TRIM(D44)="全部",_xlfn.TEXTJOIN("、",TRUE,單元!$A$2:$A$500),SUBSTITUTE(SUBSTITUTE(SUBSTITUTE(TRIM(D44),"，","、"),",","、")," ",""))))</f>
        <v/>
      </c>
      <c r="J44" s="2">
        <f>IF(A44="","",IF(TRIM(H44)="","施工前、施工中、施工後",SUBSTITUTE(SUBSTITUTE(SUBSTITUTE(TRIM(H44),"，","、"),",","、")," ","")))</f>
        <v/>
      </c>
      <c r="K44" s="2">
        <f>IF(A44="","",SUMPRODUCT((檢查項目!$A$2:$A$500=A44)*(檢查項目!$B$2:$B$500="")))</f>
        <v/>
      </c>
      <c r="L44" s="2">
        <f>IF(A44="","",SUMPRODUCT((檢查項目!$A$2:$A$500=A44)*(檢查項目!$B$2:$B$500&lt;&gt;""))+SUMPRODUCT((數值欄位!$A$2:$A$500=A44)*(數值欄位!$B$2:$B$500&lt;&gt;"")))</f>
        <v/>
      </c>
      <c r="M44" s="2">
        <f>IF(A44="","",IF(TRIM(IF(COUNTIF($A$2:$A$500,A44)&gt;1,"⚠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",""))="","✓",TRIM(IF(COUNTIF($A$2:$A$500,A44)&gt;1,"⚠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",""))))</f>
        <v/>
      </c>
    </row>
    <row r="45">
      <c r="I45" s="2">
        <f>IF(A45="","",IF(TRIM(D45)="","（分項工程層）",IF(TRIM(D45)="全部",_xlfn.TEXTJOIN("、",TRUE,單元!$A$2:$A$500),SUBSTITUTE(SUBSTITUTE(SUBSTITUTE(TRIM(D45),"，","、"),",","、")," ",""))))</f>
        <v/>
      </c>
      <c r="J45" s="2">
        <f>IF(A45="","",IF(TRIM(H45)="","施工前、施工中、施工後",SUBSTITUTE(SUBSTITUTE(SUBSTITUTE(TRIM(H45),"，","、"),",","、")," ","")))</f>
        <v/>
      </c>
      <c r="K45" s="2">
        <f>IF(A45="","",SUMPRODUCT((檢查項目!$A$2:$A$500=A45)*(檢查項目!$B$2:$B$500="")))</f>
        <v/>
      </c>
      <c r="L45" s="2">
        <f>IF(A45="","",SUMPRODUCT((檢查項目!$A$2:$A$500=A45)*(檢查項目!$B$2:$B$500&lt;&gt;""))+SUMPRODUCT((數值欄位!$A$2:$A$500=A45)*(數值欄位!$B$2:$B$500&lt;&gt;"")))</f>
        <v/>
      </c>
      <c r="M45" s="2">
        <f>IF(A45="","",IF(TRIM(IF(COUNTIF($A$2:$A$500,A45)&gt;1,"⚠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",""))="","✓",TRIM(IF(COUNTIF($A$2:$A$500,A45)&gt;1,"⚠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",""))))</f>
        <v/>
      </c>
    </row>
    <row r="46">
      <c r="I46" s="2">
        <f>IF(A46="","",IF(TRIM(D46)="","（分項工程層）",IF(TRIM(D46)="全部",_xlfn.TEXTJOIN("、",TRUE,單元!$A$2:$A$500),SUBSTITUTE(SUBSTITUTE(SUBSTITUTE(TRIM(D46),"，","、"),",","、")," ",""))))</f>
        <v/>
      </c>
      <c r="J46" s="2">
        <f>IF(A46="","",IF(TRIM(H46)="","施工前、施工中、施工後",SUBSTITUTE(SUBSTITUTE(SUBSTITUTE(TRIM(H46),"，","、"),",","、")," ","")))</f>
        <v/>
      </c>
      <c r="K46" s="2">
        <f>IF(A46="","",SUMPRODUCT((檢查項目!$A$2:$A$500=A46)*(檢查項目!$B$2:$B$500="")))</f>
        <v/>
      </c>
      <c r="L46" s="2">
        <f>IF(A46="","",SUMPRODUCT((檢查項目!$A$2:$A$500=A46)*(檢查項目!$B$2:$B$500&lt;&gt;""))+SUMPRODUCT((數值欄位!$A$2:$A$500=A46)*(數值欄位!$B$2:$B$500&lt;&gt;"")))</f>
        <v/>
      </c>
      <c r="M46" s="2">
        <f>IF(A46="","",IF(TRIM(IF(COUNTIF($A$2:$A$500,A46)&gt;1,"⚠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",""))="","✓",TRIM(IF(COUNTIF($A$2:$A$500,A46)&gt;1,"⚠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",""))))</f>
        <v/>
      </c>
    </row>
    <row r="47">
      <c r="I47" s="2">
        <f>IF(A47="","",IF(TRIM(D47)="","（分項工程層）",IF(TRIM(D47)="全部",_xlfn.TEXTJOIN("、",TRUE,單元!$A$2:$A$500),SUBSTITUTE(SUBSTITUTE(SUBSTITUTE(TRIM(D47),"，","、"),",","、")," ",""))))</f>
        <v/>
      </c>
      <c r="J47" s="2">
        <f>IF(A47="","",IF(TRIM(H47)="","施工前、施工中、施工後",SUBSTITUTE(SUBSTITUTE(SUBSTITUTE(TRIM(H47),"，","、"),",","、")," ","")))</f>
        <v/>
      </c>
      <c r="K47" s="2">
        <f>IF(A47="","",SUMPRODUCT((檢查項目!$A$2:$A$500=A47)*(檢查項目!$B$2:$B$500="")))</f>
        <v/>
      </c>
      <c r="L47" s="2">
        <f>IF(A47="","",SUMPRODUCT((檢查項目!$A$2:$A$500=A47)*(檢查項目!$B$2:$B$500&lt;&gt;""))+SUMPRODUCT((數值欄位!$A$2:$A$500=A47)*(數值欄位!$B$2:$B$500&lt;&gt;"")))</f>
        <v/>
      </c>
      <c r="M47" s="2">
        <f>IF(A47="","",IF(TRIM(IF(COUNTIF($A$2:$A$500,A47)&gt;1,"⚠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",""))="","✓",TRIM(IF(COUNTIF($A$2:$A$500,A47)&gt;1,"⚠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",""))))</f>
        <v/>
      </c>
    </row>
    <row r="48">
      <c r="I48" s="2">
        <f>IF(A48="","",IF(TRIM(D48)="","（分項工程層）",IF(TRIM(D48)="全部",_xlfn.TEXTJOIN("、",TRUE,單元!$A$2:$A$500),SUBSTITUTE(SUBSTITUTE(SUBSTITUTE(TRIM(D48),"，","、"),",","、")," ",""))))</f>
        <v/>
      </c>
      <c r="J48" s="2">
        <f>IF(A48="","",IF(TRIM(H48)="","施工前、施工中、施工後",SUBSTITUTE(SUBSTITUTE(SUBSTITUTE(TRIM(H48),"，","、"),",","、")," ","")))</f>
        <v/>
      </c>
      <c r="K48" s="2">
        <f>IF(A48="","",SUMPRODUCT((檢查項目!$A$2:$A$500=A48)*(檢查項目!$B$2:$B$500="")))</f>
        <v/>
      </c>
      <c r="L48" s="2">
        <f>IF(A48="","",SUMPRODUCT((檢查項目!$A$2:$A$500=A48)*(檢查項目!$B$2:$B$500&lt;&gt;""))+SUMPRODUCT((數值欄位!$A$2:$A$500=A48)*(數值欄位!$B$2:$B$500&lt;&gt;"")))</f>
        <v/>
      </c>
      <c r="M48" s="2">
        <f>IF(A48="","",IF(TRIM(IF(COUNTIF($A$2:$A$500,A48)&gt;1,"⚠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",""))="","✓",TRIM(IF(COUNTIF($A$2:$A$500,A48)&gt;1,"⚠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",""))))</f>
        <v/>
      </c>
    </row>
    <row r="49">
      <c r="I49" s="2">
        <f>IF(A49="","",IF(TRIM(D49)="","（分項工程層）",IF(TRIM(D49)="全部",_xlfn.TEXTJOIN("、",TRUE,單元!$A$2:$A$500),SUBSTITUTE(SUBSTITUTE(SUBSTITUTE(TRIM(D49),"，","、"),",","、")," ",""))))</f>
        <v/>
      </c>
      <c r="J49" s="2">
        <f>IF(A49="","",IF(TRIM(H49)="","施工前、施工中、施工後",SUBSTITUTE(SUBSTITUTE(SUBSTITUTE(TRIM(H49),"，","、"),",","、")," ","")))</f>
        <v/>
      </c>
      <c r="K49" s="2">
        <f>IF(A49="","",SUMPRODUCT((檢查項目!$A$2:$A$500=A49)*(檢查項目!$B$2:$B$500="")))</f>
        <v/>
      </c>
      <c r="L49" s="2">
        <f>IF(A49="","",SUMPRODUCT((檢查項目!$A$2:$A$500=A49)*(檢查項目!$B$2:$B$500&lt;&gt;""))+SUMPRODUCT((數值欄位!$A$2:$A$500=A49)*(數值欄位!$B$2:$B$500&lt;&gt;"")))</f>
        <v/>
      </c>
      <c r="M49" s="2">
        <f>IF(A49="","",IF(TRIM(IF(COUNTIF($A$2:$A$500,A49)&gt;1,"⚠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",""))="","✓",TRIM(IF(COUNTIF($A$2:$A$500,A49)&gt;1,"⚠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",""))))</f>
        <v/>
      </c>
    </row>
    <row r="50">
      <c r="I50" s="2">
        <f>IF(A50="","",IF(TRIM(D50)="","（分項工程層）",IF(TRIM(D50)="全部",_xlfn.TEXTJOIN("、",TRUE,單元!$A$2:$A$500),SUBSTITUTE(SUBSTITUTE(SUBSTITUTE(TRIM(D50),"，","、"),",","、")," ",""))))</f>
        <v/>
      </c>
      <c r="J50" s="2">
        <f>IF(A50="","",IF(TRIM(H50)="","施工前、施工中、施工後",SUBSTITUTE(SUBSTITUTE(SUBSTITUTE(TRIM(H50),"，","、"),",","、")," ","")))</f>
        <v/>
      </c>
      <c r="K50" s="2">
        <f>IF(A50="","",SUMPRODUCT((檢查項目!$A$2:$A$500=A50)*(檢查項目!$B$2:$B$500="")))</f>
        <v/>
      </c>
      <c r="L50" s="2">
        <f>IF(A50="","",SUMPRODUCT((檢查項目!$A$2:$A$500=A50)*(檢查項目!$B$2:$B$500&lt;&gt;""))+SUMPRODUCT((數值欄位!$A$2:$A$500=A50)*(數值欄位!$B$2:$B$500&lt;&gt;"")))</f>
        <v/>
      </c>
      <c r="M50" s="2">
        <f>IF(A50="","",IF(TRIM(IF(COUNTIF($A$2:$A$500,A50)&gt;1,"⚠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",""))="","✓",TRIM(IF(COUNTIF($A$2:$A$500,A50)&gt;1,"⚠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",""))))</f>
        <v/>
      </c>
    </row>
    <row r="51">
      <c r="I51" s="2">
        <f>IF(A51="","",IF(TRIM(D51)="","（分項工程層）",IF(TRIM(D51)="全部",_xlfn.TEXTJOIN("、",TRUE,單元!$A$2:$A$500),SUBSTITUTE(SUBSTITUTE(SUBSTITUTE(TRIM(D51),"，","、"),",","、")," ",""))))</f>
        <v/>
      </c>
      <c r="J51" s="2">
        <f>IF(A51="","",IF(TRIM(H51)="","施工前、施工中、施工後",SUBSTITUTE(SUBSTITUTE(SUBSTITUTE(TRIM(H51),"，","、"),",","、")," ","")))</f>
        <v/>
      </c>
      <c r="K51" s="2">
        <f>IF(A51="","",SUMPRODUCT((檢查項目!$A$2:$A$500=A51)*(檢查項目!$B$2:$B$500="")))</f>
        <v/>
      </c>
      <c r="L51" s="2">
        <f>IF(A51="","",SUMPRODUCT((檢查項目!$A$2:$A$500=A51)*(檢查項目!$B$2:$B$500&lt;&gt;""))+SUMPRODUCT((數值欄位!$A$2:$A$500=A51)*(數值欄位!$B$2:$B$500&lt;&gt;"")))</f>
        <v/>
      </c>
      <c r="M51" s="2">
        <f>IF(A51="","",IF(TRIM(IF(COUNTIF($A$2:$A$500,A51)&gt;1,"⚠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",""))="","✓",TRIM(IF(COUNTIF($A$2:$A$500,A51)&gt;1,"⚠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",""))))</f>
        <v/>
      </c>
    </row>
    <row r="52">
      <c r="I52" s="2">
        <f>IF(A52="","",IF(TRIM(D52)="","（分項工程層）",IF(TRIM(D52)="全部",_xlfn.TEXTJOIN("、",TRUE,單元!$A$2:$A$500),SUBSTITUTE(SUBSTITUTE(SUBSTITUTE(TRIM(D52),"，","、"),",","、")," ",""))))</f>
        <v/>
      </c>
      <c r="J52" s="2">
        <f>IF(A52="","",IF(TRIM(H52)="","施工前、施工中、施工後",SUBSTITUTE(SUBSTITUTE(SUBSTITUTE(TRIM(H52),"，","、"),",","、")," ","")))</f>
        <v/>
      </c>
      <c r="K52" s="2">
        <f>IF(A52="","",SUMPRODUCT((檢查項目!$A$2:$A$500=A52)*(檢查項目!$B$2:$B$500="")))</f>
        <v/>
      </c>
      <c r="L52" s="2">
        <f>IF(A52="","",SUMPRODUCT((檢查項目!$A$2:$A$500=A52)*(檢查項目!$B$2:$B$500&lt;&gt;""))+SUMPRODUCT((數值欄位!$A$2:$A$500=A52)*(數值欄位!$B$2:$B$500&lt;&gt;"")))</f>
        <v/>
      </c>
      <c r="M52" s="2">
        <f>IF(A52="","",IF(TRIM(IF(COUNTIF($A$2:$A$500,A52)&gt;1,"⚠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",""))="","✓",TRIM(IF(COUNTIF($A$2:$A$500,A52)&gt;1,"⚠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",""))))</f>
        <v/>
      </c>
    </row>
    <row r="53">
      <c r="I53" s="2">
        <f>IF(A53="","",IF(TRIM(D53)="","（分項工程層）",IF(TRIM(D53)="全部",_xlfn.TEXTJOIN("、",TRUE,單元!$A$2:$A$500),SUBSTITUTE(SUBSTITUTE(SUBSTITUTE(TRIM(D53),"，","、"),",","、")," ",""))))</f>
        <v/>
      </c>
      <c r="J53" s="2">
        <f>IF(A53="","",IF(TRIM(H53)="","施工前、施工中、施工後",SUBSTITUTE(SUBSTITUTE(SUBSTITUTE(TRIM(H53),"，","、"),",","、")," ","")))</f>
        <v/>
      </c>
      <c r="K53" s="2">
        <f>IF(A53="","",SUMPRODUCT((檢查項目!$A$2:$A$500=A53)*(檢查項目!$B$2:$B$500="")))</f>
        <v/>
      </c>
      <c r="L53" s="2">
        <f>IF(A53="","",SUMPRODUCT((檢查項目!$A$2:$A$500=A53)*(檢查項目!$B$2:$B$500&lt;&gt;""))+SUMPRODUCT((數值欄位!$A$2:$A$500=A53)*(數值欄位!$B$2:$B$500&lt;&gt;"")))</f>
        <v/>
      </c>
      <c r="M53" s="2">
        <f>IF(A53="","",IF(TRIM(IF(COUNTIF($A$2:$A$500,A53)&gt;1,"⚠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",""))="","✓",TRIM(IF(COUNTIF($A$2:$A$500,A53)&gt;1,"⚠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",""))))</f>
        <v/>
      </c>
    </row>
    <row r="54">
      <c r="I54" s="2">
        <f>IF(A54="","",IF(TRIM(D54)="","（分項工程層）",IF(TRIM(D54)="全部",_xlfn.TEXTJOIN("、",TRUE,單元!$A$2:$A$500),SUBSTITUTE(SUBSTITUTE(SUBSTITUTE(TRIM(D54),"，","、"),",","、")," ",""))))</f>
        <v/>
      </c>
      <c r="J54" s="2">
        <f>IF(A54="","",IF(TRIM(H54)="","施工前、施工中、施工後",SUBSTITUTE(SUBSTITUTE(SUBSTITUTE(TRIM(H54),"，","、"),",","、")," ","")))</f>
        <v/>
      </c>
      <c r="K54" s="2">
        <f>IF(A54="","",SUMPRODUCT((檢查項目!$A$2:$A$500=A54)*(檢查項目!$B$2:$B$500="")))</f>
        <v/>
      </c>
      <c r="L54" s="2">
        <f>IF(A54="","",SUMPRODUCT((檢查項目!$A$2:$A$500=A54)*(檢查項目!$B$2:$B$500&lt;&gt;""))+SUMPRODUCT((數值欄位!$A$2:$A$500=A54)*(數值欄位!$B$2:$B$500&lt;&gt;"")))</f>
        <v/>
      </c>
      <c r="M54" s="2">
        <f>IF(A54="","",IF(TRIM(IF(COUNTIF($A$2:$A$500,A54)&gt;1,"⚠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",""))="","✓",TRIM(IF(COUNTIF($A$2:$A$500,A54)&gt;1,"⚠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",""))))</f>
        <v/>
      </c>
    </row>
    <row r="55">
      <c r="I55" s="2">
        <f>IF(A55="","",IF(TRIM(D55)="","（分項工程層）",IF(TRIM(D55)="全部",_xlfn.TEXTJOIN("、",TRUE,單元!$A$2:$A$500),SUBSTITUTE(SUBSTITUTE(SUBSTITUTE(TRIM(D55),"，","、"),",","、")," ",""))))</f>
        <v/>
      </c>
      <c r="J55" s="2">
        <f>IF(A55="","",IF(TRIM(H55)="","施工前、施工中、施工後",SUBSTITUTE(SUBSTITUTE(SUBSTITUTE(TRIM(H55),"，","、"),",","、")," ","")))</f>
        <v/>
      </c>
      <c r="K55" s="2">
        <f>IF(A55="","",SUMPRODUCT((檢查項目!$A$2:$A$500=A55)*(檢查項目!$B$2:$B$500="")))</f>
        <v/>
      </c>
      <c r="L55" s="2">
        <f>IF(A55="","",SUMPRODUCT((檢查項目!$A$2:$A$500=A55)*(檢查項目!$B$2:$B$500&lt;&gt;""))+SUMPRODUCT((數值欄位!$A$2:$A$500=A55)*(數值欄位!$B$2:$B$500&lt;&gt;"")))</f>
        <v/>
      </c>
      <c r="M55" s="2">
        <f>IF(A55="","",IF(TRIM(IF(COUNTIF($A$2:$A$500,A55)&gt;1,"⚠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",""))="","✓",TRIM(IF(COUNTIF($A$2:$A$500,A55)&gt;1,"⚠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",""))))</f>
        <v/>
      </c>
    </row>
    <row r="56">
      <c r="I56" s="2">
        <f>IF(A56="","",IF(TRIM(D56)="","（分項工程層）",IF(TRIM(D56)="全部",_xlfn.TEXTJOIN("、",TRUE,單元!$A$2:$A$500),SUBSTITUTE(SUBSTITUTE(SUBSTITUTE(TRIM(D56),"，","、"),",","、")," ",""))))</f>
        <v/>
      </c>
      <c r="J56" s="2">
        <f>IF(A56="","",IF(TRIM(H56)="","施工前、施工中、施工後",SUBSTITUTE(SUBSTITUTE(SUBSTITUTE(TRIM(H56),"，","、"),",","、")," ","")))</f>
        <v/>
      </c>
      <c r="K56" s="2">
        <f>IF(A56="","",SUMPRODUCT((檢查項目!$A$2:$A$500=A56)*(檢查項目!$B$2:$B$500="")))</f>
        <v/>
      </c>
      <c r="L56" s="2">
        <f>IF(A56="","",SUMPRODUCT((檢查項目!$A$2:$A$500=A56)*(檢查項目!$B$2:$B$500&lt;&gt;""))+SUMPRODUCT((數值欄位!$A$2:$A$500=A56)*(數值欄位!$B$2:$B$500&lt;&gt;"")))</f>
        <v/>
      </c>
      <c r="M56" s="2">
        <f>IF(A56="","",IF(TRIM(IF(COUNTIF($A$2:$A$500,A56)&gt;1,"⚠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",""))="","✓",TRIM(IF(COUNTIF($A$2:$A$500,A56)&gt;1,"⚠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",""))))</f>
        <v/>
      </c>
    </row>
    <row r="57">
      <c r="I57" s="2">
        <f>IF(A57="","",IF(TRIM(D57)="","（分項工程層）",IF(TRIM(D57)="全部",_xlfn.TEXTJOIN("、",TRUE,單元!$A$2:$A$500),SUBSTITUTE(SUBSTITUTE(SUBSTITUTE(TRIM(D57),"，","、"),",","、")," ",""))))</f>
        <v/>
      </c>
      <c r="J57" s="2">
        <f>IF(A57="","",IF(TRIM(H57)="","施工前、施工中、施工後",SUBSTITUTE(SUBSTITUTE(SUBSTITUTE(TRIM(H57),"，","、"),",","、")," ","")))</f>
        <v/>
      </c>
      <c r="K57" s="2">
        <f>IF(A57="","",SUMPRODUCT((檢查項目!$A$2:$A$500=A57)*(檢查項目!$B$2:$B$500="")))</f>
        <v/>
      </c>
      <c r="L57" s="2">
        <f>IF(A57="","",SUMPRODUCT((檢查項目!$A$2:$A$500=A57)*(檢查項目!$B$2:$B$500&lt;&gt;""))+SUMPRODUCT((數值欄位!$A$2:$A$500=A57)*(數值欄位!$B$2:$B$500&lt;&gt;"")))</f>
        <v/>
      </c>
      <c r="M57" s="2">
        <f>IF(A57="","",IF(TRIM(IF(COUNTIF($A$2:$A$500,A57)&gt;1,"⚠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",""))="","✓",TRIM(IF(COUNTIF($A$2:$A$500,A57)&gt;1,"⚠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",""))))</f>
        <v/>
      </c>
    </row>
    <row r="58">
      <c r="I58" s="2">
        <f>IF(A58="","",IF(TRIM(D58)="","（分項工程層）",IF(TRIM(D58)="全部",_xlfn.TEXTJOIN("、",TRUE,單元!$A$2:$A$500),SUBSTITUTE(SUBSTITUTE(SUBSTITUTE(TRIM(D58),"，","、"),",","、")," ",""))))</f>
        <v/>
      </c>
      <c r="J58" s="2">
        <f>IF(A58="","",IF(TRIM(H58)="","施工前、施工中、施工後",SUBSTITUTE(SUBSTITUTE(SUBSTITUTE(TRIM(H58),"，","、"),",","、")," ","")))</f>
        <v/>
      </c>
      <c r="K58" s="2">
        <f>IF(A58="","",SUMPRODUCT((檢查項目!$A$2:$A$500=A58)*(檢查項目!$B$2:$B$500="")))</f>
        <v/>
      </c>
      <c r="L58" s="2">
        <f>IF(A58="","",SUMPRODUCT((檢查項目!$A$2:$A$500=A58)*(檢查項目!$B$2:$B$500&lt;&gt;""))+SUMPRODUCT((數值欄位!$A$2:$A$500=A58)*(數值欄位!$B$2:$B$500&lt;&gt;"")))</f>
        <v/>
      </c>
      <c r="M58" s="2">
        <f>IF(A58="","",IF(TRIM(IF(COUNTIF($A$2:$A$500,A58)&gt;1,"⚠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",""))="","✓",TRIM(IF(COUNTIF($A$2:$A$500,A58)&gt;1,"⚠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",""))))</f>
        <v/>
      </c>
    </row>
    <row r="59">
      <c r="I59" s="2">
        <f>IF(A59="","",IF(TRIM(D59)="","（分項工程層）",IF(TRIM(D59)="全部",_xlfn.TEXTJOIN("、",TRUE,單元!$A$2:$A$500),SUBSTITUTE(SUBSTITUTE(SUBSTITUTE(TRIM(D59),"，","、"),",","、")," ",""))))</f>
        <v/>
      </c>
      <c r="J59" s="2">
        <f>IF(A59="","",IF(TRIM(H59)="","施工前、施工中、施工後",SUBSTITUTE(SUBSTITUTE(SUBSTITUTE(TRIM(H59),"，","、"),",","、")," ","")))</f>
        <v/>
      </c>
      <c r="K59" s="2">
        <f>IF(A59="","",SUMPRODUCT((檢查項目!$A$2:$A$500=A59)*(檢查項目!$B$2:$B$500="")))</f>
        <v/>
      </c>
      <c r="L59" s="2">
        <f>IF(A59="","",SUMPRODUCT((檢查項目!$A$2:$A$500=A59)*(檢查項目!$B$2:$B$500&lt;&gt;""))+SUMPRODUCT((數值欄位!$A$2:$A$500=A59)*(數值欄位!$B$2:$B$500&lt;&gt;"")))</f>
        <v/>
      </c>
      <c r="M59" s="2">
        <f>IF(A59="","",IF(TRIM(IF(COUNTIF($A$2:$A$500,A59)&gt;1,"⚠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",""))="","✓",TRIM(IF(COUNTIF($A$2:$A$500,A59)&gt;1,"⚠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",""))))</f>
        <v/>
      </c>
    </row>
    <row r="60">
      <c r="I60" s="2">
        <f>IF(A60="","",IF(TRIM(D60)="","（分項工程層）",IF(TRIM(D60)="全部",_xlfn.TEXTJOIN("、",TRUE,單元!$A$2:$A$500),SUBSTITUTE(SUBSTITUTE(SUBSTITUTE(TRIM(D60),"，","、"),",","、")," ",""))))</f>
        <v/>
      </c>
      <c r="J60" s="2">
        <f>IF(A60="","",IF(TRIM(H60)="","施工前、施工中、施工後",SUBSTITUTE(SUBSTITUTE(SUBSTITUTE(TRIM(H60),"，","、"),",","、")," ","")))</f>
        <v/>
      </c>
      <c r="K60" s="2">
        <f>IF(A60="","",SUMPRODUCT((檢查項目!$A$2:$A$500=A60)*(檢查項目!$B$2:$B$500="")))</f>
        <v/>
      </c>
      <c r="L60" s="2">
        <f>IF(A60="","",SUMPRODUCT((檢查項目!$A$2:$A$500=A60)*(檢查項目!$B$2:$B$500&lt;&gt;""))+SUMPRODUCT((數值欄位!$A$2:$A$500=A60)*(數值欄位!$B$2:$B$500&lt;&gt;"")))</f>
        <v/>
      </c>
      <c r="M60" s="2">
        <f>IF(A60="","",IF(TRIM(IF(COUNTIF($A$2:$A$500,A60)&gt;1,"⚠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",""))="","✓",TRIM(IF(COUNTIF($A$2:$A$500,A60)&gt;1,"⚠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",""))))</f>
        <v/>
      </c>
    </row>
    <row r="61">
      <c r="I61" s="2">
        <f>IF(A61="","",IF(TRIM(D61)="","（分項工程層）",IF(TRIM(D61)="全部",_xlfn.TEXTJOIN("、",TRUE,單元!$A$2:$A$500),SUBSTITUTE(SUBSTITUTE(SUBSTITUTE(TRIM(D61),"，","、"),",","、")," ",""))))</f>
        <v/>
      </c>
      <c r="J61" s="2">
        <f>IF(A61="","",IF(TRIM(H61)="","施工前、施工中、施工後",SUBSTITUTE(SUBSTITUTE(SUBSTITUTE(TRIM(H61),"，","、"),",","、")," ","")))</f>
        <v/>
      </c>
      <c r="K61" s="2">
        <f>IF(A61="","",SUMPRODUCT((檢查項目!$A$2:$A$500=A61)*(檢查項目!$B$2:$B$500="")))</f>
        <v/>
      </c>
      <c r="L61" s="2">
        <f>IF(A61="","",SUMPRODUCT((檢查項目!$A$2:$A$500=A61)*(檢查項目!$B$2:$B$500&lt;&gt;""))+SUMPRODUCT((數值欄位!$A$2:$A$500=A61)*(數值欄位!$B$2:$B$500&lt;&gt;"")))</f>
        <v/>
      </c>
      <c r="M61" s="2">
        <f>IF(A61="","",IF(TRIM(IF(COUNTIF($A$2:$A$500,A61)&gt;1,"⚠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",""))="","✓",TRIM(IF(COUNTIF($A$2:$A$500,A61)&gt;1,"⚠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",""))))</f>
        <v/>
      </c>
    </row>
    <row r="62">
      <c r="I62" s="2">
        <f>IF(A62="","",IF(TRIM(D62)="","（分項工程層）",IF(TRIM(D62)="全部",_xlfn.TEXTJOIN("、",TRUE,單元!$A$2:$A$500),SUBSTITUTE(SUBSTITUTE(SUBSTITUTE(TRIM(D62),"，","、"),",","、")," ",""))))</f>
        <v/>
      </c>
      <c r="J62" s="2">
        <f>IF(A62="","",IF(TRIM(H62)="","施工前、施工中、施工後",SUBSTITUTE(SUBSTITUTE(SUBSTITUTE(TRIM(H62),"，","、"),",","、")," ","")))</f>
        <v/>
      </c>
      <c r="K62" s="2">
        <f>IF(A62="","",SUMPRODUCT((檢查項目!$A$2:$A$500=A62)*(檢查項目!$B$2:$B$500="")))</f>
        <v/>
      </c>
      <c r="L62" s="2">
        <f>IF(A62="","",SUMPRODUCT((檢查項目!$A$2:$A$500=A62)*(檢查項目!$B$2:$B$500&lt;&gt;""))+SUMPRODUCT((數值欄位!$A$2:$A$500=A62)*(數值欄位!$B$2:$B$500&lt;&gt;"")))</f>
        <v/>
      </c>
      <c r="M62" s="2">
        <f>IF(A62="","",IF(TRIM(IF(COUNTIF($A$2:$A$500,A62)&gt;1,"⚠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",""))="","✓",TRIM(IF(COUNTIF($A$2:$A$500,A62)&gt;1,"⚠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",""))))</f>
        <v/>
      </c>
    </row>
    <row r="63">
      <c r="I63" s="2">
        <f>IF(A63="","",IF(TRIM(D63)="","（分項工程層）",IF(TRIM(D63)="全部",_xlfn.TEXTJOIN("、",TRUE,單元!$A$2:$A$500),SUBSTITUTE(SUBSTITUTE(SUBSTITUTE(TRIM(D63),"，","、"),",","、")," ",""))))</f>
        <v/>
      </c>
      <c r="J63" s="2">
        <f>IF(A63="","",IF(TRIM(H63)="","施工前、施工中、施工後",SUBSTITUTE(SUBSTITUTE(SUBSTITUTE(TRIM(H63),"，","、"),",","、")," ","")))</f>
        <v/>
      </c>
      <c r="K63" s="2">
        <f>IF(A63="","",SUMPRODUCT((檢查項目!$A$2:$A$500=A63)*(檢查項目!$B$2:$B$500="")))</f>
        <v/>
      </c>
      <c r="L63" s="2">
        <f>IF(A63="","",SUMPRODUCT((檢查項目!$A$2:$A$500=A63)*(檢查項目!$B$2:$B$500&lt;&gt;""))+SUMPRODUCT((數值欄位!$A$2:$A$500=A63)*(數值欄位!$B$2:$B$500&lt;&gt;"")))</f>
        <v/>
      </c>
      <c r="M63" s="2">
        <f>IF(A63="","",IF(TRIM(IF(COUNTIF($A$2:$A$500,A63)&gt;1,"⚠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",""))="","✓",TRIM(IF(COUNTIF($A$2:$A$500,A63)&gt;1,"⚠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",""))))</f>
        <v/>
      </c>
    </row>
    <row r="64">
      <c r="I64" s="2">
        <f>IF(A64="","",IF(TRIM(D64)="","（分項工程層）",IF(TRIM(D64)="全部",_xlfn.TEXTJOIN("、",TRUE,單元!$A$2:$A$500),SUBSTITUTE(SUBSTITUTE(SUBSTITUTE(TRIM(D64),"，","、"),",","、")," ",""))))</f>
        <v/>
      </c>
      <c r="J64" s="2">
        <f>IF(A64="","",IF(TRIM(H64)="","施工前、施工中、施工後",SUBSTITUTE(SUBSTITUTE(SUBSTITUTE(TRIM(H64),"，","、"),",","、")," ","")))</f>
        <v/>
      </c>
      <c r="K64" s="2">
        <f>IF(A64="","",SUMPRODUCT((檢查項目!$A$2:$A$500=A64)*(檢查項目!$B$2:$B$500="")))</f>
        <v/>
      </c>
      <c r="L64" s="2">
        <f>IF(A64="","",SUMPRODUCT((檢查項目!$A$2:$A$500=A64)*(檢查項目!$B$2:$B$500&lt;&gt;""))+SUMPRODUCT((數值欄位!$A$2:$A$500=A64)*(數值欄位!$B$2:$B$500&lt;&gt;"")))</f>
        <v/>
      </c>
      <c r="M64" s="2">
        <f>IF(A64="","",IF(TRIM(IF(COUNTIF($A$2:$A$500,A64)&gt;1,"⚠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",""))="","✓",TRIM(IF(COUNTIF($A$2:$A$500,A64)&gt;1,"⚠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",""))))</f>
        <v/>
      </c>
    </row>
    <row r="65">
      <c r="I65" s="2">
        <f>IF(A65="","",IF(TRIM(D65)="","（分項工程層）",IF(TRIM(D65)="全部",_xlfn.TEXTJOIN("、",TRUE,單元!$A$2:$A$500),SUBSTITUTE(SUBSTITUTE(SUBSTITUTE(TRIM(D65),"，","、"),",","、")," ",""))))</f>
        <v/>
      </c>
      <c r="J65" s="2">
        <f>IF(A65="","",IF(TRIM(H65)="","施工前、施工中、施工後",SUBSTITUTE(SUBSTITUTE(SUBSTITUTE(TRIM(H65),"，","、"),",","、")," ","")))</f>
        <v/>
      </c>
      <c r="K65" s="2">
        <f>IF(A65="","",SUMPRODUCT((檢查項目!$A$2:$A$500=A65)*(檢查項目!$B$2:$B$500="")))</f>
        <v/>
      </c>
      <c r="L65" s="2">
        <f>IF(A65="","",SUMPRODUCT((檢查項目!$A$2:$A$500=A65)*(檢查項目!$B$2:$B$500&lt;&gt;""))+SUMPRODUCT((數值欄位!$A$2:$A$500=A65)*(數值欄位!$B$2:$B$500&lt;&gt;"")))</f>
        <v/>
      </c>
      <c r="M65" s="2">
        <f>IF(A65="","",IF(TRIM(IF(COUNTIF($A$2:$A$500,A65)&gt;1,"⚠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",""))="","✓",TRIM(IF(COUNTIF($A$2:$A$500,A65)&gt;1,"⚠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",""))))</f>
        <v/>
      </c>
    </row>
    <row r="66">
      <c r="I66" s="2">
        <f>IF(A66="","",IF(TRIM(D66)="","（分項工程層）",IF(TRIM(D66)="全部",_xlfn.TEXTJOIN("、",TRUE,單元!$A$2:$A$500),SUBSTITUTE(SUBSTITUTE(SUBSTITUTE(TRIM(D66),"，","、"),",","、")," ",""))))</f>
        <v/>
      </c>
      <c r="J66" s="2">
        <f>IF(A66="","",IF(TRIM(H66)="","施工前、施工中、施工後",SUBSTITUTE(SUBSTITUTE(SUBSTITUTE(TRIM(H66),"，","、"),",","、")," ","")))</f>
        <v/>
      </c>
      <c r="K66" s="2">
        <f>IF(A66="","",SUMPRODUCT((檢查項目!$A$2:$A$500=A66)*(檢查項目!$B$2:$B$500="")))</f>
        <v/>
      </c>
      <c r="L66" s="2">
        <f>IF(A66="","",SUMPRODUCT((檢查項目!$A$2:$A$500=A66)*(檢查項目!$B$2:$B$500&lt;&gt;""))+SUMPRODUCT((數值欄位!$A$2:$A$500=A66)*(數值欄位!$B$2:$B$500&lt;&gt;"")))</f>
        <v/>
      </c>
      <c r="M66" s="2">
        <f>IF(A66="","",IF(TRIM(IF(COUNTIF($A$2:$A$500,A66)&gt;1,"⚠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",""))="","✓",TRIM(IF(COUNTIF($A$2:$A$500,A66)&gt;1,"⚠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",""))))</f>
        <v/>
      </c>
    </row>
    <row r="67">
      <c r="I67" s="2">
        <f>IF(A67="","",IF(TRIM(D67)="","（分項工程層）",IF(TRIM(D67)="全部",_xlfn.TEXTJOIN("、",TRUE,單元!$A$2:$A$500),SUBSTITUTE(SUBSTITUTE(SUBSTITUTE(TRIM(D67),"，","、"),",","、")," ",""))))</f>
        <v/>
      </c>
      <c r="J67" s="2">
        <f>IF(A67="","",IF(TRIM(H67)="","施工前、施工中、施工後",SUBSTITUTE(SUBSTITUTE(SUBSTITUTE(TRIM(H67),"，","、"),",","、")," ","")))</f>
        <v/>
      </c>
      <c r="K67" s="2">
        <f>IF(A67="","",SUMPRODUCT((檢查項目!$A$2:$A$500=A67)*(檢查項目!$B$2:$B$500="")))</f>
        <v/>
      </c>
      <c r="L67" s="2">
        <f>IF(A67="","",SUMPRODUCT((檢查項目!$A$2:$A$500=A67)*(檢查項目!$B$2:$B$500&lt;&gt;""))+SUMPRODUCT((數值欄位!$A$2:$A$500=A67)*(數值欄位!$B$2:$B$500&lt;&gt;"")))</f>
        <v/>
      </c>
      <c r="M67" s="2">
        <f>IF(A67="","",IF(TRIM(IF(COUNTIF($A$2:$A$500,A67)&gt;1,"⚠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",""))="","✓",TRIM(IF(COUNTIF($A$2:$A$500,A67)&gt;1,"⚠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",""))))</f>
        <v/>
      </c>
    </row>
    <row r="68">
      <c r="I68" s="2">
        <f>IF(A68="","",IF(TRIM(D68)="","（分項工程層）",IF(TRIM(D68)="全部",_xlfn.TEXTJOIN("、",TRUE,單元!$A$2:$A$500),SUBSTITUTE(SUBSTITUTE(SUBSTITUTE(TRIM(D68),"，","、"),",","、")," ",""))))</f>
        <v/>
      </c>
      <c r="J68" s="2">
        <f>IF(A68="","",IF(TRIM(H68)="","施工前、施工中、施工後",SUBSTITUTE(SUBSTITUTE(SUBSTITUTE(TRIM(H68),"，","、"),",","、")," ","")))</f>
        <v/>
      </c>
      <c r="K68" s="2">
        <f>IF(A68="","",SUMPRODUCT((檢查項目!$A$2:$A$500=A68)*(檢查項目!$B$2:$B$500="")))</f>
        <v/>
      </c>
      <c r="L68" s="2">
        <f>IF(A68="","",SUMPRODUCT((檢查項目!$A$2:$A$500=A68)*(檢查項目!$B$2:$B$500&lt;&gt;""))+SUMPRODUCT((數值欄位!$A$2:$A$500=A68)*(數值欄位!$B$2:$B$500&lt;&gt;"")))</f>
        <v/>
      </c>
      <c r="M68" s="2">
        <f>IF(A68="","",IF(TRIM(IF(COUNTIF($A$2:$A$500,A68)&gt;1,"⚠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",""))="","✓",TRIM(IF(COUNTIF($A$2:$A$500,A68)&gt;1,"⚠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",""))))</f>
        <v/>
      </c>
    </row>
    <row r="69">
      <c r="I69" s="2">
        <f>IF(A69="","",IF(TRIM(D69)="","（分項工程層）",IF(TRIM(D69)="全部",_xlfn.TEXTJOIN("、",TRUE,單元!$A$2:$A$500),SUBSTITUTE(SUBSTITUTE(SUBSTITUTE(TRIM(D69),"，","、"),",","、")," ",""))))</f>
        <v/>
      </c>
      <c r="J69" s="2">
        <f>IF(A69="","",IF(TRIM(H69)="","施工前、施工中、施工後",SUBSTITUTE(SUBSTITUTE(SUBSTITUTE(TRIM(H69),"，","、"),",","、")," ","")))</f>
        <v/>
      </c>
      <c r="K69" s="2">
        <f>IF(A69="","",SUMPRODUCT((檢查項目!$A$2:$A$500=A69)*(檢查項目!$B$2:$B$500="")))</f>
        <v/>
      </c>
      <c r="L69" s="2">
        <f>IF(A69="","",SUMPRODUCT((檢查項目!$A$2:$A$500=A69)*(檢查項目!$B$2:$B$500&lt;&gt;""))+SUMPRODUCT((數值欄位!$A$2:$A$500=A69)*(數值欄位!$B$2:$B$500&lt;&gt;"")))</f>
        <v/>
      </c>
      <c r="M69" s="2">
        <f>IF(A69="","",IF(TRIM(IF(COUNTIF($A$2:$A$500,A69)&gt;1,"⚠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",""))="","✓",TRIM(IF(COUNTIF($A$2:$A$500,A69)&gt;1,"⚠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",""))))</f>
        <v/>
      </c>
    </row>
    <row r="70">
      <c r="I70" s="2">
        <f>IF(A70="","",IF(TRIM(D70)="","（分項工程層）",IF(TRIM(D70)="全部",_xlfn.TEXTJOIN("、",TRUE,單元!$A$2:$A$500),SUBSTITUTE(SUBSTITUTE(SUBSTITUTE(TRIM(D70),"，","、"),",","、")," ",""))))</f>
        <v/>
      </c>
      <c r="J70" s="2">
        <f>IF(A70="","",IF(TRIM(H70)="","施工前、施工中、施工後",SUBSTITUTE(SUBSTITUTE(SUBSTITUTE(TRIM(H70),"，","、"),",","、")," ","")))</f>
        <v/>
      </c>
      <c r="K70" s="2">
        <f>IF(A70="","",SUMPRODUCT((檢查項目!$A$2:$A$500=A70)*(檢查項目!$B$2:$B$500="")))</f>
        <v/>
      </c>
      <c r="L70" s="2">
        <f>IF(A70="","",SUMPRODUCT((檢查項目!$A$2:$A$500=A70)*(檢查項目!$B$2:$B$500&lt;&gt;""))+SUMPRODUCT((數值欄位!$A$2:$A$500=A70)*(數值欄位!$B$2:$B$500&lt;&gt;"")))</f>
        <v/>
      </c>
      <c r="M70" s="2">
        <f>IF(A70="","",IF(TRIM(IF(COUNTIF($A$2:$A$500,A70)&gt;1,"⚠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",""))="","✓",TRIM(IF(COUNTIF($A$2:$A$500,A70)&gt;1,"⚠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",""))))</f>
        <v/>
      </c>
    </row>
    <row r="71">
      <c r="I71" s="2">
        <f>IF(A71="","",IF(TRIM(D71)="","（分項工程層）",IF(TRIM(D71)="全部",_xlfn.TEXTJOIN("、",TRUE,單元!$A$2:$A$500),SUBSTITUTE(SUBSTITUTE(SUBSTITUTE(TRIM(D71),"，","、"),",","、")," ",""))))</f>
        <v/>
      </c>
      <c r="J71" s="2">
        <f>IF(A71="","",IF(TRIM(H71)="","施工前、施工中、施工後",SUBSTITUTE(SUBSTITUTE(SUBSTITUTE(TRIM(H71),"，","、"),",","、")," ","")))</f>
        <v/>
      </c>
      <c r="K71" s="2">
        <f>IF(A71="","",SUMPRODUCT((檢查項目!$A$2:$A$500=A71)*(檢查項目!$B$2:$B$500="")))</f>
        <v/>
      </c>
      <c r="L71" s="2">
        <f>IF(A71="","",SUMPRODUCT((檢查項目!$A$2:$A$500=A71)*(檢查項目!$B$2:$B$500&lt;&gt;""))+SUMPRODUCT((數值欄位!$A$2:$A$500=A71)*(數值欄位!$B$2:$B$500&lt;&gt;"")))</f>
        <v/>
      </c>
      <c r="M71" s="2">
        <f>IF(A71="","",IF(TRIM(IF(COUNTIF($A$2:$A$500,A71)&gt;1,"⚠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",""))="","✓",TRIM(IF(COUNTIF($A$2:$A$500,A71)&gt;1,"⚠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",""))))</f>
        <v/>
      </c>
    </row>
    <row r="72">
      <c r="I72" s="2">
        <f>IF(A72="","",IF(TRIM(D72)="","（分項工程層）",IF(TRIM(D72)="全部",_xlfn.TEXTJOIN("、",TRUE,單元!$A$2:$A$500),SUBSTITUTE(SUBSTITUTE(SUBSTITUTE(TRIM(D72),"，","、"),",","、")," ",""))))</f>
        <v/>
      </c>
      <c r="J72" s="2">
        <f>IF(A72="","",IF(TRIM(H72)="","施工前、施工中、施工後",SUBSTITUTE(SUBSTITUTE(SUBSTITUTE(TRIM(H72),"，","、"),",","、")," ","")))</f>
        <v/>
      </c>
      <c r="K72" s="2">
        <f>IF(A72="","",SUMPRODUCT((檢查項目!$A$2:$A$500=A72)*(檢查項目!$B$2:$B$500="")))</f>
        <v/>
      </c>
      <c r="L72" s="2">
        <f>IF(A72="","",SUMPRODUCT((檢查項目!$A$2:$A$500=A72)*(檢查項目!$B$2:$B$500&lt;&gt;""))+SUMPRODUCT((數值欄位!$A$2:$A$500=A72)*(數值欄位!$B$2:$B$500&lt;&gt;"")))</f>
        <v/>
      </c>
      <c r="M72" s="2">
        <f>IF(A72="","",IF(TRIM(IF(COUNTIF($A$2:$A$500,A72)&gt;1,"⚠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",""))="","✓",TRIM(IF(COUNTIF($A$2:$A$500,A72)&gt;1,"⚠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",""))))</f>
        <v/>
      </c>
    </row>
    <row r="73">
      <c r="I73" s="2">
        <f>IF(A73="","",IF(TRIM(D73)="","（分項工程層）",IF(TRIM(D73)="全部",_xlfn.TEXTJOIN("、",TRUE,單元!$A$2:$A$500),SUBSTITUTE(SUBSTITUTE(SUBSTITUTE(TRIM(D73),"，","、"),",","、")," ",""))))</f>
        <v/>
      </c>
      <c r="J73" s="2">
        <f>IF(A73="","",IF(TRIM(H73)="","施工前、施工中、施工後",SUBSTITUTE(SUBSTITUTE(SUBSTITUTE(TRIM(H73),"，","、"),",","、")," ","")))</f>
        <v/>
      </c>
      <c r="K73" s="2">
        <f>IF(A73="","",SUMPRODUCT((檢查項目!$A$2:$A$500=A73)*(檢查項目!$B$2:$B$500="")))</f>
        <v/>
      </c>
      <c r="L73" s="2">
        <f>IF(A73="","",SUMPRODUCT((檢查項目!$A$2:$A$500=A73)*(檢查項目!$B$2:$B$500&lt;&gt;""))+SUMPRODUCT((數值欄位!$A$2:$A$500=A73)*(數值欄位!$B$2:$B$500&lt;&gt;"")))</f>
        <v/>
      </c>
      <c r="M73" s="2">
        <f>IF(A73="","",IF(TRIM(IF(COUNTIF($A$2:$A$500,A73)&gt;1,"⚠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",""))="","✓",TRIM(IF(COUNTIF($A$2:$A$500,A73)&gt;1,"⚠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",""))))</f>
        <v/>
      </c>
    </row>
    <row r="74">
      <c r="I74" s="2">
        <f>IF(A74="","",IF(TRIM(D74)="","（分項工程層）",IF(TRIM(D74)="全部",_xlfn.TEXTJOIN("、",TRUE,單元!$A$2:$A$500),SUBSTITUTE(SUBSTITUTE(SUBSTITUTE(TRIM(D74),"，","、"),",","、")," ",""))))</f>
        <v/>
      </c>
      <c r="J74" s="2">
        <f>IF(A74="","",IF(TRIM(H74)="","施工前、施工中、施工後",SUBSTITUTE(SUBSTITUTE(SUBSTITUTE(TRIM(H74),"，","、"),",","、")," ","")))</f>
        <v/>
      </c>
      <c r="K74" s="2">
        <f>IF(A74="","",SUMPRODUCT((檢查項目!$A$2:$A$500=A74)*(檢查項目!$B$2:$B$500="")))</f>
        <v/>
      </c>
      <c r="L74" s="2">
        <f>IF(A74="","",SUMPRODUCT((檢查項目!$A$2:$A$500=A74)*(檢查項目!$B$2:$B$500&lt;&gt;""))+SUMPRODUCT((數值欄位!$A$2:$A$500=A74)*(數值欄位!$B$2:$B$500&lt;&gt;"")))</f>
        <v/>
      </c>
      <c r="M74" s="2">
        <f>IF(A74="","",IF(TRIM(IF(COUNTIF($A$2:$A$500,A74)&gt;1,"⚠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",""))="","✓",TRIM(IF(COUNTIF($A$2:$A$500,A74)&gt;1,"⚠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",""))))</f>
        <v/>
      </c>
    </row>
    <row r="75">
      <c r="I75" s="2">
        <f>IF(A75="","",IF(TRIM(D75)="","（分項工程層）",IF(TRIM(D75)="全部",_xlfn.TEXTJOIN("、",TRUE,單元!$A$2:$A$500),SUBSTITUTE(SUBSTITUTE(SUBSTITUTE(TRIM(D75),"，","、"),",","、")," ",""))))</f>
        <v/>
      </c>
      <c r="J75" s="2">
        <f>IF(A75="","",IF(TRIM(H75)="","施工前、施工中、施工後",SUBSTITUTE(SUBSTITUTE(SUBSTITUTE(TRIM(H75),"，","、"),",","、")," ","")))</f>
        <v/>
      </c>
      <c r="K75" s="2">
        <f>IF(A75="","",SUMPRODUCT((檢查項目!$A$2:$A$500=A75)*(檢查項目!$B$2:$B$500="")))</f>
        <v/>
      </c>
      <c r="L75" s="2">
        <f>IF(A75="","",SUMPRODUCT((檢查項目!$A$2:$A$500=A75)*(檢查項目!$B$2:$B$500&lt;&gt;""))+SUMPRODUCT((數值欄位!$A$2:$A$500=A75)*(數值欄位!$B$2:$B$500&lt;&gt;"")))</f>
        <v/>
      </c>
      <c r="M75" s="2">
        <f>IF(A75="","",IF(TRIM(IF(COUNTIF($A$2:$A$500,A75)&gt;1,"⚠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",""))="","✓",TRIM(IF(COUNTIF($A$2:$A$500,A75)&gt;1,"⚠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",""))))</f>
        <v/>
      </c>
    </row>
    <row r="76">
      <c r="I76" s="2">
        <f>IF(A76="","",IF(TRIM(D76)="","（分項工程層）",IF(TRIM(D76)="全部",_xlfn.TEXTJOIN("、",TRUE,單元!$A$2:$A$500),SUBSTITUTE(SUBSTITUTE(SUBSTITUTE(TRIM(D76),"，","、"),",","、")," ",""))))</f>
        <v/>
      </c>
      <c r="J76" s="2">
        <f>IF(A76="","",IF(TRIM(H76)="","施工前、施工中、施工後",SUBSTITUTE(SUBSTITUTE(SUBSTITUTE(TRIM(H76),"，","、"),",","、")," ","")))</f>
        <v/>
      </c>
      <c r="K76" s="2">
        <f>IF(A76="","",SUMPRODUCT((檢查項目!$A$2:$A$500=A76)*(檢查項目!$B$2:$B$500="")))</f>
        <v/>
      </c>
      <c r="L76" s="2">
        <f>IF(A76="","",SUMPRODUCT((檢查項目!$A$2:$A$500=A76)*(檢查項目!$B$2:$B$500&lt;&gt;""))+SUMPRODUCT((數值欄位!$A$2:$A$500=A76)*(數值欄位!$B$2:$B$500&lt;&gt;"")))</f>
        <v/>
      </c>
      <c r="M76" s="2">
        <f>IF(A76="","",IF(TRIM(IF(COUNTIF($A$2:$A$500,A76)&gt;1,"⚠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",""))="","✓",TRIM(IF(COUNTIF($A$2:$A$500,A76)&gt;1,"⚠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",""))))</f>
        <v/>
      </c>
    </row>
    <row r="77">
      <c r="I77" s="2">
        <f>IF(A77="","",IF(TRIM(D77)="","（分項工程層）",IF(TRIM(D77)="全部",_xlfn.TEXTJOIN("、",TRUE,單元!$A$2:$A$500),SUBSTITUTE(SUBSTITUTE(SUBSTITUTE(TRIM(D77),"，","、"),",","、")," ",""))))</f>
        <v/>
      </c>
      <c r="J77" s="2">
        <f>IF(A77="","",IF(TRIM(H77)="","施工前、施工中、施工後",SUBSTITUTE(SUBSTITUTE(SUBSTITUTE(TRIM(H77),"，","、"),",","、")," ","")))</f>
        <v/>
      </c>
      <c r="K77" s="2">
        <f>IF(A77="","",SUMPRODUCT((檢查項目!$A$2:$A$500=A77)*(檢查項目!$B$2:$B$500="")))</f>
        <v/>
      </c>
      <c r="L77" s="2">
        <f>IF(A77="","",SUMPRODUCT((檢查項目!$A$2:$A$500=A77)*(檢查項目!$B$2:$B$500&lt;&gt;""))+SUMPRODUCT((數值欄位!$A$2:$A$500=A77)*(數值欄位!$B$2:$B$500&lt;&gt;"")))</f>
        <v/>
      </c>
      <c r="M77" s="2">
        <f>IF(A77="","",IF(TRIM(IF(COUNTIF($A$2:$A$500,A77)&gt;1,"⚠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",""))="","✓",TRIM(IF(COUNTIF($A$2:$A$500,A77)&gt;1,"⚠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",""))))</f>
        <v/>
      </c>
    </row>
    <row r="78">
      <c r="I78" s="2">
        <f>IF(A78="","",IF(TRIM(D78)="","（分項工程層）",IF(TRIM(D78)="全部",_xlfn.TEXTJOIN("、",TRUE,單元!$A$2:$A$500),SUBSTITUTE(SUBSTITUTE(SUBSTITUTE(TRIM(D78),"，","、"),",","、")," ",""))))</f>
        <v/>
      </c>
      <c r="J78" s="2">
        <f>IF(A78="","",IF(TRIM(H78)="","施工前、施工中、施工後",SUBSTITUTE(SUBSTITUTE(SUBSTITUTE(TRIM(H78),"，","、"),",","、")," ","")))</f>
        <v/>
      </c>
      <c r="K78" s="2">
        <f>IF(A78="","",SUMPRODUCT((檢查項目!$A$2:$A$500=A78)*(檢查項目!$B$2:$B$500="")))</f>
        <v/>
      </c>
      <c r="L78" s="2">
        <f>IF(A78="","",SUMPRODUCT((檢查項目!$A$2:$A$500=A78)*(檢查項目!$B$2:$B$500&lt;&gt;""))+SUMPRODUCT((數值欄位!$A$2:$A$500=A78)*(數值欄位!$B$2:$B$500&lt;&gt;"")))</f>
        <v/>
      </c>
      <c r="M78" s="2">
        <f>IF(A78="","",IF(TRIM(IF(COUNTIF($A$2:$A$500,A78)&gt;1,"⚠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",""))="","✓",TRIM(IF(COUNTIF($A$2:$A$500,A78)&gt;1,"⚠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",""))))</f>
        <v/>
      </c>
    </row>
    <row r="79">
      <c r="I79" s="2">
        <f>IF(A79="","",IF(TRIM(D79)="","（分項工程層）",IF(TRIM(D79)="全部",_xlfn.TEXTJOIN("、",TRUE,單元!$A$2:$A$500),SUBSTITUTE(SUBSTITUTE(SUBSTITUTE(TRIM(D79),"，","、"),",","、")," ",""))))</f>
        <v/>
      </c>
      <c r="J79" s="2">
        <f>IF(A79="","",IF(TRIM(H79)="","施工前、施工中、施工後",SUBSTITUTE(SUBSTITUTE(SUBSTITUTE(TRIM(H79),"，","、"),",","、")," ","")))</f>
        <v/>
      </c>
      <c r="K79" s="2">
        <f>IF(A79="","",SUMPRODUCT((檢查項目!$A$2:$A$500=A79)*(檢查項目!$B$2:$B$500="")))</f>
        <v/>
      </c>
      <c r="L79" s="2">
        <f>IF(A79="","",SUMPRODUCT((檢查項目!$A$2:$A$500=A79)*(檢查項目!$B$2:$B$500&lt;&gt;""))+SUMPRODUCT((數值欄位!$A$2:$A$500=A79)*(數值欄位!$B$2:$B$500&lt;&gt;"")))</f>
        <v/>
      </c>
      <c r="M79" s="2">
        <f>IF(A79="","",IF(TRIM(IF(COUNTIF($A$2:$A$500,A79)&gt;1,"⚠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",""))="","✓",TRIM(IF(COUNTIF($A$2:$A$500,A79)&gt;1,"⚠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",""))))</f>
        <v/>
      </c>
    </row>
    <row r="80">
      <c r="I80" s="2">
        <f>IF(A80="","",IF(TRIM(D80)="","（分項工程層）",IF(TRIM(D80)="全部",_xlfn.TEXTJOIN("、",TRUE,單元!$A$2:$A$500),SUBSTITUTE(SUBSTITUTE(SUBSTITUTE(TRIM(D80),"，","、"),",","、")," ",""))))</f>
        <v/>
      </c>
      <c r="J80" s="2">
        <f>IF(A80="","",IF(TRIM(H80)="","施工前、施工中、施工後",SUBSTITUTE(SUBSTITUTE(SUBSTITUTE(TRIM(H80),"，","、"),",","、")," ","")))</f>
        <v/>
      </c>
      <c r="K80" s="2">
        <f>IF(A80="","",SUMPRODUCT((檢查項目!$A$2:$A$500=A80)*(檢查項目!$B$2:$B$500="")))</f>
        <v/>
      </c>
      <c r="L80" s="2">
        <f>IF(A80="","",SUMPRODUCT((檢查項目!$A$2:$A$500=A80)*(檢查項目!$B$2:$B$500&lt;&gt;""))+SUMPRODUCT((數值欄位!$A$2:$A$500=A80)*(數值欄位!$B$2:$B$500&lt;&gt;"")))</f>
        <v/>
      </c>
      <c r="M80" s="2">
        <f>IF(A80="","",IF(TRIM(IF(COUNTIF($A$2:$A$500,A80)&gt;1,"⚠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",""))="","✓",TRIM(IF(COUNTIF($A$2:$A$500,A80)&gt;1,"⚠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",""))))</f>
        <v/>
      </c>
    </row>
    <row r="81">
      <c r="I81" s="2">
        <f>IF(A81="","",IF(TRIM(D81)="","（分項工程層）",IF(TRIM(D81)="全部",_xlfn.TEXTJOIN("、",TRUE,單元!$A$2:$A$500),SUBSTITUTE(SUBSTITUTE(SUBSTITUTE(TRIM(D81),"，","、"),",","、")," ",""))))</f>
        <v/>
      </c>
      <c r="J81" s="2">
        <f>IF(A81="","",IF(TRIM(H81)="","施工前、施工中、施工後",SUBSTITUTE(SUBSTITUTE(SUBSTITUTE(TRIM(H81),"，","、"),",","、")," ","")))</f>
        <v/>
      </c>
      <c r="K81" s="2">
        <f>IF(A81="","",SUMPRODUCT((檢查項目!$A$2:$A$500=A81)*(檢查項目!$B$2:$B$500="")))</f>
        <v/>
      </c>
      <c r="L81" s="2">
        <f>IF(A81="","",SUMPRODUCT((檢查項目!$A$2:$A$500=A81)*(檢查項目!$B$2:$B$500&lt;&gt;""))+SUMPRODUCT((數值欄位!$A$2:$A$500=A81)*(數值欄位!$B$2:$B$500&lt;&gt;"")))</f>
        <v/>
      </c>
      <c r="M81" s="2">
        <f>IF(A81="","",IF(TRIM(IF(COUNTIF($A$2:$A$500,A81)&gt;1,"⚠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",""))="","✓",TRIM(IF(COUNTIF($A$2:$A$500,A81)&gt;1,"⚠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",""))))</f>
        <v/>
      </c>
    </row>
    <row r="82">
      <c r="I82" s="2">
        <f>IF(A82="","",IF(TRIM(D82)="","（分項工程層）",IF(TRIM(D82)="全部",_xlfn.TEXTJOIN("、",TRUE,單元!$A$2:$A$500),SUBSTITUTE(SUBSTITUTE(SUBSTITUTE(TRIM(D82),"，","、"),",","、")," ",""))))</f>
        <v/>
      </c>
      <c r="J82" s="2">
        <f>IF(A82="","",IF(TRIM(H82)="","施工前、施工中、施工後",SUBSTITUTE(SUBSTITUTE(SUBSTITUTE(TRIM(H82),"，","、"),",","、")," ","")))</f>
        <v/>
      </c>
      <c r="K82" s="2">
        <f>IF(A82="","",SUMPRODUCT((檢查項目!$A$2:$A$500=A82)*(檢查項目!$B$2:$B$500="")))</f>
        <v/>
      </c>
      <c r="L82" s="2">
        <f>IF(A82="","",SUMPRODUCT((檢查項目!$A$2:$A$500=A82)*(檢查項目!$B$2:$B$500&lt;&gt;""))+SUMPRODUCT((數值欄位!$A$2:$A$500=A82)*(數值欄位!$B$2:$B$500&lt;&gt;"")))</f>
        <v/>
      </c>
      <c r="M82" s="2">
        <f>IF(A82="","",IF(TRIM(IF(COUNTIF($A$2:$A$500,A82)&gt;1,"⚠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",""))="","✓",TRIM(IF(COUNTIF($A$2:$A$500,A82)&gt;1,"⚠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",""))))</f>
        <v/>
      </c>
    </row>
    <row r="83">
      <c r="I83" s="2">
        <f>IF(A83="","",IF(TRIM(D83)="","（分項工程層）",IF(TRIM(D83)="全部",_xlfn.TEXTJOIN("、",TRUE,單元!$A$2:$A$500),SUBSTITUTE(SUBSTITUTE(SUBSTITUTE(TRIM(D83),"，","、"),",","、")," ",""))))</f>
        <v/>
      </c>
      <c r="J83" s="2">
        <f>IF(A83="","",IF(TRIM(H83)="","施工前、施工中、施工後",SUBSTITUTE(SUBSTITUTE(SUBSTITUTE(TRIM(H83),"，","、"),",","、")," ","")))</f>
        <v/>
      </c>
      <c r="K83" s="2">
        <f>IF(A83="","",SUMPRODUCT((檢查項目!$A$2:$A$500=A83)*(檢查項目!$B$2:$B$500="")))</f>
        <v/>
      </c>
      <c r="L83" s="2">
        <f>IF(A83="","",SUMPRODUCT((檢查項目!$A$2:$A$500=A83)*(檢查項目!$B$2:$B$500&lt;&gt;""))+SUMPRODUCT((數值欄位!$A$2:$A$500=A83)*(數值欄位!$B$2:$B$500&lt;&gt;"")))</f>
        <v/>
      </c>
      <c r="M83" s="2">
        <f>IF(A83="","",IF(TRIM(IF(COUNTIF($A$2:$A$500,A83)&gt;1,"⚠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",""))="","✓",TRIM(IF(COUNTIF($A$2:$A$500,A83)&gt;1,"⚠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",""))))</f>
        <v/>
      </c>
    </row>
    <row r="84">
      <c r="I84" s="2">
        <f>IF(A84="","",IF(TRIM(D84)="","（分項工程層）",IF(TRIM(D84)="全部",_xlfn.TEXTJOIN("、",TRUE,單元!$A$2:$A$500),SUBSTITUTE(SUBSTITUTE(SUBSTITUTE(TRIM(D84),"，","、"),",","、")," ",""))))</f>
        <v/>
      </c>
      <c r="J84" s="2">
        <f>IF(A84="","",IF(TRIM(H84)="","施工前、施工中、施工後",SUBSTITUTE(SUBSTITUTE(SUBSTITUTE(TRIM(H84),"，","、"),",","、")," ","")))</f>
        <v/>
      </c>
      <c r="K84" s="2">
        <f>IF(A84="","",SUMPRODUCT((檢查項目!$A$2:$A$500=A84)*(檢查項目!$B$2:$B$500="")))</f>
        <v/>
      </c>
      <c r="L84" s="2">
        <f>IF(A84="","",SUMPRODUCT((檢查項目!$A$2:$A$500=A84)*(檢查項目!$B$2:$B$500&lt;&gt;""))+SUMPRODUCT((數值欄位!$A$2:$A$500=A84)*(數值欄位!$B$2:$B$500&lt;&gt;"")))</f>
        <v/>
      </c>
      <c r="M84" s="2">
        <f>IF(A84="","",IF(TRIM(IF(COUNTIF($A$2:$A$500,A84)&gt;1,"⚠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",""))="","✓",TRIM(IF(COUNTIF($A$2:$A$500,A84)&gt;1,"⚠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",""))))</f>
        <v/>
      </c>
    </row>
    <row r="85">
      <c r="I85" s="2">
        <f>IF(A85="","",IF(TRIM(D85)="","（分項工程層）",IF(TRIM(D85)="全部",_xlfn.TEXTJOIN("、",TRUE,單元!$A$2:$A$500),SUBSTITUTE(SUBSTITUTE(SUBSTITUTE(TRIM(D85),"，","、"),",","、")," ",""))))</f>
        <v/>
      </c>
      <c r="J85" s="2">
        <f>IF(A85="","",IF(TRIM(H85)="","施工前、施工中、施工後",SUBSTITUTE(SUBSTITUTE(SUBSTITUTE(TRIM(H85),"，","、"),",","、")," ","")))</f>
        <v/>
      </c>
      <c r="K85" s="2">
        <f>IF(A85="","",SUMPRODUCT((檢查項目!$A$2:$A$500=A85)*(檢查項目!$B$2:$B$500="")))</f>
        <v/>
      </c>
      <c r="L85" s="2">
        <f>IF(A85="","",SUMPRODUCT((檢查項目!$A$2:$A$500=A85)*(檢查項目!$B$2:$B$500&lt;&gt;""))+SUMPRODUCT((數值欄位!$A$2:$A$500=A85)*(數值欄位!$B$2:$B$500&lt;&gt;"")))</f>
        <v/>
      </c>
      <c r="M85" s="2">
        <f>IF(A85="","",IF(TRIM(IF(COUNTIF($A$2:$A$500,A85)&gt;1,"⚠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",""))="","✓",TRIM(IF(COUNTIF($A$2:$A$500,A85)&gt;1,"⚠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",""))))</f>
        <v/>
      </c>
    </row>
    <row r="86">
      <c r="I86" s="2">
        <f>IF(A86="","",IF(TRIM(D86)="","（分項工程層）",IF(TRIM(D86)="全部",_xlfn.TEXTJOIN("、",TRUE,單元!$A$2:$A$500),SUBSTITUTE(SUBSTITUTE(SUBSTITUTE(TRIM(D86),"，","、"),",","、")," ",""))))</f>
        <v/>
      </c>
      <c r="J86" s="2">
        <f>IF(A86="","",IF(TRIM(H86)="","施工前、施工中、施工後",SUBSTITUTE(SUBSTITUTE(SUBSTITUTE(TRIM(H86),"，","、"),",","、")," ","")))</f>
        <v/>
      </c>
      <c r="K86" s="2">
        <f>IF(A86="","",SUMPRODUCT((檢查項目!$A$2:$A$500=A86)*(檢查項目!$B$2:$B$500="")))</f>
        <v/>
      </c>
      <c r="L86" s="2">
        <f>IF(A86="","",SUMPRODUCT((檢查項目!$A$2:$A$500=A86)*(檢查項目!$B$2:$B$500&lt;&gt;""))+SUMPRODUCT((數值欄位!$A$2:$A$500=A86)*(數值欄位!$B$2:$B$500&lt;&gt;"")))</f>
        <v/>
      </c>
      <c r="M86" s="2">
        <f>IF(A86="","",IF(TRIM(IF(COUNTIF($A$2:$A$500,A86)&gt;1,"⚠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",""))="","✓",TRIM(IF(COUNTIF($A$2:$A$500,A86)&gt;1,"⚠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",""))))</f>
        <v/>
      </c>
    </row>
    <row r="87">
      <c r="I87" s="2">
        <f>IF(A87="","",IF(TRIM(D87)="","（分項工程層）",IF(TRIM(D87)="全部",_xlfn.TEXTJOIN("、",TRUE,單元!$A$2:$A$500),SUBSTITUTE(SUBSTITUTE(SUBSTITUTE(TRIM(D87),"，","、"),",","、")," ",""))))</f>
        <v/>
      </c>
      <c r="J87" s="2">
        <f>IF(A87="","",IF(TRIM(H87)="","施工前、施工中、施工後",SUBSTITUTE(SUBSTITUTE(SUBSTITUTE(TRIM(H87),"，","、"),",","、")," ","")))</f>
        <v/>
      </c>
      <c r="K87" s="2">
        <f>IF(A87="","",SUMPRODUCT((檢查項目!$A$2:$A$500=A87)*(檢查項目!$B$2:$B$500="")))</f>
        <v/>
      </c>
      <c r="L87" s="2">
        <f>IF(A87="","",SUMPRODUCT((檢查項目!$A$2:$A$500=A87)*(檢查項目!$B$2:$B$500&lt;&gt;""))+SUMPRODUCT((數值欄位!$A$2:$A$500=A87)*(數值欄位!$B$2:$B$500&lt;&gt;"")))</f>
        <v/>
      </c>
      <c r="M87" s="2">
        <f>IF(A87="","",IF(TRIM(IF(COUNTIF($A$2:$A$500,A87)&gt;1,"⚠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",""))="","✓",TRIM(IF(COUNTIF($A$2:$A$500,A87)&gt;1,"⚠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",""))))</f>
        <v/>
      </c>
    </row>
    <row r="88">
      <c r="I88" s="2">
        <f>IF(A88="","",IF(TRIM(D88)="","（分項工程層）",IF(TRIM(D88)="全部",_xlfn.TEXTJOIN("、",TRUE,單元!$A$2:$A$500),SUBSTITUTE(SUBSTITUTE(SUBSTITUTE(TRIM(D88),"，","、"),",","、")," ",""))))</f>
        <v/>
      </c>
      <c r="J88" s="2">
        <f>IF(A88="","",IF(TRIM(H88)="","施工前、施工中、施工後",SUBSTITUTE(SUBSTITUTE(SUBSTITUTE(TRIM(H88),"，","、"),",","、")," ","")))</f>
        <v/>
      </c>
      <c r="K88" s="2">
        <f>IF(A88="","",SUMPRODUCT((檢查項目!$A$2:$A$500=A88)*(檢查項目!$B$2:$B$500="")))</f>
        <v/>
      </c>
      <c r="L88" s="2">
        <f>IF(A88="","",SUMPRODUCT((檢查項目!$A$2:$A$500=A88)*(檢查項目!$B$2:$B$500&lt;&gt;""))+SUMPRODUCT((數值欄位!$A$2:$A$500=A88)*(數值欄位!$B$2:$B$500&lt;&gt;"")))</f>
        <v/>
      </c>
      <c r="M88" s="2">
        <f>IF(A88="","",IF(TRIM(IF(COUNTIF($A$2:$A$500,A88)&gt;1,"⚠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",""))="","✓",TRIM(IF(COUNTIF($A$2:$A$500,A88)&gt;1,"⚠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",""))))</f>
        <v/>
      </c>
    </row>
    <row r="89">
      <c r="I89" s="2">
        <f>IF(A89="","",IF(TRIM(D89)="","（分項工程層）",IF(TRIM(D89)="全部",_xlfn.TEXTJOIN("、",TRUE,單元!$A$2:$A$500),SUBSTITUTE(SUBSTITUTE(SUBSTITUTE(TRIM(D89),"，","、"),",","、")," ",""))))</f>
        <v/>
      </c>
      <c r="J89" s="2">
        <f>IF(A89="","",IF(TRIM(H89)="","施工前、施工中、施工後",SUBSTITUTE(SUBSTITUTE(SUBSTITUTE(TRIM(H89),"，","、"),",","、")," ","")))</f>
        <v/>
      </c>
      <c r="K89" s="2">
        <f>IF(A89="","",SUMPRODUCT((檢查項目!$A$2:$A$500=A89)*(檢查項目!$B$2:$B$500="")))</f>
        <v/>
      </c>
      <c r="L89" s="2">
        <f>IF(A89="","",SUMPRODUCT((檢查項目!$A$2:$A$500=A89)*(檢查項目!$B$2:$B$500&lt;&gt;""))+SUMPRODUCT((數值欄位!$A$2:$A$500=A89)*(數值欄位!$B$2:$B$500&lt;&gt;"")))</f>
        <v/>
      </c>
      <c r="M89" s="2">
        <f>IF(A89="","",IF(TRIM(IF(COUNTIF($A$2:$A$500,A89)&gt;1,"⚠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",""))="","✓",TRIM(IF(COUNTIF($A$2:$A$500,A89)&gt;1,"⚠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",""))))</f>
        <v/>
      </c>
    </row>
    <row r="90">
      <c r="I90" s="2">
        <f>IF(A90="","",IF(TRIM(D90)="","（分項工程層）",IF(TRIM(D90)="全部",_xlfn.TEXTJOIN("、",TRUE,單元!$A$2:$A$500),SUBSTITUTE(SUBSTITUTE(SUBSTITUTE(TRIM(D90),"，","、"),",","、")," ",""))))</f>
        <v/>
      </c>
      <c r="J90" s="2">
        <f>IF(A90="","",IF(TRIM(H90)="","施工前、施工中、施工後",SUBSTITUTE(SUBSTITUTE(SUBSTITUTE(TRIM(H90),"，","、"),",","、")," ","")))</f>
        <v/>
      </c>
      <c r="K90" s="2">
        <f>IF(A90="","",SUMPRODUCT((檢查項目!$A$2:$A$500=A90)*(檢查項目!$B$2:$B$500="")))</f>
        <v/>
      </c>
      <c r="L90" s="2">
        <f>IF(A90="","",SUMPRODUCT((檢查項目!$A$2:$A$500=A90)*(檢查項目!$B$2:$B$500&lt;&gt;""))+SUMPRODUCT((數值欄位!$A$2:$A$500=A90)*(數值欄位!$B$2:$B$500&lt;&gt;"")))</f>
        <v/>
      </c>
      <c r="M90" s="2">
        <f>IF(A90="","",IF(TRIM(IF(COUNTIF($A$2:$A$500,A90)&gt;1,"⚠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",""))="","✓",TRIM(IF(COUNTIF($A$2:$A$500,A90)&gt;1,"⚠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",""))))</f>
        <v/>
      </c>
    </row>
    <row r="91">
      <c r="I91" s="2">
        <f>IF(A91="","",IF(TRIM(D91)="","（分項工程層）",IF(TRIM(D91)="全部",_xlfn.TEXTJOIN("、",TRUE,單元!$A$2:$A$500),SUBSTITUTE(SUBSTITUTE(SUBSTITUTE(TRIM(D91),"，","、"),",","、")," ",""))))</f>
        <v/>
      </c>
      <c r="J91" s="2">
        <f>IF(A91="","",IF(TRIM(H91)="","施工前、施工中、施工後",SUBSTITUTE(SUBSTITUTE(SUBSTITUTE(TRIM(H91),"，","、"),",","、")," ","")))</f>
        <v/>
      </c>
      <c r="K91" s="2">
        <f>IF(A91="","",SUMPRODUCT((檢查項目!$A$2:$A$500=A91)*(檢查項目!$B$2:$B$500="")))</f>
        <v/>
      </c>
      <c r="L91" s="2">
        <f>IF(A91="","",SUMPRODUCT((檢查項目!$A$2:$A$500=A91)*(檢查項目!$B$2:$B$500&lt;&gt;""))+SUMPRODUCT((數值欄位!$A$2:$A$500=A91)*(數值欄位!$B$2:$B$500&lt;&gt;"")))</f>
        <v/>
      </c>
      <c r="M91" s="2">
        <f>IF(A91="","",IF(TRIM(IF(COUNTIF($A$2:$A$500,A91)&gt;1,"⚠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",""))="","✓",TRIM(IF(COUNTIF($A$2:$A$500,A91)&gt;1,"⚠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",""))))</f>
        <v/>
      </c>
    </row>
    <row r="92">
      <c r="I92" s="2">
        <f>IF(A92="","",IF(TRIM(D92)="","（分項工程層）",IF(TRIM(D92)="全部",_xlfn.TEXTJOIN("、",TRUE,單元!$A$2:$A$500),SUBSTITUTE(SUBSTITUTE(SUBSTITUTE(TRIM(D92),"，","、"),",","、")," ",""))))</f>
        <v/>
      </c>
      <c r="J92" s="2">
        <f>IF(A92="","",IF(TRIM(H92)="","施工前、施工中、施工後",SUBSTITUTE(SUBSTITUTE(SUBSTITUTE(TRIM(H92),"，","、"),",","、")," ","")))</f>
        <v/>
      </c>
      <c r="K92" s="2">
        <f>IF(A92="","",SUMPRODUCT((檢查項目!$A$2:$A$500=A92)*(檢查項目!$B$2:$B$500="")))</f>
        <v/>
      </c>
      <c r="L92" s="2">
        <f>IF(A92="","",SUMPRODUCT((檢查項目!$A$2:$A$500=A92)*(檢查項目!$B$2:$B$500&lt;&gt;""))+SUMPRODUCT((數值欄位!$A$2:$A$500=A92)*(數值欄位!$B$2:$B$500&lt;&gt;"")))</f>
        <v/>
      </c>
      <c r="M92" s="2">
        <f>IF(A92="","",IF(TRIM(IF(COUNTIF($A$2:$A$500,A92)&gt;1,"⚠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",""))="","✓",TRIM(IF(COUNTIF($A$2:$A$500,A92)&gt;1,"⚠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",""))))</f>
        <v/>
      </c>
    </row>
    <row r="93">
      <c r="I93" s="2">
        <f>IF(A93="","",IF(TRIM(D93)="","（分項工程層）",IF(TRIM(D93)="全部",_xlfn.TEXTJOIN("、",TRUE,單元!$A$2:$A$500),SUBSTITUTE(SUBSTITUTE(SUBSTITUTE(TRIM(D93),"，","、"),",","、")," ",""))))</f>
        <v/>
      </c>
      <c r="J93" s="2">
        <f>IF(A93="","",IF(TRIM(H93)="","施工前、施工中、施工後",SUBSTITUTE(SUBSTITUTE(SUBSTITUTE(TRIM(H93),"，","、"),",","、")," ","")))</f>
        <v/>
      </c>
      <c r="K93" s="2">
        <f>IF(A93="","",SUMPRODUCT((檢查項目!$A$2:$A$500=A93)*(檢查項目!$B$2:$B$500="")))</f>
        <v/>
      </c>
      <c r="L93" s="2">
        <f>IF(A93="","",SUMPRODUCT((檢查項目!$A$2:$A$500=A93)*(檢查項目!$B$2:$B$500&lt;&gt;""))+SUMPRODUCT((數值欄位!$A$2:$A$500=A93)*(數值欄位!$B$2:$B$500&lt;&gt;"")))</f>
        <v/>
      </c>
      <c r="M93" s="2">
        <f>IF(A93="","",IF(TRIM(IF(COUNTIF($A$2:$A$500,A93)&gt;1,"⚠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",""))="","✓",TRIM(IF(COUNTIF($A$2:$A$500,A93)&gt;1,"⚠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",""))))</f>
        <v/>
      </c>
    </row>
    <row r="94">
      <c r="I94" s="2">
        <f>IF(A94="","",IF(TRIM(D94)="","（分項工程層）",IF(TRIM(D94)="全部",_xlfn.TEXTJOIN("、",TRUE,單元!$A$2:$A$500),SUBSTITUTE(SUBSTITUTE(SUBSTITUTE(TRIM(D94),"，","、"),",","、")," ",""))))</f>
        <v/>
      </c>
      <c r="J94" s="2">
        <f>IF(A94="","",IF(TRIM(H94)="","施工前、施工中、施工後",SUBSTITUTE(SUBSTITUTE(SUBSTITUTE(TRIM(H94),"，","、"),",","、")," ","")))</f>
        <v/>
      </c>
      <c r="K94" s="2">
        <f>IF(A94="","",SUMPRODUCT((檢查項目!$A$2:$A$500=A94)*(檢查項目!$B$2:$B$500="")))</f>
        <v/>
      </c>
      <c r="L94" s="2">
        <f>IF(A94="","",SUMPRODUCT((檢查項目!$A$2:$A$500=A94)*(檢查項目!$B$2:$B$500&lt;&gt;""))+SUMPRODUCT((數值欄位!$A$2:$A$500=A94)*(數值欄位!$B$2:$B$500&lt;&gt;"")))</f>
        <v/>
      </c>
      <c r="M94" s="2">
        <f>IF(A94="","",IF(TRIM(IF(COUNTIF($A$2:$A$500,A94)&gt;1,"⚠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",""))="","✓",TRIM(IF(COUNTIF($A$2:$A$500,A94)&gt;1,"⚠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",""))))</f>
        <v/>
      </c>
    </row>
    <row r="95">
      <c r="I95" s="2">
        <f>IF(A95="","",IF(TRIM(D95)="","（分項工程層）",IF(TRIM(D95)="全部",_xlfn.TEXTJOIN("、",TRUE,單元!$A$2:$A$500),SUBSTITUTE(SUBSTITUTE(SUBSTITUTE(TRIM(D95),"，","、"),",","、")," ",""))))</f>
        <v/>
      </c>
      <c r="J95" s="2">
        <f>IF(A95="","",IF(TRIM(H95)="","施工前、施工中、施工後",SUBSTITUTE(SUBSTITUTE(SUBSTITUTE(TRIM(H95),"，","、"),",","、")," ","")))</f>
        <v/>
      </c>
      <c r="K95" s="2">
        <f>IF(A95="","",SUMPRODUCT((檢查項目!$A$2:$A$500=A95)*(檢查項目!$B$2:$B$500="")))</f>
        <v/>
      </c>
      <c r="L95" s="2">
        <f>IF(A95="","",SUMPRODUCT((檢查項目!$A$2:$A$500=A95)*(檢查項目!$B$2:$B$500&lt;&gt;""))+SUMPRODUCT((數值欄位!$A$2:$A$500=A95)*(數值欄位!$B$2:$B$500&lt;&gt;"")))</f>
        <v/>
      </c>
      <c r="M95" s="2">
        <f>IF(A95="","",IF(TRIM(IF(COUNTIF($A$2:$A$500,A95)&gt;1,"⚠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",""))="","✓",TRIM(IF(COUNTIF($A$2:$A$500,A95)&gt;1,"⚠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",""))))</f>
        <v/>
      </c>
    </row>
    <row r="96">
      <c r="I96" s="2">
        <f>IF(A96="","",IF(TRIM(D96)="","（分項工程層）",IF(TRIM(D96)="全部",_xlfn.TEXTJOIN("、",TRUE,單元!$A$2:$A$500),SUBSTITUTE(SUBSTITUTE(SUBSTITUTE(TRIM(D96),"，","、"),",","、")," ",""))))</f>
        <v/>
      </c>
      <c r="J96" s="2">
        <f>IF(A96="","",IF(TRIM(H96)="","施工前、施工中、施工後",SUBSTITUTE(SUBSTITUTE(SUBSTITUTE(TRIM(H96),"，","、"),",","、")," ","")))</f>
        <v/>
      </c>
      <c r="K96" s="2">
        <f>IF(A96="","",SUMPRODUCT((檢查項目!$A$2:$A$500=A96)*(檢查項目!$B$2:$B$500="")))</f>
        <v/>
      </c>
      <c r="L96" s="2">
        <f>IF(A96="","",SUMPRODUCT((檢查項目!$A$2:$A$500=A96)*(檢查項目!$B$2:$B$500&lt;&gt;""))+SUMPRODUCT((數值欄位!$A$2:$A$500=A96)*(數值欄位!$B$2:$B$500&lt;&gt;"")))</f>
        <v/>
      </c>
      <c r="M96" s="2">
        <f>IF(A96="","",IF(TRIM(IF(COUNTIF($A$2:$A$500,A96)&gt;1,"⚠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",""))="","✓",TRIM(IF(COUNTIF($A$2:$A$500,A96)&gt;1,"⚠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",""))))</f>
        <v/>
      </c>
    </row>
    <row r="97">
      <c r="I97" s="2">
        <f>IF(A97="","",IF(TRIM(D97)="","（分項工程層）",IF(TRIM(D97)="全部",_xlfn.TEXTJOIN("、",TRUE,單元!$A$2:$A$500),SUBSTITUTE(SUBSTITUTE(SUBSTITUTE(TRIM(D97),"，","、"),",","、")," ",""))))</f>
        <v/>
      </c>
      <c r="J97" s="2">
        <f>IF(A97="","",IF(TRIM(H97)="","施工前、施工中、施工後",SUBSTITUTE(SUBSTITUTE(SUBSTITUTE(TRIM(H97),"，","、"),",","、")," ","")))</f>
        <v/>
      </c>
      <c r="K97" s="2">
        <f>IF(A97="","",SUMPRODUCT((檢查項目!$A$2:$A$500=A97)*(檢查項目!$B$2:$B$500="")))</f>
        <v/>
      </c>
      <c r="L97" s="2">
        <f>IF(A97="","",SUMPRODUCT((檢查項目!$A$2:$A$500=A97)*(檢查項目!$B$2:$B$500&lt;&gt;""))+SUMPRODUCT((數值欄位!$A$2:$A$500=A97)*(數值欄位!$B$2:$B$500&lt;&gt;"")))</f>
        <v/>
      </c>
      <c r="M97" s="2">
        <f>IF(A97="","",IF(TRIM(IF(COUNTIF($A$2:$A$500,A97)&gt;1,"⚠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",""))="","✓",TRIM(IF(COUNTIF($A$2:$A$500,A97)&gt;1,"⚠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",""))))</f>
        <v/>
      </c>
    </row>
    <row r="98">
      <c r="I98" s="2">
        <f>IF(A98="","",IF(TRIM(D98)="","（分項工程層）",IF(TRIM(D98)="全部",_xlfn.TEXTJOIN("、",TRUE,單元!$A$2:$A$500),SUBSTITUTE(SUBSTITUTE(SUBSTITUTE(TRIM(D98),"，","、"),",","、")," ",""))))</f>
        <v/>
      </c>
      <c r="J98" s="2">
        <f>IF(A98="","",IF(TRIM(H98)="","施工前、施工中、施工後",SUBSTITUTE(SUBSTITUTE(SUBSTITUTE(TRIM(H98),"，","、"),",","、")," ","")))</f>
        <v/>
      </c>
      <c r="K98" s="2">
        <f>IF(A98="","",SUMPRODUCT((檢查項目!$A$2:$A$500=A98)*(檢查項目!$B$2:$B$500="")))</f>
        <v/>
      </c>
      <c r="L98" s="2">
        <f>IF(A98="","",SUMPRODUCT((檢查項目!$A$2:$A$500=A98)*(檢查項目!$B$2:$B$500&lt;&gt;""))+SUMPRODUCT((數值欄位!$A$2:$A$500=A98)*(數值欄位!$B$2:$B$500&lt;&gt;"")))</f>
        <v/>
      </c>
      <c r="M98" s="2">
        <f>IF(A98="","",IF(TRIM(IF(COUNTIF($A$2:$A$500,A98)&gt;1,"⚠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",""))="","✓",TRIM(IF(COUNTIF($A$2:$A$500,A98)&gt;1,"⚠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",""))))</f>
        <v/>
      </c>
    </row>
    <row r="99">
      <c r="I99" s="2">
        <f>IF(A99="","",IF(TRIM(D99)="","（分項工程層）",IF(TRIM(D99)="全部",_xlfn.TEXTJOIN("、",TRUE,單元!$A$2:$A$500),SUBSTITUTE(SUBSTITUTE(SUBSTITUTE(TRIM(D99),"，","、"),",","、")," ",""))))</f>
        <v/>
      </c>
      <c r="J99" s="2">
        <f>IF(A99="","",IF(TRIM(H99)="","施工前、施工中、施工後",SUBSTITUTE(SUBSTITUTE(SUBSTITUTE(TRIM(H99),"，","、"),",","、")," ","")))</f>
        <v/>
      </c>
      <c r="K99" s="2">
        <f>IF(A99="","",SUMPRODUCT((檢查項目!$A$2:$A$500=A99)*(檢查項目!$B$2:$B$500="")))</f>
        <v/>
      </c>
      <c r="L99" s="2">
        <f>IF(A99="","",SUMPRODUCT((檢查項目!$A$2:$A$500=A99)*(檢查項目!$B$2:$B$500&lt;&gt;""))+SUMPRODUCT((數值欄位!$A$2:$A$500=A99)*(數值欄位!$B$2:$B$500&lt;&gt;"")))</f>
        <v/>
      </c>
      <c r="M99" s="2">
        <f>IF(A99="","",IF(TRIM(IF(COUNTIF($A$2:$A$500,A99)&gt;1,"⚠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",""))="","✓",TRIM(IF(COUNTIF($A$2:$A$500,A99)&gt;1,"⚠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",""))))</f>
        <v/>
      </c>
    </row>
    <row r="100">
      <c r="I100" s="2">
        <f>IF(A100="","",IF(TRIM(D100)="","（分項工程層）",IF(TRIM(D100)="全部",_xlfn.TEXTJOIN("、",TRUE,單元!$A$2:$A$500),SUBSTITUTE(SUBSTITUTE(SUBSTITUTE(TRIM(D100),"，","、"),",","、")," ",""))))</f>
        <v/>
      </c>
      <c r="J100" s="2">
        <f>IF(A100="","",IF(TRIM(H100)="","施工前、施工中、施工後",SUBSTITUTE(SUBSTITUTE(SUBSTITUTE(TRIM(H100),"，","、"),",","、")," ","")))</f>
        <v/>
      </c>
      <c r="K100" s="2">
        <f>IF(A100="","",SUMPRODUCT((檢查項目!$A$2:$A$500=A100)*(檢查項目!$B$2:$B$500="")))</f>
        <v/>
      </c>
      <c r="L100" s="2">
        <f>IF(A100="","",SUMPRODUCT((檢查項目!$A$2:$A$500=A100)*(檢查項目!$B$2:$B$500&lt;&gt;""))+SUMPRODUCT((數值欄位!$A$2:$A$500=A100)*(數值欄位!$B$2:$B$500&lt;&gt;"")))</f>
        <v/>
      </c>
      <c r="M100" s="2">
        <f>IF(A100="","",IF(TRIM(IF(COUNTIF($A$2:$A$500,A100)&gt;1,"⚠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",""))="","✓",TRIM(IF(COUNTIF($A$2:$A$500,A100)&gt;1,"⚠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",""))))</f>
        <v/>
      </c>
    </row>
    <row r="101">
      <c r="I101" s="2">
        <f>IF(A101="","",IF(TRIM(D101)="","（分項工程層）",IF(TRIM(D101)="全部",_xlfn.TEXTJOIN("、",TRUE,單元!$A$2:$A$500),SUBSTITUTE(SUBSTITUTE(SUBSTITUTE(TRIM(D101),"，","、"),",","、")," ",""))))</f>
        <v/>
      </c>
      <c r="J101" s="2">
        <f>IF(A101="","",IF(TRIM(H101)="","施工前、施工中、施工後",SUBSTITUTE(SUBSTITUTE(SUBSTITUTE(TRIM(H101),"，","、"),",","、")," ","")))</f>
        <v/>
      </c>
      <c r="K101" s="2">
        <f>IF(A101="","",SUMPRODUCT((檢查項目!$A$2:$A$500=A101)*(檢查項目!$B$2:$B$500="")))</f>
        <v/>
      </c>
      <c r="L101" s="2">
        <f>IF(A101="","",SUMPRODUCT((檢查項目!$A$2:$A$500=A101)*(檢查項目!$B$2:$B$500&lt;&gt;""))+SUMPRODUCT((數值欄位!$A$2:$A$500=A101)*(數值欄位!$B$2:$B$500&lt;&gt;"")))</f>
        <v/>
      </c>
      <c r="M101" s="2">
        <f>IF(A101="","",IF(TRIM(IF(COUNTIF($A$2:$A$500,A101)&gt;1,"⚠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",""))="","✓",TRIM(IF(COUNTIF($A$2:$A$500,A101)&gt;1,"⚠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",""))))</f>
        <v/>
      </c>
    </row>
    <row r="102">
      <c r="I102" s="2">
        <f>IF(A102="","",IF(TRIM(D102)="","（分項工程層）",IF(TRIM(D102)="全部",_xlfn.TEXTJOIN("、",TRUE,單元!$A$2:$A$500),SUBSTITUTE(SUBSTITUTE(SUBSTITUTE(TRIM(D102),"，","、"),",","、")," ",""))))</f>
        <v/>
      </c>
      <c r="J102" s="2">
        <f>IF(A102="","",IF(TRIM(H102)="","施工前、施工中、施工後",SUBSTITUTE(SUBSTITUTE(SUBSTITUTE(TRIM(H102),"，","、"),",","、")," ","")))</f>
        <v/>
      </c>
      <c r="K102" s="2">
        <f>IF(A102="","",SUMPRODUCT((檢查項目!$A$2:$A$500=A102)*(檢查項目!$B$2:$B$500="")))</f>
        <v/>
      </c>
      <c r="L102" s="2">
        <f>IF(A102="","",SUMPRODUCT((檢查項目!$A$2:$A$500=A102)*(檢查項目!$B$2:$B$500&lt;&gt;""))+SUMPRODUCT((數值欄位!$A$2:$A$500=A102)*(數值欄位!$B$2:$B$500&lt;&gt;"")))</f>
        <v/>
      </c>
      <c r="M102" s="2">
        <f>IF(A102="","",IF(TRIM(IF(COUNTIF($A$2:$A$500,A102)&gt;1,"⚠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",""))="","✓",TRIM(IF(COUNTIF($A$2:$A$500,A102)&gt;1,"⚠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",""))))</f>
        <v/>
      </c>
    </row>
    <row r="103">
      <c r="I103" s="2">
        <f>IF(A103="","",IF(TRIM(D103)="","（分項工程層）",IF(TRIM(D103)="全部",_xlfn.TEXTJOIN("、",TRUE,單元!$A$2:$A$500),SUBSTITUTE(SUBSTITUTE(SUBSTITUTE(TRIM(D103),"，","、"),",","、")," ",""))))</f>
        <v/>
      </c>
      <c r="J103" s="2">
        <f>IF(A103="","",IF(TRIM(H103)="","施工前、施工中、施工後",SUBSTITUTE(SUBSTITUTE(SUBSTITUTE(TRIM(H103),"，","、"),",","、")," ","")))</f>
        <v/>
      </c>
      <c r="K103" s="2">
        <f>IF(A103="","",SUMPRODUCT((檢查項目!$A$2:$A$500=A103)*(檢查項目!$B$2:$B$500="")))</f>
        <v/>
      </c>
      <c r="L103" s="2">
        <f>IF(A103="","",SUMPRODUCT((檢查項目!$A$2:$A$500=A103)*(檢查項目!$B$2:$B$500&lt;&gt;""))+SUMPRODUCT((數值欄位!$A$2:$A$500=A103)*(數值欄位!$B$2:$B$500&lt;&gt;"")))</f>
        <v/>
      </c>
      <c r="M103" s="2">
        <f>IF(A103="","",IF(TRIM(IF(COUNTIF($A$2:$A$500,A103)&gt;1,"⚠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",""))="","✓",TRIM(IF(COUNTIF($A$2:$A$500,A103)&gt;1,"⚠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",""))))</f>
        <v/>
      </c>
    </row>
    <row r="104">
      <c r="I104" s="2">
        <f>IF(A104="","",IF(TRIM(D104)="","（分項工程層）",IF(TRIM(D104)="全部",_xlfn.TEXTJOIN("、",TRUE,單元!$A$2:$A$500),SUBSTITUTE(SUBSTITUTE(SUBSTITUTE(TRIM(D104),"，","、"),",","、")," ",""))))</f>
        <v/>
      </c>
      <c r="J104" s="2">
        <f>IF(A104="","",IF(TRIM(H104)="","施工前、施工中、施工後",SUBSTITUTE(SUBSTITUTE(SUBSTITUTE(TRIM(H104),"，","、"),",","、")," ","")))</f>
        <v/>
      </c>
      <c r="K104" s="2">
        <f>IF(A104="","",SUMPRODUCT((檢查項目!$A$2:$A$500=A104)*(檢查項目!$B$2:$B$500="")))</f>
        <v/>
      </c>
      <c r="L104" s="2">
        <f>IF(A104="","",SUMPRODUCT((檢查項目!$A$2:$A$500=A104)*(檢查項目!$B$2:$B$500&lt;&gt;""))+SUMPRODUCT((數值欄位!$A$2:$A$500=A104)*(數值欄位!$B$2:$B$500&lt;&gt;"")))</f>
        <v/>
      </c>
      <c r="M104" s="2">
        <f>IF(A104="","",IF(TRIM(IF(COUNTIF($A$2:$A$500,A104)&gt;1,"⚠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",""))="","✓",TRIM(IF(COUNTIF($A$2:$A$500,A104)&gt;1,"⚠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",""))))</f>
        <v/>
      </c>
    </row>
    <row r="105">
      <c r="I105" s="2">
        <f>IF(A105="","",IF(TRIM(D105)="","（分項工程層）",IF(TRIM(D105)="全部",_xlfn.TEXTJOIN("、",TRUE,單元!$A$2:$A$500),SUBSTITUTE(SUBSTITUTE(SUBSTITUTE(TRIM(D105),"，","、"),",","、")," ",""))))</f>
        <v/>
      </c>
      <c r="J105" s="2">
        <f>IF(A105="","",IF(TRIM(H105)="","施工前、施工中、施工後",SUBSTITUTE(SUBSTITUTE(SUBSTITUTE(TRIM(H105),"，","、"),",","、")," ","")))</f>
        <v/>
      </c>
      <c r="K105" s="2">
        <f>IF(A105="","",SUMPRODUCT((檢查項目!$A$2:$A$500=A105)*(檢查項目!$B$2:$B$500="")))</f>
        <v/>
      </c>
      <c r="L105" s="2">
        <f>IF(A105="","",SUMPRODUCT((檢查項目!$A$2:$A$500=A105)*(檢查項目!$B$2:$B$500&lt;&gt;""))+SUMPRODUCT((數值欄位!$A$2:$A$500=A105)*(數值欄位!$B$2:$B$500&lt;&gt;"")))</f>
        <v/>
      </c>
      <c r="M105" s="2">
        <f>IF(A105="","",IF(TRIM(IF(COUNTIF($A$2:$A$500,A105)&gt;1,"⚠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",""))="","✓",TRIM(IF(COUNTIF($A$2:$A$500,A105)&gt;1,"⚠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",""))))</f>
        <v/>
      </c>
    </row>
    <row r="106">
      <c r="I106" s="2">
        <f>IF(A106="","",IF(TRIM(D106)="","（分項工程層）",IF(TRIM(D106)="全部",_xlfn.TEXTJOIN("、",TRUE,單元!$A$2:$A$500),SUBSTITUTE(SUBSTITUTE(SUBSTITUTE(TRIM(D106),"，","、"),",","、")," ",""))))</f>
        <v/>
      </c>
      <c r="J106" s="2">
        <f>IF(A106="","",IF(TRIM(H106)="","施工前、施工中、施工後",SUBSTITUTE(SUBSTITUTE(SUBSTITUTE(TRIM(H106),"，","、"),",","、")," ","")))</f>
        <v/>
      </c>
      <c r="K106" s="2">
        <f>IF(A106="","",SUMPRODUCT((檢查項目!$A$2:$A$500=A106)*(檢查項目!$B$2:$B$500="")))</f>
        <v/>
      </c>
      <c r="L106" s="2">
        <f>IF(A106="","",SUMPRODUCT((檢查項目!$A$2:$A$500=A106)*(檢查項目!$B$2:$B$500&lt;&gt;""))+SUMPRODUCT((數值欄位!$A$2:$A$500=A106)*(數值欄位!$B$2:$B$500&lt;&gt;"")))</f>
        <v/>
      </c>
      <c r="M106" s="2">
        <f>IF(A106="","",IF(TRIM(IF(COUNTIF($A$2:$A$500,A106)&gt;1,"⚠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",""))="","✓",TRIM(IF(COUNTIF($A$2:$A$500,A106)&gt;1,"⚠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",""))))</f>
        <v/>
      </c>
    </row>
    <row r="107">
      <c r="I107" s="2">
        <f>IF(A107="","",IF(TRIM(D107)="","（分項工程層）",IF(TRIM(D107)="全部",_xlfn.TEXTJOIN("、",TRUE,單元!$A$2:$A$500),SUBSTITUTE(SUBSTITUTE(SUBSTITUTE(TRIM(D107),"，","、"),",","、")," ",""))))</f>
        <v/>
      </c>
      <c r="J107" s="2">
        <f>IF(A107="","",IF(TRIM(H107)="","施工前、施工中、施工後",SUBSTITUTE(SUBSTITUTE(SUBSTITUTE(TRIM(H107),"，","、"),",","、")," ","")))</f>
        <v/>
      </c>
      <c r="K107" s="2">
        <f>IF(A107="","",SUMPRODUCT((檢查項目!$A$2:$A$500=A107)*(檢查項目!$B$2:$B$500="")))</f>
        <v/>
      </c>
      <c r="L107" s="2">
        <f>IF(A107="","",SUMPRODUCT((檢查項目!$A$2:$A$500=A107)*(檢查項目!$B$2:$B$500&lt;&gt;""))+SUMPRODUCT((數值欄位!$A$2:$A$500=A107)*(數值欄位!$B$2:$B$500&lt;&gt;"")))</f>
        <v/>
      </c>
      <c r="M107" s="2">
        <f>IF(A107="","",IF(TRIM(IF(COUNTIF($A$2:$A$500,A107)&gt;1,"⚠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",""))="","✓",TRIM(IF(COUNTIF($A$2:$A$500,A107)&gt;1,"⚠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",""))))</f>
        <v/>
      </c>
    </row>
    <row r="108">
      <c r="I108" s="2">
        <f>IF(A108="","",IF(TRIM(D108)="","（分項工程層）",IF(TRIM(D108)="全部",_xlfn.TEXTJOIN("、",TRUE,單元!$A$2:$A$500),SUBSTITUTE(SUBSTITUTE(SUBSTITUTE(TRIM(D108),"，","、"),",","、")," ",""))))</f>
        <v/>
      </c>
      <c r="J108" s="2">
        <f>IF(A108="","",IF(TRIM(H108)="","施工前、施工中、施工後",SUBSTITUTE(SUBSTITUTE(SUBSTITUTE(TRIM(H108),"，","、"),",","、")," ","")))</f>
        <v/>
      </c>
      <c r="K108" s="2">
        <f>IF(A108="","",SUMPRODUCT((檢查項目!$A$2:$A$500=A108)*(檢查項目!$B$2:$B$500="")))</f>
        <v/>
      </c>
      <c r="L108" s="2">
        <f>IF(A108="","",SUMPRODUCT((檢查項目!$A$2:$A$500=A108)*(檢查項目!$B$2:$B$500&lt;&gt;""))+SUMPRODUCT((數值欄位!$A$2:$A$500=A108)*(數值欄位!$B$2:$B$500&lt;&gt;"")))</f>
        <v/>
      </c>
      <c r="M108" s="2">
        <f>IF(A108="","",IF(TRIM(IF(COUNTIF($A$2:$A$500,A108)&gt;1,"⚠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",""))="","✓",TRIM(IF(COUNTIF($A$2:$A$500,A108)&gt;1,"⚠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",""))))</f>
        <v/>
      </c>
    </row>
    <row r="109">
      <c r="I109" s="2">
        <f>IF(A109="","",IF(TRIM(D109)="","（分項工程層）",IF(TRIM(D109)="全部",_xlfn.TEXTJOIN("、",TRUE,單元!$A$2:$A$500),SUBSTITUTE(SUBSTITUTE(SUBSTITUTE(TRIM(D109),"，","、"),",","、")," ",""))))</f>
        <v/>
      </c>
      <c r="J109" s="2">
        <f>IF(A109="","",IF(TRIM(H109)="","施工前、施工中、施工後",SUBSTITUTE(SUBSTITUTE(SUBSTITUTE(TRIM(H109),"，","、"),",","、")," ","")))</f>
        <v/>
      </c>
      <c r="K109" s="2">
        <f>IF(A109="","",SUMPRODUCT((檢查項目!$A$2:$A$500=A109)*(檢查項目!$B$2:$B$500="")))</f>
        <v/>
      </c>
      <c r="L109" s="2">
        <f>IF(A109="","",SUMPRODUCT((檢查項目!$A$2:$A$500=A109)*(檢查項目!$B$2:$B$500&lt;&gt;""))+SUMPRODUCT((數值欄位!$A$2:$A$500=A109)*(數值欄位!$B$2:$B$500&lt;&gt;"")))</f>
        <v/>
      </c>
      <c r="M109" s="2">
        <f>IF(A109="","",IF(TRIM(IF(COUNTIF($A$2:$A$500,A109)&gt;1,"⚠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",""))="","✓",TRIM(IF(COUNTIF($A$2:$A$500,A109)&gt;1,"⚠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",""))))</f>
        <v/>
      </c>
    </row>
    <row r="110">
      <c r="I110" s="2">
        <f>IF(A110="","",IF(TRIM(D110)="","（分項工程層）",IF(TRIM(D110)="全部",_xlfn.TEXTJOIN("、",TRUE,單元!$A$2:$A$500),SUBSTITUTE(SUBSTITUTE(SUBSTITUTE(TRIM(D110),"，","、"),",","、")," ",""))))</f>
        <v/>
      </c>
      <c r="J110" s="2">
        <f>IF(A110="","",IF(TRIM(H110)="","施工前、施工中、施工後",SUBSTITUTE(SUBSTITUTE(SUBSTITUTE(TRIM(H110),"，","、"),",","、")," ","")))</f>
        <v/>
      </c>
      <c r="K110" s="2">
        <f>IF(A110="","",SUMPRODUCT((檢查項目!$A$2:$A$500=A110)*(檢查項目!$B$2:$B$500="")))</f>
        <v/>
      </c>
      <c r="L110" s="2">
        <f>IF(A110="","",SUMPRODUCT((檢查項目!$A$2:$A$500=A110)*(檢查項目!$B$2:$B$500&lt;&gt;""))+SUMPRODUCT((數值欄位!$A$2:$A$500=A110)*(數值欄位!$B$2:$B$500&lt;&gt;"")))</f>
        <v/>
      </c>
      <c r="M110" s="2">
        <f>IF(A110="","",IF(TRIM(IF(COUNTIF($A$2:$A$500,A110)&gt;1,"⚠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",""))="","✓",TRIM(IF(COUNTIF($A$2:$A$500,A110)&gt;1,"⚠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",""))))</f>
        <v/>
      </c>
    </row>
    <row r="111">
      <c r="I111" s="2">
        <f>IF(A111="","",IF(TRIM(D111)="","（分項工程層）",IF(TRIM(D111)="全部",_xlfn.TEXTJOIN("、",TRUE,單元!$A$2:$A$500),SUBSTITUTE(SUBSTITUTE(SUBSTITUTE(TRIM(D111),"，","、"),",","、")," ",""))))</f>
        <v/>
      </c>
      <c r="J111" s="2">
        <f>IF(A111="","",IF(TRIM(H111)="","施工前、施工中、施工後",SUBSTITUTE(SUBSTITUTE(SUBSTITUTE(TRIM(H111),"，","、"),",","、")," ","")))</f>
        <v/>
      </c>
      <c r="K111" s="2">
        <f>IF(A111="","",SUMPRODUCT((檢查項目!$A$2:$A$500=A111)*(檢查項目!$B$2:$B$500="")))</f>
        <v/>
      </c>
      <c r="L111" s="2">
        <f>IF(A111="","",SUMPRODUCT((檢查項目!$A$2:$A$500=A111)*(檢查項目!$B$2:$B$500&lt;&gt;""))+SUMPRODUCT((數值欄位!$A$2:$A$500=A111)*(數值欄位!$B$2:$B$500&lt;&gt;"")))</f>
        <v/>
      </c>
      <c r="M111" s="2">
        <f>IF(A111="","",IF(TRIM(IF(COUNTIF($A$2:$A$500,A111)&gt;1,"⚠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",""))="","✓",TRIM(IF(COUNTIF($A$2:$A$500,A111)&gt;1,"⚠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",""))))</f>
        <v/>
      </c>
    </row>
    <row r="112">
      <c r="I112" s="2">
        <f>IF(A112="","",IF(TRIM(D112)="","（分項工程層）",IF(TRIM(D112)="全部",_xlfn.TEXTJOIN("、",TRUE,單元!$A$2:$A$500),SUBSTITUTE(SUBSTITUTE(SUBSTITUTE(TRIM(D112),"，","、"),",","、")," ",""))))</f>
        <v/>
      </c>
      <c r="J112" s="2">
        <f>IF(A112="","",IF(TRIM(H112)="","施工前、施工中、施工後",SUBSTITUTE(SUBSTITUTE(SUBSTITUTE(TRIM(H112),"，","、"),",","、")," ","")))</f>
        <v/>
      </c>
      <c r="K112" s="2">
        <f>IF(A112="","",SUMPRODUCT((檢查項目!$A$2:$A$500=A112)*(檢查項目!$B$2:$B$500="")))</f>
        <v/>
      </c>
      <c r="L112" s="2">
        <f>IF(A112="","",SUMPRODUCT((檢查項目!$A$2:$A$500=A112)*(檢查項目!$B$2:$B$500&lt;&gt;""))+SUMPRODUCT((數值欄位!$A$2:$A$500=A112)*(數值欄位!$B$2:$B$500&lt;&gt;"")))</f>
        <v/>
      </c>
      <c r="M112" s="2">
        <f>IF(A112="","",IF(TRIM(IF(COUNTIF($A$2:$A$500,A112)&gt;1,"⚠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",""))="","✓",TRIM(IF(COUNTIF($A$2:$A$500,A112)&gt;1,"⚠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",""))))</f>
        <v/>
      </c>
    </row>
    <row r="113">
      <c r="I113" s="2">
        <f>IF(A113="","",IF(TRIM(D113)="","（分項工程層）",IF(TRIM(D113)="全部",_xlfn.TEXTJOIN("、",TRUE,單元!$A$2:$A$500),SUBSTITUTE(SUBSTITUTE(SUBSTITUTE(TRIM(D113),"，","、"),",","、")," ",""))))</f>
        <v/>
      </c>
      <c r="J113" s="2">
        <f>IF(A113="","",IF(TRIM(H113)="","施工前、施工中、施工後",SUBSTITUTE(SUBSTITUTE(SUBSTITUTE(TRIM(H113),"，","、"),",","、")," ","")))</f>
        <v/>
      </c>
      <c r="K113" s="2">
        <f>IF(A113="","",SUMPRODUCT((檢查項目!$A$2:$A$500=A113)*(檢查項目!$B$2:$B$500="")))</f>
        <v/>
      </c>
      <c r="L113" s="2">
        <f>IF(A113="","",SUMPRODUCT((檢查項目!$A$2:$A$500=A113)*(檢查項目!$B$2:$B$500&lt;&gt;""))+SUMPRODUCT((數值欄位!$A$2:$A$500=A113)*(數值欄位!$B$2:$B$500&lt;&gt;"")))</f>
        <v/>
      </c>
      <c r="M113" s="2">
        <f>IF(A113="","",IF(TRIM(IF(COUNTIF($A$2:$A$500,A113)&gt;1,"⚠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",""))="","✓",TRIM(IF(COUNTIF($A$2:$A$500,A113)&gt;1,"⚠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",""))))</f>
        <v/>
      </c>
    </row>
    <row r="114">
      <c r="I114" s="2">
        <f>IF(A114="","",IF(TRIM(D114)="","（分項工程層）",IF(TRIM(D114)="全部",_xlfn.TEXTJOIN("、",TRUE,單元!$A$2:$A$500),SUBSTITUTE(SUBSTITUTE(SUBSTITUTE(TRIM(D114),"，","、"),",","、")," ",""))))</f>
        <v/>
      </c>
      <c r="J114" s="2">
        <f>IF(A114="","",IF(TRIM(H114)="","施工前、施工中、施工後",SUBSTITUTE(SUBSTITUTE(SUBSTITUTE(TRIM(H114),"，","、"),",","、")," ","")))</f>
        <v/>
      </c>
      <c r="K114" s="2">
        <f>IF(A114="","",SUMPRODUCT((檢查項目!$A$2:$A$500=A114)*(檢查項目!$B$2:$B$500="")))</f>
        <v/>
      </c>
      <c r="L114" s="2">
        <f>IF(A114="","",SUMPRODUCT((檢查項目!$A$2:$A$500=A114)*(檢查項目!$B$2:$B$500&lt;&gt;""))+SUMPRODUCT((數值欄位!$A$2:$A$500=A114)*(數值欄位!$B$2:$B$500&lt;&gt;"")))</f>
        <v/>
      </c>
      <c r="M114" s="2">
        <f>IF(A114="","",IF(TRIM(IF(COUNTIF($A$2:$A$500,A114)&gt;1,"⚠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",""))="","✓",TRIM(IF(COUNTIF($A$2:$A$500,A114)&gt;1,"⚠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",""))))</f>
        <v/>
      </c>
    </row>
    <row r="115">
      <c r="I115" s="2">
        <f>IF(A115="","",IF(TRIM(D115)="","（分項工程層）",IF(TRIM(D115)="全部",_xlfn.TEXTJOIN("、",TRUE,單元!$A$2:$A$500),SUBSTITUTE(SUBSTITUTE(SUBSTITUTE(TRIM(D115),"，","、"),",","、")," ",""))))</f>
        <v/>
      </c>
      <c r="J115" s="2">
        <f>IF(A115="","",IF(TRIM(H115)="","施工前、施工中、施工後",SUBSTITUTE(SUBSTITUTE(SUBSTITUTE(TRIM(H115),"，","、"),",","、")," ","")))</f>
        <v/>
      </c>
      <c r="K115" s="2">
        <f>IF(A115="","",SUMPRODUCT((檢查項目!$A$2:$A$500=A115)*(檢查項目!$B$2:$B$500="")))</f>
        <v/>
      </c>
      <c r="L115" s="2">
        <f>IF(A115="","",SUMPRODUCT((檢查項目!$A$2:$A$500=A115)*(檢查項目!$B$2:$B$500&lt;&gt;""))+SUMPRODUCT((數值欄位!$A$2:$A$500=A115)*(數值欄位!$B$2:$B$500&lt;&gt;"")))</f>
        <v/>
      </c>
      <c r="M115" s="2">
        <f>IF(A115="","",IF(TRIM(IF(COUNTIF($A$2:$A$500,A115)&gt;1,"⚠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",""))="","✓",TRIM(IF(COUNTIF($A$2:$A$500,A115)&gt;1,"⚠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",""))))</f>
        <v/>
      </c>
    </row>
    <row r="116">
      <c r="I116" s="2">
        <f>IF(A116="","",IF(TRIM(D116)="","（分項工程層）",IF(TRIM(D116)="全部",_xlfn.TEXTJOIN("、",TRUE,單元!$A$2:$A$500),SUBSTITUTE(SUBSTITUTE(SUBSTITUTE(TRIM(D116),"，","、"),",","、")," ",""))))</f>
        <v/>
      </c>
      <c r="J116" s="2">
        <f>IF(A116="","",IF(TRIM(H116)="","施工前、施工中、施工後",SUBSTITUTE(SUBSTITUTE(SUBSTITUTE(TRIM(H116),"，","、"),",","、")," ","")))</f>
        <v/>
      </c>
      <c r="K116" s="2">
        <f>IF(A116="","",SUMPRODUCT((檢查項目!$A$2:$A$500=A116)*(檢查項目!$B$2:$B$500="")))</f>
        <v/>
      </c>
      <c r="L116" s="2">
        <f>IF(A116="","",SUMPRODUCT((檢查項目!$A$2:$A$500=A116)*(檢查項目!$B$2:$B$500&lt;&gt;""))+SUMPRODUCT((數值欄位!$A$2:$A$500=A116)*(數值欄位!$B$2:$B$500&lt;&gt;"")))</f>
        <v/>
      </c>
      <c r="M116" s="2">
        <f>IF(A116="","",IF(TRIM(IF(COUNTIF($A$2:$A$500,A116)&gt;1,"⚠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",""))="","✓",TRIM(IF(COUNTIF($A$2:$A$500,A116)&gt;1,"⚠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",""))))</f>
        <v/>
      </c>
    </row>
    <row r="117">
      <c r="I117" s="2">
        <f>IF(A117="","",IF(TRIM(D117)="","（分項工程層）",IF(TRIM(D117)="全部",_xlfn.TEXTJOIN("、",TRUE,單元!$A$2:$A$500),SUBSTITUTE(SUBSTITUTE(SUBSTITUTE(TRIM(D117),"，","、"),",","、")," ",""))))</f>
        <v/>
      </c>
      <c r="J117" s="2">
        <f>IF(A117="","",IF(TRIM(H117)="","施工前、施工中、施工後",SUBSTITUTE(SUBSTITUTE(SUBSTITUTE(TRIM(H117),"，","、"),",","、")," ","")))</f>
        <v/>
      </c>
      <c r="K117" s="2">
        <f>IF(A117="","",SUMPRODUCT((檢查項目!$A$2:$A$500=A117)*(檢查項目!$B$2:$B$500="")))</f>
        <v/>
      </c>
      <c r="L117" s="2">
        <f>IF(A117="","",SUMPRODUCT((檢查項目!$A$2:$A$500=A117)*(檢查項目!$B$2:$B$500&lt;&gt;""))+SUMPRODUCT((數值欄位!$A$2:$A$500=A117)*(數值欄位!$B$2:$B$500&lt;&gt;"")))</f>
        <v/>
      </c>
      <c r="M117" s="2">
        <f>IF(A117="","",IF(TRIM(IF(COUNTIF($A$2:$A$500,A117)&gt;1,"⚠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",""))="","✓",TRIM(IF(COUNTIF($A$2:$A$500,A117)&gt;1,"⚠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",""))))</f>
        <v/>
      </c>
    </row>
    <row r="118">
      <c r="I118" s="2">
        <f>IF(A118="","",IF(TRIM(D118)="","（分項工程層）",IF(TRIM(D118)="全部",_xlfn.TEXTJOIN("、",TRUE,單元!$A$2:$A$500),SUBSTITUTE(SUBSTITUTE(SUBSTITUTE(TRIM(D118),"，","、"),",","、")," ",""))))</f>
        <v/>
      </c>
      <c r="J118" s="2">
        <f>IF(A118="","",IF(TRIM(H118)="","施工前、施工中、施工後",SUBSTITUTE(SUBSTITUTE(SUBSTITUTE(TRIM(H118),"，","、"),",","、")," ","")))</f>
        <v/>
      </c>
      <c r="K118" s="2">
        <f>IF(A118="","",SUMPRODUCT((檢查項目!$A$2:$A$500=A118)*(檢查項目!$B$2:$B$500="")))</f>
        <v/>
      </c>
      <c r="L118" s="2">
        <f>IF(A118="","",SUMPRODUCT((檢查項目!$A$2:$A$500=A118)*(檢查項目!$B$2:$B$500&lt;&gt;""))+SUMPRODUCT((數值欄位!$A$2:$A$500=A118)*(數值欄位!$B$2:$B$500&lt;&gt;"")))</f>
        <v/>
      </c>
      <c r="M118" s="2">
        <f>IF(A118="","",IF(TRIM(IF(COUNTIF($A$2:$A$500,A118)&gt;1,"⚠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",""))="","✓",TRIM(IF(COUNTIF($A$2:$A$500,A118)&gt;1,"⚠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",""))))</f>
        <v/>
      </c>
    </row>
    <row r="119">
      <c r="I119" s="2">
        <f>IF(A119="","",IF(TRIM(D119)="","（分項工程層）",IF(TRIM(D119)="全部",_xlfn.TEXTJOIN("、",TRUE,單元!$A$2:$A$500),SUBSTITUTE(SUBSTITUTE(SUBSTITUTE(TRIM(D119),"，","、"),",","、")," ",""))))</f>
        <v/>
      </c>
      <c r="J119" s="2">
        <f>IF(A119="","",IF(TRIM(H119)="","施工前、施工中、施工後",SUBSTITUTE(SUBSTITUTE(SUBSTITUTE(TRIM(H119),"，","、"),",","、")," ","")))</f>
        <v/>
      </c>
      <c r="K119" s="2">
        <f>IF(A119="","",SUMPRODUCT((檢查項目!$A$2:$A$500=A119)*(檢查項目!$B$2:$B$500="")))</f>
        <v/>
      </c>
      <c r="L119" s="2">
        <f>IF(A119="","",SUMPRODUCT((檢查項目!$A$2:$A$500=A119)*(檢查項目!$B$2:$B$500&lt;&gt;""))+SUMPRODUCT((數值欄位!$A$2:$A$500=A119)*(數值欄位!$B$2:$B$500&lt;&gt;"")))</f>
        <v/>
      </c>
      <c r="M119" s="2">
        <f>IF(A119="","",IF(TRIM(IF(COUNTIF($A$2:$A$500,A119)&gt;1,"⚠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",""))="","✓",TRIM(IF(COUNTIF($A$2:$A$500,A119)&gt;1,"⚠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",""))))</f>
        <v/>
      </c>
    </row>
    <row r="120">
      <c r="I120" s="2">
        <f>IF(A120="","",IF(TRIM(D120)="","（分項工程層）",IF(TRIM(D120)="全部",_xlfn.TEXTJOIN("、",TRUE,單元!$A$2:$A$500),SUBSTITUTE(SUBSTITUTE(SUBSTITUTE(TRIM(D120),"，","、"),",","、")," ",""))))</f>
        <v/>
      </c>
      <c r="J120" s="2">
        <f>IF(A120="","",IF(TRIM(H120)="","施工前、施工中、施工後",SUBSTITUTE(SUBSTITUTE(SUBSTITUTE(TRIM(H120),"，","、"),",","、")," ","")))</f>
        <v/>
      </c>
      <c r="K120" s="2">
        <f>IF(A120="","",SUMPRODUCT((檢查項目!$A$2:$A$500=A120)*(檢查項目!$B$2:$B$500="")))</f>
        <v/>
      </c>
      <c r="L120" s="2">
        <f>IF(A120="","",SUMPRODUCT((檢查項目!$A$2:$A$500=A120)*(檢查項目!$B$2:$B$500&lt;&gt;""))+SUMPRODUCT((數值欄位!$A$2:$A$500=A120)*(數值欄位!$B$2:$B$500&lt;&gt;"")))</f>
        <v/>
      </c>
      <c r="M120" s="2">
        <f>IF(A120="","",IF(TRIM(IF(COUNTIF($A$2:$A$500,A120)&gt;1,"⚠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",""))="","✓",TRIM(IF(COUNTIF($A$2:$A$500,A120)&gt;1,"⚠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",""))))</f>
        <v/>
      </c>
    </row>
    <row r="121">
      <c r="I121" s="2">
        <f>IF(A121="","",IF(TRIM(D121)="","（分項工程層）",IF(TRIM(D121)="全部",_xlfn.TEXTJOIN("、",TRUE,單元!$A$2:$A$500),SUBSTITUTE(SUBSTITUTE(SUBSTITUTE(TRIM(D121),"，","、"),",","、")," ",""))))</f>
        <v/>
      </c>
      <c r="J121" s="2">
        <f>IF(A121="","",IF(TRIM(H121)="","施工前、施工中、施工後",SUBSTITUTE(SUBSTITUTE(SUBSTITUTE(TRIM(H121),"，","、"),",","、")," ","")))</f>
        <v/>
      </c>
      <c r="K121" s="2">
        <f>IF(A121="","",SUMPRODUCT((檢查項目!$A$2:$A$500=A121)*(檢查項目!$B$2:$B$500="")))</f>
        <v/>
      </c>
      <c r="L121" s="2">
        <f>IF(A121="","",SUMPRODUCT((檢查項目!$A$2:$A$500=A121)*(檢查項目!$B$2:$B$500&lt;&gt;""))+SUMPRODUCT((數值欄位!$A$2:$A$500=A121)*(數值欄位!$B$2:$B$500&lt;&gt;"")))</f>
        <v/>
      </c>
      <c r="M121" s="2">
        <f>IF(A121="","",IF(TRIM(IF(COUNTIF($A$2:$A$500,A121)&gt;1,"⚠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",""))="","✓",TRIM(IF(COUNTIF($A$2:$A$500,A121)&gt;1,"⚠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",""))))</f>
        <v/>
      </c>
    </row>
    <row r="122">
      <c r="I122" s="2">
        <f>IF(A122="","",IF(TRIM(D122)="","（分項工程層）",IF(TRIM(D122)="全部",_xlfn.TEXTJOIN("、",TRUE,單元!$A$2:$A$500),SUBSTITUTE(SUBSTITUTE(SUBSTITUTE(TRIM(D122),"，","、"),",","、")," ",""))))</f>
        <v/>
      </c>
      <c r="J122" s="2">
        <f>IF(A122="","",IF(TRIM(H122)="","施工前、施工中、施工後",SUBSTITUTE(SUBSTITUTE(SUBSTITUTE(TRIM(H122),"，","、"),",","、")," ","")))</f>
        <v/>
      </c>
      <c r="K122" s="2">
        <f>IF(A122="","",SUMPRODUCT((檢查項目!$A$2:$A$500=A122)*(檢查項目!$B$2:$B$500="")))</f>
        <v/>
      </c>
      <c r="L122" s="2">
        <f>IF(A122="","",SUMPRODUCT((檢查項目!$A$2:$A$500=A122)*(檢查項目!$B$2:$B$500&lt;&gt;""))+SUMPRODUCT((數值欄位!$A$2:$A$500=A122)*(數值欄位!$B$2:$B$500&lt;&gt;"")))</f>
        <v/>
      </c>
      <c r="M122" s="2">
        <f>IF(A122="","",IF(TRIM(IF(COUNTIF($A$2:$A$500,A122)&gt;1,"⚠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",""))="","✓",TRIM(IF(COUNTIF($A$2:$A$500,A122)&gt;1,"⚠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",""))))</f>
        <v/>
      </c>
    </row>
    <row r="123">
      <c r="I123" s="2">
        <f>IF(A123="","",IF(TRIM(D123)="","（分項工程層）",IF(TRIM(D123)="全部",_xlfn.TEXTJOIN("、",TRUE,單元!$A$2:$A$500),SUBSTITUTE(SUBSTITUTE(SUBSTITUTE(TRIM(D123),"，","、"),",","、")," ",""))))</f>
        <v/>
      </c>
      <c r="J123" s="2">
        <f>IF(A123="","",IF(TRIM(H123)="","施工前、施工中、施工後",SUBSTITUTE(SUBSTITUTE(SUBSTITUTE(TRIM(H123),"，","、"),",","、")," ","")))</f>
        <v/>
      </c>
      <c r="K123" s="2">
        <f>IF(A123="","",SUMPRODUCT((檢查項目!$A$2:$A$500=A123)*(檢查項目!$B$2:$B$500="")))</f>
        <v/>
      </c>
      <c r="L123" s="2">
        <f>IF(A123="","",SUMPRODUCT((檢查項目!$A$2:$A$500=A123)*(檢查項目!$B$2:$B$500&lt;&gt;""))+SUMPRODUCT((數值欄位!$A$2:$A$500=A123)*(數值欄位!$B$2:$B$500&lt;&gt;"")))</f>
        <v/>
      </c>
      <c r="M123" s="2">
        <f>IF(A123="","",IF(TRIM(IF(COUNTIF($A$2:$A$500,A123)&gt;1,"⚠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",""))="","✓",TRIM(IF(COUNTIF($A$2:$A$500,A123)&gt;1,"⚠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",""))))</f>
        <v/>
      </c>
    </row>
    <row r="124">
      <c r="I124" s="2">
        <f>IF(A124="","",IF(TRIM(D124)="","（分項工程層）",IF(TRIM(D124)="全部",_xlfn.TEXTJOIN("、",TRUE,單元!$A$2:$A$500),SUBSTITUTE(SUBSTITUTE(SUBSTITUTE(TRIM(D124),"，","、"),",","、")," ",""))))</f>
        <v/>
      </c>
      <c r="J124" s="2">
        <f>IF(A124="","",IF(TRIM(H124)="","施工前、施工中、施工後",SUBSTITUTE(SUBSTITUTE(SUBSTITUTE(TRIM(H124),"，","、"),",","、")," ","")))</f>
        <v/>
      </c>
      <c r="K124" s="2">
        <f>IF(A124="","",SUMPRODUCT((檢查項目!$A$2:$A$500=A124)*(檢查項目!$B$2:$B$500="")))</f>
        <v/>
      </c>
      <c r="L124" s="2">
        <f>IF(A124="","",SUMPRODUCT((檢查項目!$A$2:$A$500=A124)*(檢查項目!$B$2:$B$500&lt;&gt;""))+SUMPRODUCT((數值欄位!$A$2:$A$500=A124)*(數值欄位!$B$2:$B$500&lt;&gt;"")))</f>
        <v/>
      </c>
      <c r="M124" s="2">
        <f>IF(A124="","",IF(TRIM(IF(COUNTIF($A$2:$A$500,A124)&gt;1,"⚠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",""))="","✓",TRIM(IF(COUNTIF($A$2:$A$500,A124)&gt;1,"⚠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",""))))</f>
        <v/>
      </c>
    </row>
    <row r="125">
      <c r="I125" s="2">
        <f>IF(A125="","",IF(TRIM(D125)="","（分項工程層）",IF(TRIM(D125)="全部",_xlfn.TEXTJOIN("、",TRUE,單元!$A$2:$A$500),SUBSTITUTE(SUBSTITUTE(SUBSTITUTE(TRIM(D125),"，","、"),",","、")," ",""))))</f>
        <v/>
      </c>
      <c r="J125" s="2">
        <f>IF(A125="","",IF(TRIM(H125)="","施工前、施工中、施工後",SUBSTITUTE(SUBSTITUTE(SUBSTITUTE(TRIM(H125),"，","、"),",","、")," ","")))</f>
        <v/>
      </c>
      <c r="K125" s="2">
        <f>IF(A125="","",SUMPRODUCT((檢查項目!$A$2:$A$500=A125)*(檢查項目!$B$2:$B$500="")))</f>
        <v/>
      </c>
      <c r="L125" s="2">
        <f>IF(A125="","",SUMPRODUCT((檢查項目!$A$2:$A$500=A125)*(檢查項目!$B$2:$B$500&lt;&gt;""))+SUMPRODUCT((數值欄位!$A$2:$A$500=A125)*(數值欄位!$B$2:$B$500&lt;&gt;"")))</f>
        <v/>
      </c>
      <c r="M125" s="2">
        <f>IF(A125="","",IF(TRIM(IF(COUNTIF($A$2:$A$500,A125)&gt;1,"⚠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",""))="","✓",TRIM(IF(COUNTIF($A$2:$A$500,A125)&gt;1,"⚠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",""))))</f>
        <v/>
      </c>
    </row>
    <row r="126">
      <c r="I126" s="2">
        <f>IF(A126="","",IF(TRIM(D126)="","（分項工程層）",IF(TRIM(D126)="全部",_xlfn.TEXTJOIN("、",TRUE,單元!$A$2:$A$500),SUBSTITUTE(SUBSTITUTE(SUBSTITUTE(TRIM(D126),"，","、"),",","、")," ",""))))</f>
        <v/>
      </c>
      <c r="J126" s="2">
        <f>IF(A126="","",IF(TRIM(H126)="","施工前、施工中、施工後",SUBSTITUTE(SUBSTITUTE(SUBSTITUTE(TRIM(H126),"，","、"),",","、")," ","")))</f>
        <v/>
      </c>
      <c r="K126" s="2">
        <f>IF(A126="","",SUMPRODUCT((檢查項目!$A$2:$A$500=A126)*(檢查項目!$B$2:$B$500="")))</f>
        <v/>
      </c>
      <c r="L126" s="2">
        <f>IF(A126="","",SUMPRODUCT((檢查項目!$A$2:$A$500=A126)*(檢查項目!$B$2:$B$500&lt;&gt;""))+SUMPRODUCT((數值欄位!$A$2:$A$500=A126)*(數值欄位!$B$2:$B$500&lt;&gt;"")))</f>
        <v/>
      </c>
      <c r="M126" s="2">
        <f>IF(A126="","",IF(TRIM(IF(COUNTIF($A$2:$A$500,A126)&gt;1,"⚠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",""))="","✓",TRIM(IF(COUNTIF($A$2:$A$500,A126)&gt;1,"⚠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",""))))</f>
        <v/>
      </c>
    </row>
    <row r="127">
      <c r="I127" s="2">
        <f>IF(A127="","",IF(TRIM(D127)="","（分項工程層）",IF(TRIM(D127)="全部",_xlfn.TEXTJOIN("、",TRUE,單元!$A$2:$A$500),SUBSTITUTE(SUBSTITUTE(SUBSTITUTE(TRIM(D127),"，","、"),",","、")," ",""))))</f>
        <v/>
      </c>
      <c r="J127" s="2">
        <f>IF(A127="","",IF(TRIM(H127)="","施工前、施工中、施工後",SUBSTITUTE(SUBSTITUTE(SUBSTITUTE(TRIM(H127),"，","、"),",","、")," ","")))</f>
        <v/>
      </c>
      <c r="K127" s="2">
        <f>IF(A127="","",SUMPRODUCT((檢查項目!$A$2:$A$500=A127)*(檢查項目!$B$2:$B$500="")))</f>
        <v/>
      </c>
      <c r="L127" s="2">
        <f>IF(A127="","",SUMPRODUCT((檢查項目!$A$2:$A$500=A127)*(檢查項目!$B$2:$B$500&lt;&gt;""))+SUMPRODUCT((數值欄位!$A$2:$A$500=A127)*(數值欄位!$B$2:$B$500&lt;&gt;"")))</f>
        <v/>
      </c>
      <c r="M127" s="2">
        <f>IF(A127="","",IF(TRIM(IF(COUNTIF($A$2:$A$500,A127)&gt;1,"⚠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",""))="","✓",TRIM(IF(COUNTIF($A$2:$A$500,A127)&gt;1,"⚠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",""))))</f>
        <v/>
      </c>
    </row>
    <row r="128">
      <c r="I128" s="2">
        <f>IF(A128="","",IF(TRIM(D128)="","（分項工程層）",IF(TRIM(D128)="全部",_xlfn.TEXTJOIN("、",TRUE,單元!$A$2:$A$500),SUBSTITUTE(SUBSTITUTE(SUBSTITUTE(TRIM(D128),"，","、"),",","、")," ",""))))</f>
        <v/>
      </c>
      <c r="J128" s="2">
        <f>IF(A128="","",IF(TRIM(H128)="","施工前、施工中、施工後",SUBSTITUTE(SUBSTITUTE(SUBSTITUTE(TRIM(H128),"，","、"),",","、")," ","")))</f>
        <v/>
      </c>
      <c r="K128" s="2">
        <f>IF(A128="","",SUMPRODUCT((檢查項目!$A$2:$A$500=A128)*(檢查項目!$B$2:$B$500="")))</f>
        <v/>
      </c>
      <c r="L128" s="2">
        <f>IF(A128="","",SUMPRODUCT((檢查項目!$A$2:$A$500=A128)*(檢查項目!$B$2:$B$500&lt;&gt;""))+SUMPRODUCT((數值欄位!$A$2:$A$500=A128)*(數值欄位!$B$2:$B$500&lt;&gt;"")))</f>
        <v/>
      </c>
      <c r="M128" s="2">
        <f>IF(A128="","",IF(TRIM(IF(COUNTIF($A$2:$A$500,A128)&gt;1,"⚠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",""))="","✓",TRIM(IF(COUNTIF($A$2:$A$500,A128)&gt;1,"⚠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",""))))</f>
        <v/>
      </c>
    </row>
    <row r="129">
      <c r="I129" s="2">
        <f>IF(A129="","",IF(TRIM(D129)="","（分項工程層）",IF(TRIM(D129)="全部",_xlfn.TEXTJOIN("、",TRUE,單元!$A$2:$A$500),SUBSTITUTE(SUBSTITUTE(SUBSTITUTE(TRIM(D129),"，","、"),",","、")," ",""))))</f>
        <v/>
      </c>
      <c r="J129" s="2">
        <f>IF(A129="","",IF(TRIM(H129)="","施工前、施工中、施工後",SUBSTITUTE(SUBSTITUTE(SUBSTITUTE(TRIM(H129),"，","、"),",","、")," ","")))</f>
        <v/>
      </c>
      <c r="K129" s="2">
        <f>IF(A129="","",SUMPRODUCT((檢查項目!$A$2:$A$500=A129)*(檢查項目!$B$2:$B$500="")))</f>
        <v/>
      </c>
      <c r="L129" s="2">
        <f>IF(A129="","",SUMPRODUCT((檢查項目!$A$2:$A$500=A129)*(檢查項目!$B$2:$B$500&lt;&gt;""))+SUMPRODUCT((數值欄位!$A$2:$A$500=A129)*(數值欄位!$B$2:$B$500&lt;&gt;"")))</f>
        <v/>
      </c>
      <c r="M129" s="2">
        <f>IF(A129="","",IF(TRIM(IF(COUNTIF($A$2:$A$500,A129)&gt;1,"⚠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",""))="","✓",TRIM(IF(COUNTIF($A$2:$A$500,A129)&gt;1,"⚠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",""))))</f>
        <v/>
      </c>
    </row>
    <row r="130">
      <c r="I130" s="2">
        <f>IF(A130="","",IF(TRIM(D130)="","（分項工程層）",IF(TRIM(D130)="全部",_xlfn.TEXTJOIN("、",TRUE,單元!$A$2:$A$500),SUBSTITUTE(SUBSTITUTE(SUBSTITUTE(TRIM(D130),"，","、"),",","、")," ",""))))</f>
        <v/>
      </c>
      <c r="J130" s="2">
        <f>IF(A130="","",IF(TRIM(H130)="","施工前、施工中、施工後",SUBSTITUTE(SUBSTITUTE(SUBSTITUTE(TRIM(H130),"，","、"),",","、")," ","")))</f>
        <v/>
      </c>
      <c r="K130" s="2">
        <f>IF(A130="","",SUMPRODUCT((檢查項目!$A$2:$A$500=A130)*(檢查項目!$B$2:$B$500="")))</f>
        <v/>
      </c>
      <c r="L130" s="2">
        <f>IF(A130="","",SUMPRODUCT((檢查項目!$A$2:$A$500=A130)*(檢查項目!$B$2:$B$500&lt;&gt;""))+SUMPRODUCT((數值欄位!$A$2:$A$500=A130)*(數值欄位!$B$2:$B$500&lt;&gt;"")))</f>
        <v/>
      </c>
      <c r="M130" s="2">
        <f>IF(A130="","",IF(TRIM(IF(COUNTIF($A$2:$A$500,A130)&gt;1,"⚠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",""))="","✓",TRIM(IF(COUNTIF($A$2:$A$500,A130)&gt;1,"⚠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",""))))</f>
        <v/>
      </c>
    </row>
    <row r="131">
      <c r="I131" s="2">
        <f>IF(A131="","",IF(TRIM(D131)="","（分項工程層）",IF(TRIM(D131)="全部",_xlfn.TEXTJOIN("、",TRUE,單元!$A$2:$A$500),SUBSTITUTE(SUBSTITUTE(SUBSTITUTE(TRIM(D131),"，","、"),",","、")," ",""))))</f>
        <v/>
      </c>
      <c r="J131" s="2">
        <f>IF(A131="","",IF(TRIM(H131)="","施工前、施工中、施工後",SUBSTITUTE(SUBSTITUTE(SUBSTITUTE(TRIM(H131),"，","、"),",","、")," ","")))</f>
        <v/>
      </c>
      <c r="K131" s="2">
        <f>IF(A131="","",SUMPRODUCT((檢查項目!$A$2:$A$500=A131)*(檢查項目!$B$2:$B$500="")))</f>
        <v/>
      </c>
      <c r="L131" s="2">
        <f>IF(A131="","",SUMPRODUCT((檢查項目!$A$2:$A$500=A131)*(檢查項目!$B$2:$B$500&lt;&gt;""))+SUMPRODUCT((數值欄位!$A$2:$A$500=A131)*(數值欄位!$B$2:$B$500&lt;&gt;"")))</f>
        <v/>
      </c>
      <c r="M131" s="2">
        <f>IF(A131="","",IF(TRIM(IF(COUNTIF($A$2:$A$500,A131)&gt;1,"⚠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",""))="","✓",TRIM(IF(COUNTIF($A$2:$A$500,A131)&gt;1,"⚠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",""))))</f>
        <v/>
      </c>
    </row>
    <row r="132">
      <c r="I132" s="2">
        <f>IF(A132="","",IF(TRIM(D132)="","（分項工程層）",IF(TRIM(D132)="全部",_xlfn.TEXTJOIN("、",TRUE,單元!$A$2:$A$500),SUBSTITUTE(SUBSTITUTE(SUBSTITUTE(TRIM(D132),"，","、"),",","、")," ",""))))</f>
        <v/>
      </c>
      <c r="J132" s="2">
        <f>IF(A132="","",IF(TRIM(H132)="","施工前、施工中、施工後",SUBSTITUTE(SUBSTITUTE(SUBSTITUTE(TRIM(H132),"，","、"),",","、")," ","")))</f>
        <v/>
      </c>
      <c r="K132" s="2">
        <f>IF(A132="","",SUMPRODUCT((檢查項目!$A$2:$A$500=A132)*(檢查項目!$B$2:$B$500="")))</f>
        <v/>
      </c>
      <c r="L132" s="2">
        <f>IF(A132="","",SUMPRODUCT((檢查項目!$A$2:$A$500=A132)*(檢查項目!$B$2:$B$500&lt;&gt;""))+SUMPRODUCT((數值欄位!$A$2:$A$500=A132)*(數值欄位!$B$2:$B$500&lt;&gt;"")))</f>
        <v/>
      </c>
      <c r="M132" s="2">
        <f>IF(A132="","",IF(TRIM(IF(COUNTIF($A$2:$A$500,A132)&gt;1,"⚠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",""))="","✓",TRIM(IF(COUNTIF($A$2:$A$500,A132)&gt;1,"⚠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",""))))</f>
        <v/>
      </c>
    </row>
    <row r="133">
      <c r="I133" s="2">
        <f>IF(A133="","",IF(TRIM(D133)="","（分項工程層）",IF(TRIM(D133)="全部",_xlfn.TEXTJOIN("、",TRUE,單元!$A$2:$A$500),SUBSTITUTE(SUBSTITUTE(SUBSTITUTE(TRIM(D133),"，","、"),",","、")," ",""))))</f>
        <v/>
      </c>
      <c r="J133" s="2">
        <f>IF(A133="","",IF(TRIM(H133)="","施工前、施工中、施工後",SUBSTITUTE(SUBSTITUTE(SUBSTITUTE(TRIM(H133),"，","、"),",","、")," ","")))</f>
        <v/>
      </c>
      <c r="K133" s="2">
        <f>IF(A133="","",SUMPRODUCT((檢查項目!$A$2:$A$500=A133)*(檢查項目!$B$2:$B$500="")))</f>
        <v/>
      </c>
      <c r="L133" s="2">
        <f>IF(A133="","",SUMPRODUCT((檢查項目!$A$2:$A$500=A133)*(檢查項目!$B$2:$B$500&lt;&gt;""))+SUMPRODUCT((數值欄位!$A$2:$A$500=A133)*(數值欄位!$B$2:$B$500&lt;&gt;"")))</f>
        <v/>
      </c>
      <c r="M133" s="2">
        <f>IF(A133="","",IF(TRIM(IF(COUNTIF($A$2:$A$500,A133)&gt;1,"⚠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",""))="","✓",TRIM(IF(COUNTIF($A$2:$A$500,A133)&gt;1,"⚠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",""))))</f>
        <v/>
      </c>
    </row>
    <row r="134">
      <c r="I134" s="2">
        <f>IF(A134="","",IF(TRIM(D134)="","（分項工程層）",IF(TRIM(D134)="全部",_xlfn.TEXTJOIN("、",TRUE,單元!$A$2:$A$500),SUBSTITUTE(SUBSTITUTE(SUBSTITUTE(TRIM(D134),"，","、"),",","、")," ",""))))</f>
        <v/>
      </c>
      <c r="J134" s="2">
        <f>IF(A134="","",IF(TRIM(H134)="","施工前、施工中、施工後",SUBSTITUTE(SUBSTITUTE(SUBSTITUTE(TRIM(H134),"，","、"),",","、")," ","")))</f>
        <v/>
      </c>
      <c r="K134" s="2">
        <f>IF(A134="","",SUMPRODUCT((檢查項目!$A$2:$A$500=A134)*(檢查項目!$B$2:$B$500="")))</f>
        <v/>
      </c>
      <c r="L134" s="2">
        <f>IF(A134="","",SUMPRODUCT((檢查項目!$A$2:$A$500=A134)*(檢查項目!$B$2:$B$500&lt;&gt;""))+SUMPRODUCT((數值欄位!$A$2:$A$500=A134)*(數值欄位!$B$2:$B$500&lt;&gt;"")))</f>
        <v/>
      </c>
      <c r="M134" s="2">
        <f>IF(A134="","",IF(TRIM(IF(COUNTIF($A$2:$A$500,A134)&gt;1,"⚠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",""))="","✓",TRIM(IF(COUNTIF($A$2:$A$500,A134)&gt;1,"⚠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",""))))</f>
        <v/>
      </c>
    </row>
    <row r="135">
      <c r="I135" s="2">
        <f>IF(A135="","",IF(TRIM(D135)="","（分項工程層）",IF(TRIM(D135)="全部",_xlfn.TEXTJOIN("、",TRUE,單元!$A$2:$A$500),SUBSTITUTE(SUBSTITUTE(SUBSTITUTE(TRIM(D135),"，","、"),",","、")," ",""))))</f>
        <v/>
      </c>
      <c r="J135" s="2">
        <f>IF(A135="","",IF(TRIM(H135)="","施工前、施工中、施工後",SUBSTITUTE(SUBSTITUTE(SUBSTITUTE(TRIM(H135),"，","、"),",","、")," ","")))</f>
        <v/>
      </c>
      <c r="K135" s="2">
        <f>IF(A135="","",SUMPRODUCT((檢查項目!$A$2:$A$500=A135)*(檢查項目!$B$2:$B$500="")))</f>
        <v/>
      </c>
      <c r="L135" s="2">
        <f>IF(A135="","",SUMPRODUCT((檢查項目!$A$2:$A$500=A135)*(檢查項目!$B$2:$B$500&lt;&gt;""))+SUMPRODUCT((數值欄位!$A$2:$A$500=A135)*(數值欄位!$B$2:$B$500&lt;&gt;"")))</f>
        <v/>
      </c>
      <c r="M135" s="2">
        <f>IF(A135="","",IF(TRIM(IF(COUNTIF($A$2:$A$500,A135)&gt;1,"⚠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",""))="","✓",TRIM(IF(COUNTIF($A$2:$A$500,A135)&gt;1,"⚠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",""))))</f>
        <v/>
      </c>
    </row>
    <row r="136">
      <c r="I136" s="2">
        <f>IF(A136="","",IF(TRIM(D136)="","（分項工程層）",IF(TRIM(D136)="全部",_xlfn.TEXTJOIN("、",TRUE,單元!$A$2:$A$500),SUBSTITUTE(SUBSTITUTE(SUBSTITUTE(TRIM(D136),"，","、"),",","、")," ",""))))</f>
        <v/>
      </c>
      <c r="J136" s="2">
        <f>IF(A136="","",IF(TRIM(H136)="","施工前、施工中、施工後",SUBSTITUTE(SUBSTITUTE(SUBSTITUTE(TRIM(H136),"，","、"),",","、")," ","")))</f>
        <v/>
      </c>
      <c r="K136" s="2">
        <f>IF(A136="","",SUMPRODUCT((檢查項目!$A$2:$A$500=A136)*(檢查項目!$B$2:$B$500="")))</f>
        <v/>
      </c>
      <c r="L136" s="2">
        <f>IF(A136="","",SUMPRODUCT((檢查項目!$A$2:$A$500=A136)*(檢查項目!$B$2:$B$500&lt;&gt;""))+SUMPRODUCT((數值欄位!$A$2:$A$500=A136)*(數值欄位!$B$2:$B$500&lt;&gt;"")))</f>
        <v/>
      </c>
      <c r="M136" s="2">
        <f>IF(A136="","",IF(TRIM(IF(COUNTIF($A$2:$A$500,A136)&gt;1,"⚠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",""))="","✓",TRIM(IF(COUNTIF($A$2:$A$500,A136)&gt;1,"⚠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",""))))</f>
        <v/>
      </c>
    </row>
    <row r="137">
      <c r="I137" s="2">
        <f>IF(A137="","",IF(TRIM(D137)="","（分項工程層）",IF(TRIM(D137)="全部",_xlfn.TEXTJOIN("、",TRUE,單元!$A$2:$A$500),SUBSTITUTE(SUBSTITUTE(SUBSTITUTE(TRIM(D137),"，","、"),",","、")," ",""))))</f>
        <v/>
      </c>
      <c r="J137" s="2">
        <f>IF(A137="","",IF(TRIM(H137)="","施工前、施工中、施工後",SUBSTITUTE(SUBSTITUTE(SUBSTITUTE(TRIM(H137),"，","、"),",","、")," ","")))</f>
        <v/>
      </c>
      <c r="K137" s="2">
        <f>IF(A137="","",SUMPRODUCT((檢查項目!$A$2:$A$500=A137)*(檢查項目!$B$2:$B$500="")))</f>
        <v/>
      </c>
      <c r="L137" s="2">
        <f>IF(A137="","",SUMPRODUCT((檢查項目!$A$2:$A$500=A137)*(檢查項目!$B$2:$B$500&lt;&gt;""))+SUMPRODUCT((數值欄位!$A$2:$A$500=A137)*(數值欄位!$B$2:$B$500&lt;&gt;"")))</f>
        <v/>
      </c>
      <c r="M137" s="2">
        <f>IF(A137="","",IF(TRIM(IF(COUNTIF($A$2:$A$500,A137)&gt;1,"⚠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",""))="","✓",TRIM(IF(COUNTIF($A$2:$A$500,A137)&gt;1,"⚠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",""))))</f>
        <v/>
      </c>
    </row>
    <row r="138">
      <c r="I138" s="2">
        <f>IF(A138="","",IF(TRIM(D138)="","（分項工程層）",IF(TRIM(D138)="全部",_xlfn.TEXTJOIN("、",TRUE,單元!$A$2:$A$500),SUBSTITUTE(SUBSTITUTE(SUBSTITUTE(TRIM(D138),"，","、"),",","、")," ",""))))</f>
        <v/>
      </c>
      <c r="J138" s="2">
        <f>IF(A138="","",IF(TRIM(H138)="","施工前、施工中、施工後",SUBSTITUTE(SUBSTITUTE(SUBSTITUTE(TRIM(H138),"，","、"),",","、")," ","")))</f>
        <v/>
      </c>
      <c r="K138" s="2">
        <f>IF(A138="","",SUMPRODUCT((檢查項目!$A$2:$A$500=A138)*(檢查項目!$B$2:$B$500="")))</f>
        <v/>
      </c>
      <c r="L138" s="2">
        <f>IF(A138="","",SUMPRODUCT((檢查項目!$A$2:$A$500=A138)*(檢查項目!$B$2:$B$500&lt;&gt;""))+SUMPRODUCT((數值欄位!$A$2:$A$500=A138)*(數值欄位!$B$2:$B$500&lt;&gt;"")))</f>
        <v/>
      </c>
      <c r="M138" s="2">
        <f>IF(A138="","",IF(TRIM(IF(COUNTIF($A$2:$A$500,A138)&gt;1,"⚠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",""))="","✓",TRIM(IF(COUNTIF($A$2:$A$500,A138)&gt;1,"⚠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",""))))</f>
        <v/>
      </c>
    </row>
    <row r="139">
      <c r="I139" s="2">
        <f>IF(A139="","",IF(TRIM(D139)="","（分項工程層）",IF(TRIM(D139)="全部",_xlfn.TEXTJOIN("、",TRUE,單元!$A$2:$A$500),SUBSTITUTE(SUBSTITUTE(SUBSTITUTE(TRIM(D139),"，","、"),",","、")," ",""))))</f>
        <v/>
      </c>
      <c r="J139" s="2">
        <f>IF(A139="","",IF(TRIM(H139)="","施工前、施工中、施工後",SUBSTITUTE(SUBSTITUTE(SUBSTITUTE(TRIM(H139),"，","、"),",","、")," ","")))</f>
        <v/>
      </c>
      <c r="K139" s="2">
        <f>IF(A139="","",SUMPRODUCT((檢查項目!$A$2:$A$500=A139)*(檢查項目!$B$2:$B$500="")))</f>
        <v/>
      </c>
      <c r="L139" s="2">
        <f>IF(A139="","",SUMPRODUCT((檢查項目!$A$2:$A$500=A139)*(檢查項目!$B$2:$B$500&lt;&gt;""))+SUMPRODUCT((數值欄位!$A$2:$A$500=A139)*(數值欄位!$B$2:$B$500&lt;&gt;"")))</f>
        <v/>
      </c>
      <c r="M139" s="2">
        <f>IF(A139="","",IF(TRIM(IF(COUNTIF($A$2:$A$500,A139)&gt;1,"⚠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",""))="","✓",TRIM(IF(COUNTIF($A$2:$A$500,A139)&gt;1,"⚠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",""))))</f>
        <v/>
      </c>
    </row>
    <row r="140">
      <c r="I140" s="2">
        <f>IF(A140="","",IF(TRIM(D140)="","（分項工程層）",IF(TRIM(D140)="全部",_xlfn.TEXTJOIN("、",TRUE,單元!$A$2:$A$500),SUBSTITUTE(SUBSTITUTE(SUBSTITUTE(TRIM(D140),"，","、"),",","、")," ",""))))</f>
        <v/>
      </c>
      <c r="J140" s="2">
        <f>IF(A140="","",IF(TRIM(H140)="","施工前、施工中、施工後",SUBSTITUTE(SUBSTITUTE(SUBSTITUTE(TRIM(H140),"，","、"),",","、")," ","")))</f>
        <v/>
      </c>
      <c r="K140" s="2">
        <f>IF(A140="","",SUMPRODUCT((檢查項目!$A$2:$A$500=A140)*(檢查項目!$B$2:$B$500="")))</f>
        <v/>
      </c>
      <c r="L140" s="2">
        <f>IF(A140="","",SUMPRODUCT((檢查項目!$A$2:$A$500=A140)*(檢查項目!$B$2:$B$500&lt;&gt;""))+SUMPRODUCT((數值欄位!$A$2:$A$500=A140)*(數值欄位!$B$2:$B$500&lt;&gt;"")))</f>
        <v/>
      </c>
      <c r="M140" s="2">
        <f>IF(A140="","",IF(TRIM(IF(COUNTIF($A$2:$A$500,A140)&gt;1,"⚠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",""))="","✓",TRIM(IF(COUNTIF($A$2:$A$500,A140)&gt;1,"⚠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",""))))</f>
        <v/>
      </c>
    </row>
    <row r="141">
      <c r="I141" s="2">
        <f>IF(A141="","",IF(TRIM(D141)="","（分項工程層）",IF(TRIM(D141)="全部",_xlfn.TEXTJOIN("、",TRUE,單元!$A$2:$A$500),SUBSTITUTE(SUBSTITUTE(SUBSTITUTE(TRIM(D141),"，","、"),",","、")," ",""))))</f>
        <v/>
      </c>
      <c r="J141" s="2">
        <f>IF(A141="","",IF(TRIM(H141)="","施工前、施工中、施工後",SUBSTITUTE(SUBSTITUTE(SUBSTITUTE(TRIM(H141),"，","、"),",","、")," ","")))</f>
        <v/>
      </c>
      <c r="K141" s="2">
        <f>IF(A141="","",SUMPRODUCT((檢查項目!$A$2:$A$500=A141)*(檢查項目!$B$2:$B$500="")))</f>
        <v/>
      </c>
      <c r="L141" s="2">
        <f>IF(A141="","",SUMPRODUCT((檢查項目!$A$2:$A$500=A141)*(檢查項目!$B$2:$B$500&lt;&gt;""))+SUMPRODUCT((數值欄位!$A$2:$A$500=A141)*(數值欄位!$B$2:$B$500&lt;&gt;"")))</f>
        <v/>
      </c>
      <c r="M141" s="2">
        <f>IF(A141="","",IF(TRIM(IF(COUNTIF($A$2:$A$500,A141)&gt;1,"⚠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",""))="","✓",TRIM(IF(COUNTIF($A$2:$A$500,A141)&gt;1,"⚠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",""))))</f>
        <v/>
      </c>
    </row>
    <row r="142">
      <c r="I142" s="2">
        <f>IF(A142="","",IF(TRIM(D142)="","（分項工程層）",IF(TRIM(D142)="全部",_xlfn.TEXTJOIN("、",TRUE,單元!$A$2:$A$500),SUBSTITUTE(SUBSTITUTE(SUBSTITUTE(TRIM(D142),"，","、"),",","、")," ",""))))</f>
        <v/>
      </c>
      <c r="J142" s="2">
        <f>IF(A142="","",IF(TRIM(H142)="","施工前、施工中、施工後",SUBSTITUTE(SUBSTITUTE(SUBSTITUTE(TRIM(H142),"，","、"),",","、")," ","")))</f>
        <v/>
      </c>
      <c r="K142" s="2">
        <f>IF(A142="","",SUMPRODUCT((檢查項目!$A$2:$A$500=A142)*(檢查項目!$B$2:$B$500="")))</f>
        <v/>
      </c>
      <c r="L142" s="2">
        <f>IF(A142="","",SUMPRODUCT((檢查項目!$A$2:$A$500=A142)*(檢查項目!$B$2:$B$500&lt;&gt;""))+SUMPRODUCT((數值欄位!$A$2:$A$500=A142)*(數值欄位!$B$2:$B$500&lt;&gt;"")))</f>
        <v/>
      </c>
      <c r="M142" s="2">
        <f>IF(A142="","",IF(TRIM(IF(COUNTIF($A$2:$A$500,A142)&gt;1,"⚠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",""))="","✓",TRIM(IF(COUNTIF($A$2:$A$500,A142)&gt;1,"⚠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",""))))</f>
        <v/>
      </c>
    </row>
    <row r="143">
      <c r="I143" s="2">
        <f>IF(A143="","",IF(TRIM(D143)="","（分項工程層）",IF(TRIM(D143)="全部",_xlfn.TEXTJOIN("、",TRUE,單元!$A$2:$A$500),SUBSTITUTE(SUBSTITUTE(SUBSTITUTE(TRIM(D143),"，","、"),",","、")," ",""))))</f>
        <v/>
      </c>
      <c r="J143" s="2">
        <f>IF(A143="","",IF(TRIM(H143)="","施工前、施工中、施工後",SUBSTITUTE(SUBSTITUTE(SUBSTITUTE(TRIM(H143),"，","、"),",","、")," ","")))</f>
        <v/>
      </c>
      <c r="K143" s="2">
        <f>IF(A143="","",SUMPRODUCT((檢查項目!$A$2:$A$500=A143)*(檢查項目!$B$2:$B$500="")))</f>
        <v/>
      </c>
      <c r="L143" s="2">
        <f>IF(A143="","",SUMPRODUCT((檢查項目!$A$2:$A$500=A143)*(檢查項目!$B$2:$B$500&lt;&gt;""))+SUMPRODUCT((數值欄位!$A$2:$A$500=A143)*(數值欄位!$B$2:$B$500&lt;&gt;"")))</f>
        <v/>
      </c>
      <c r="M143" s="2">
        <f>IF(A143="","",IF(TRIM(IF(COUNTIF($A$2:$A$500,A143)&gt;1,"⚠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",""))="","✓",TRIM(IF(COUNTIF($A$2:$A$500,A143)&gt;1,"⚠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",""))))</f>
        <v/>
      </c>
    </row>
    <row r="144">
      <c r="I144" s="2">
        <f>IF(A144="","",IF(TRIM(D144)="","（分項工程層）",IF(TRIM(D144)="全部",_xlfn.TEXTJOIN("、",TRUE,單元!$A$2:$A$500),SUBSTITUTE(SUBSTITUTE(SUBSTITUTE(TRIM(D144),"，","、"),",","、")," ",""))))</f>
        <v/>
      </c>
      <c r="J144" s="2">
        <f>IF(A144="","",IF(TRIM(H144)="","施工前、施工中、施工後",SUBSTITUTE(SUBSTITUTE(SUBSTITUTE(TRIM(H144),"，","、"),",","、")," ","")))</f>
        <v/>
      </c>
      <c r="K144" s="2">
        <f>IF(A144="","",SUMPRODUCT((檢查項目!$A$2:$A$500=A144)*(檢查項目!$B$2:$B$500="")))</f>
        <v/>
      </c>
      <c r="L144" s="2">
        <f>IF(A144="","",SUMPRODUCT((檢查項目!$A$2:$A$500=A144)*(檢查項目!$B$2:$B$500&lt;&gt;""))+SUMPRODUCT((數值欄位!$A$2:$A$500=A144)*(數值欄位!$B$2:$B$500&lt;&gt;"")))</f>
        <v/>
      </c>
      <c r="M144" s="2">
        <f>IF(A144="","",IF(TRIM(IF(COUNTIF($A$2:$A$500,A144)&gt;1,"⚠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",""))="","✓",TRIM(IF(COUNTIF($A$2:$A$500,A144)&gt;1,"⚠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",""))))</f>
        <v/>
      </c>
    </row>
    <row r="145">
      <c r="I145" s="2">
        <f>IF(A145="","",IF(TRIM(D145)="","（分項工程層）",IF(TRIM(D145)="全部",_xlfn.TEXTJOIN("、",TRUE,單元!$A$2:$A$500),SUBSTITUTE(SUBSTITUTE(SUBSTITUTE(TRIM(D145),"，","、"),",","、")," ",""))))</f>
        <v/>
      </c>
      <c r="J145" s="2">
        <f>IF(A145="","",IF(TRIM(H145)="","施工前、施工中、施工後",SUBSTITUTE(SUBSTITUTE(SUBSTITUTE(TRIM(H145),"，","、"),",","、")," ","")))</f>
        <v/>
      </c>
      <c r="K145" s="2">
        <f>IF(A145="","",SUMPRODUCT((檢查項目!$A$2:$A$500=A145)*(檢查項目!$B$2:$B$500="")))</f>
        <v/>
      </c>
      <c r="L145" s="2">
        <f>IF(A145="","",SUMPRODUCT((檢查項目!$A$2:$A$500=A145)*(檢查項目!$B$2:$B$500&lt;&gt;""))+SUMPRODUCT((數值欄位!$A$2:$A$500=A145)*(數值欄位!$B$2:$B$500&lt;&gt;"")))</f>
        <v/>
      </c>
      <c r="M145" s="2">
        <f>IF(A145="","",IF(TRIM(IF(COUNTIF($A$2:$A$500,A145)&gt;1,"⚠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",""))="","✓",TRIM(IF(COUNTIF($A$2:$A$500,A145)&gt;1,"⚠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",""))))</f>
        <v/>
      </c>
    </row>
    <row r="146">
      <c r="I146" s="2">
        <f>IF(A146="","",IF(TRIM(D146)="","（分項工程層）",IF(TRIM(D146)="全部",_xlfn.TEXTJOIN("、",TRUE,單元!$A$2:$A$500),SUBSTITUTE(SUBSTITUTE(SUBSTITUTE(TRIM(D146),"，","、"),",","、")," ",""))))</f>
        <v/>
      </c>
      <c r="J146" s="2">
        <f>IF(A146="","",IF(TRIM(H146)="","施工前、施工中、施工後",SUBSTITUTE(SUBSTITUTE(SUBSTITUTE(TRIM(H146),"，","、"),",","、")," ","")))</f>
        <v/>
      </c>
      <c r="K146" s="2">
        <f>IF(A146="","",SUMPRODUCT((檢查項目!$A$2:$A$500=A146)*(檢查項目!$B$2:$B$500="")))</f>
        <v/>
      </c>
      <c r="L146" s="2">
        <f>IF(A146="","",SUMPRODUCT((檢查項目!$A$2:$A$500=A146)*(檢查項目!$B$2:$B$500&lt;&gt;""))+SUMPRODUCT((數值欄位!$A$2:$A$500=A146)*(數值欄位!$B$2:$B$500&lt;&gt;"")))</f>
        <v/>
      </c>
      <c r="M146" s="2">
        <f>IF(A146="","",IF(TRIM(IF(COUNTIF($A$2:$A$500,A146)&gt;1,"⚠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",""))="","✓",TRIM(IF(COUNTIF($A$2:$A$500,A146)&gt;1,"⚠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",""))))</f>
        <v/>
      </c>
    </row>
    <row r="147">
      <c r="I147" s="2">
        <f>IF(A147="","",IF(TRIM(D147)="","（分項工程層）",IF(TRIM(D147)="全部",_xlfn.TEXTJOIN("、",TRUE,單元!$A$2:$A$500),SUBSTITUTE(SUBSTITUTE(SUBSTITUTE(TRIM(D147),"，","、"),",","、")," ",""))))</f>
        <v/>
      </c>
      <c r="J147" s="2">
        <f>IF(A147="","",IF(TRIM(H147)="","施工前、施工中、施工後",SUBSTITUTE(SUBSTITUTE(SUBSTITUTE(TRIM(H147),"，","、"),",","、")," ","")))</f>
        <v/>
      </c>
      <c r="K147" s="2">
        <f>IF(A147="","",SUMPRODUCT((檢查項目!$A$2:$A$500=A147)*(檢查項目!$B$2:$B$500="")))</f>
        <v/>
      </c>
      <c r="L147" s="2">
        <f>IF(A147="","",SUMPRODUCT((檢查項目!$A$2:$A$500=A147)*(檢查項目!$B$2:$B$500&lt;&gt;""))+SUMPRODUCT((數值欄位!$A$2:$A$500=A147)*(數值欄位!$B$2:$B$500&lt;&gt;"")))</f>
        <v/>
      </c>
      <c r="M147" s="2">
        <f>IF(A147="","",IF(TRIM(IF(COUNTIF($A$2:$A$500,A147)&gt;1,"⚠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",""))="","✓",TRIM(IF(COUNTIF($A$2:$A$500,A147)&gt;1,"⚠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",""))))</f>
        <v/>
      </c>
    </row>
    <row r="148">
      <c r="I148" s="2">
        <f>IF(A148="","",IF(TRIM(D148)="","（分項工程層）",IF(TRIM(D148)="全部",_xlfn.TEXTJOIN("、",TRUE,單元!$A$2:$A$500),SUBSTITUTE(SUBSTITUTE(SUBSTITUTE(TRIM(D148),"，","、"),",","、")," ",""))))</f>
        <v/>
      </c>
      <c r="J148" s="2">
        <f>IF(A148="","",IF(TRIM(H148)="","施工前、施工中、施工後",SUBSTITUTE(SUBSTITUTE(SUBSTITUTE(TRIM(H148),"，","、"),",","、")," ","")))</f>
        <v/>
      </c>
      <c r="K148" s="2">
        <f>IF(A148="","",SUMPRODUCT((檢查項目!$A$2:$A$500=A148)*(檢查項目!$B$2:$B$500="")))</f>
        <v/>
      </c>
      <c r="L148" s="2">
        <f>IF(A148="","",SUMPRODUCT((檢查項目!$A$2:$A$500=A148)*(檢查項目!$B$2:$B$500&lt;&gt;""))+SUMPRODUCT((數值欄位!$A$2:$A$500=A148)*(數值欄位!$B$2:$B$500&lt;&gt;"")))</f>
        <v/>
      </c>
      <c r="M148" s="2">
        <f>IF(A148="","",IF(TRIM(IF(COUNTIF($A$2:$A$500,A148)&gt;1,"⚠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",""))="","✓",TRIM(IF(COUNTIF($A$2:$A$500,A148)&gt;1,"⚠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",""))))</f>
        <v/>
      </c>
    </row>
    <row r="149">
      <c r="I149" s="2">
        <f>IF(A149="","",IF(TRIM(D149)="","（分項工程層）",IF(TRIM(D149)="全部",_xlfn.TEXTJOIN("、",TRUE,單元!$A$2:$A$500),SUBSTITUTE(SUBSTITUTE(SUBSTITUTE(TRIM(D149),"，","、"),",","、")," ",""))))</f>
        <v/>
      </c>
      <c r="J149" s="2">
        <f>IF(A149="","",IF(TRIM(H149)="","施工前、施工中、施工後",SUBSTITUTE(SUBSTITUTE(SUBSTITUTE(TRIM(H149),"，","、"),",","、")," ","")))</f>
        <v/>
      </c>
      <c r="K149" s="2">
        <f>IF(A149="","",SUMPRODUCT((檢查項目!$A$2:$A$500=A149)*(檢查項目!$B$2:$B$500="")))</f>
        <v/>
      </c>
      <c r="L149" s="2">
        <f>IF(A149="","",SUMPRODUCT((檢查項目!$A$2:$A$500=A149)*(檢查項目!$B$2:$B$500&lt;&gt;""))+SUMPRODUCT((數值欄位!$A$2:$A$500=A149)*(數值欄位!$B$2:$B$500&lt;&gt;"")))</f>
        <v/>
      </c>
      <c r="M149" s="2">
        <f>IF(A149="","",IF(TRIM(IF(COUNTIF($A$2:$A$500,A149)&gt;1,"⚠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",""))="","✓",TRIM(IF(COUNTIF($A$2:$A$500,A149)&gt;1,"⚠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",""))))</f>
        <v/>
      </c>
    </row>
    <row r="150">
      <c r="I150" s="2">
        <f>IF(A150="","",IF(TRIM(D150)="","（分項工程層）",IF(TRIM(D150)="全部",_xlfn.TEXTJOIN("、",TRUE,單元!$A$2:$A$500),SUBSTITUTE(SUBSTITUTE(SUBSTITUTE(TRIM(D150),"，","、"),",","、")," ",""))))</f>
        <v/>
      </c>
      <c r="J150" s="2">
        <f>IF(A150="","",IF(TRIM(H150)="","施工前、施工中、施工後",SUBSTITUTE(SUBSTITUTE(SUBSTITUTE(TRIM(H150),"，","、"),",","、")," ","")))</f>
        <v/>
      </c>
      <c r="K150" s="2">
        <f>IF(A150="","",SUMPRODUCT((檢查項目!$A$2:$A$500=A150)*(檢查項目!$B$2:$B$500="")))</f>
        <v/>
      </c>
      <c r="L150" s="2">
        <f>IF(A150="","",SUMPRODUCT((檢查項目!$A$2:$A$500=A150)*(檢查項目!$B$2:$B$500&lt;&gt;""))+SUMPRODUCT((數值欄位!$A$2:$A$500=A150)*(數值欄位!$B$2:$B$500&lt;&gt;"")))</f>
        <v/>
      </c>
      <c r="M150" s="2">
        <f>IF(A150="","",IF(TRIM(IF(COUNTIF($A$2:$A$500,A150)&gt;1,"⚠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",""))="","✓",TRIM(IF(COUNTIF($A$2:$A$500,A150)&gt;1,"⚠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",""))))</f>
        <v/>
      </c>
    </row>
    <row r="151">
      <c r="I151" s="2">
        <f>IF(A151="","",IF(TRIM(D151)="","（分項工程層）",IF(TRIM(D151)="全部",_xlfn.TEXTJOIN("、",TRUE,單元!$A$2:$A$500),SUBSTITUTE(SUBSTITUTE(SUBSTITUTE(TRIM(D151),"，","、"),",","、")," ",""))))</f>
        <v/>
      </c>
      <c r="J151" s="2">
        <f>IF(A151="","",IF(TRIM(H151)="","施工前、施工中、施工後",SUBSTITUTE(SUBSTITUTE(SUBSTITUTE(TRIM(H151),"，","、"),",","、")," ","")))</f>
        <v/>
      </c>
      <c r="K151" s="2">
        <f>IF(A151="","",SUMPRODUCT((檢查項目!$A$2:$A$500=A151)*(檢查項目!$B$2:$B$500="")))</f>
        <v/>
      </c>
      <c r="L151" s="2">
        <f>IF(A151="","",SUMPRODUCT((檢查項目!$A$2:$A$500=A151)*(檢查項目!$B$2:$B$500&lt;&gt;""))+SUMPRODUCT((數值欄位!$A$2:$A$500=A151)*(數值欄位!$B$2:$B$500&lt;&gt;"")))</f>
        <v/>
      </c>
      <c r="M151" s="2">
        <f>IF(A151="","",IF(TRIM(IF(COUNTIF($A$2:$A$500,A151)&gt;1,"⚠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",""))="","✓",TRIM(IF(COUNTIF($A$2:$A$500,A151)&gt;1,"⚠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",""))))</f>
        <v/>
      </c>
    </row>
    <row r="152">
      <c r="I152" s="2">
        <f>IF(A152="","",IF(TRIM(D152)="","（分項工程層）",IF(TRIM(D152)="全部",_xlfn.TEXTJOIN("、",TRUE,單元!$A$2:$A$500),SUBSTITUTE(SUBSTITUTE(SUBSTITUTE(TRIM(D152),"，","、"),",","、")," ",""))))</f>
        <v/>
      </c>
      <c r="J152" s="2">
        <f>IF(A152="","",IF(TRIM(H152)="","施工前、施工中、施工後",SUBSTITUTE(SUBSTITUTE(SUBSTITUTE(TRIM(H152),"，","、"),",","、")," ","")))</f>
        <v/>
      </c>
      <c r="K152" s="2">
        <f>IF(A152="","",SUMPRODUCT((檢查項目!$A$2:$A$500=A152)*(檢查項目!$B$2:$B$500="")))</f>
        <v/>
      </c>
      <c r="L152" s="2">
        <f>IF(A152="","",SUMPRODUCT((檢查項目!$A$2:$A$500=A152)*(檢查項目!$B$2:$B$500&lt;&gt;""))+SUMPRODUCT((數值欄位!$A$2:$A$500=A152)*(數值欄位!$B$2:$B$500&lt;&gt;"")))</f>
        <v/>
      </c>
      <c r="M152" s="2">
        <f>IF(A152="","",IF(TRIM(IF(COUNTIF($A$2:$A$500,A152)&gt;1,"⚠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",""))="","✓",TRIM(IF(COUNTIF($A$2:$A$500,A152)&gt;1,"⚠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",""))))</f>
        <v/>
      </c>
    </row>
    <row r="153">
      <c r="I153" s="2">
        <f>IF(A153="","",IF(TRIM(D153)="","（分項工程層）",IF(TRIM(D153)="全部",_xlfn.TEXTJOIN("、",TRUE,單元!$A$2:$A$500),SUBSTITUTE(SUBSTITUTE(SUBSTITUTE(TRIM(D153),"，","、"),",","、")," ",""))))</f>
        <v/>
      </c>
      <c r="J153" s="2">
        <f>IF(A153="","",IF(TRIM(H153)="","施工前、施工中、施工後",SUBSTITUTE(SUBSTITUTE(SUBSTITUTE(TRIM(H153),"，","、"),",","、")," ","")))</f>
        <v/>
      </c>
      <c r="K153" s="2">
        <f>IF(A153="","",SUMPRODUCT((檢查項目!$A$2:$A$500=A153)*(檢查項目!$B$2:$B$500="")))</f>
        <v/>
      </c>
      <c r="L153" s="2">
        <f>IF(A153="","",SUMPRODUCT((檢查項目!$A$2:$A$500=A153)*(檢查項目!$B$2:$B$500&lt;&gt;""))+SUMPRODUCT((數值欄位!$A$2:$A$500=A153)*(數值欄位!$B$2:$B$500&lt;&gt;"")))</f>
        <v/>
      </c>
      <c r="M153" s="2">
        <f>IF(A153="","",IF(TRIM(IF(COUNTIF($A$2:$A$500,A153)&gt;1,"⚠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",""))="","✓",TRIM(IF(COUNTIF($A$2:$A$500,A153)&gt;1,"⚠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",""))))</f>
        <v/>
      </c>
    </row>
    <row r="154">
      <c r="I154" s="2">
        <f>IF(A154="","",IF(TRIM(D154)="","（分項工程層）",IF(TRIM(D154)="全部",_xlfn.TEXTJOIN("、",TRUE,單元!$A$2:$A$500),SUBSTITUTE(SUBSTITUTE(SUBSTITUTE(TRIM(D154),"，","、"),",","、")," ",""))))</f>
        <v/>
      </c>
      <c r="J154" s="2">
        <f>IF(A154="","",IF(TRIM(H154)="","施工前、施工中、施工後",SUBSTITUTE(SUBSTITUTE(SUBSTITUTE(TRIM(H154),"，","、"),",","、")," ","")))</f>
        <v/>
      </c>
      <c r="K154" s="2">
        <f>IF(A154="","",SUMPRODUCT((檢查項目!$A$2:$A$500=A154)*(檢查項目!$B$2:$B$500="")))</f>
        <v/>
      </c>
      <c r="L154" s="2">
        <f>IF(A154="","",SUMPRODUCT((檢查項目!$A$2:$A$500=A154)*(檢查項目!$B$2:$B$500&lt;&gt;""))+SUMPRODUCT((數值欄位!$A$2:$A$500=A154)*(數值欄位!$B$2:$B$500&lt;&gt;"")))</f>
        <v/>
      </c>
      <c r="M154" s="2">
        <f>IF(A154="","",IF(TRIM(IF(COUNTIF($A$2:$A$500,A154)&gt;1,"⚠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",""))="","✓",TRIM(IF(COUNTIF($A$2:$A$500,A154)&gt;1,"⚠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",""))))</f>
        <v/>
      </c>
    </row>
    <row r="155">
      <c r="I155" s="2">
        <f>IF(A155="","",IF(TRIM(D155)="","（分項工程層）",IF(TRIM(D155)="全部",_xlfn.TEXTJOIN("、",TRUE,單元!$A$2:$A$500),SUBSTITUTE(SUBSTITUTE(SUBSTITUTE(TRIM(D155),"，","、"),",","、")," ",""))))</f>
        <v/>
      </c>
      <c r="J155" s="2">
        <f>IF(A155="","",IF(TRIM(H155)="","施工前、施工中、施工後",SUBSTITUTE(SUBSTITUTE(SUBSTITUTE(TRIM(H155),"，","、"),",","、")," ","")))</f>
        <v/>
      </c>
      <c r="K155" s="2">
        <f>IF(A155="","",SUMPRODUCT((檢查項目!$A$2:$A$500=A155)*(檢查項目!$B$2:$B$500="")))</f>
        <v/>
      </c>
      <c r="L155" s="2">
        <f>IF(A155="","",SUMPRODUCT((檢查項目!$A$2:$A$500=A155)*(檢查項目!$B$2:$B$500&lt;&gt;""))+SUMPRODUCT((數值欄位!$A$2:$A$500=A155)*(數值欄位!$B$2:$B$500&lt;&gt;"")))</f>
        <v/>
      </c>
      <c r="M155" s="2">
        <f>IF(A155="","",IF(TRIM(IF(COUNTIF($A$2:$A$500,A155)&gt;1,"⚠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",""))="","✓",TRIM(IF(COUNTIF($A$2:$A$500,A155)&gt;1,"⚠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",""))))</f>
        <v/>
      </c>
    </row>
    <row r="156">
      <c r="I156" s="2">
        <f>IF(A156="","",IF(TRIM(D156)="","（分項工程層）",IF(TRIM(D156)="全部",_xlfn.TEXTJOIN("、",TRUE,單元!$A$2:$A$500),SUBSTITUTE(SUBSTITUTE(SUBSTITUTE(TRIM(D156),"，","、"),",","、")," ",""))))</f>
        <v/>
      </c>
      <c r="J156" s="2">
        <f>IF(A156="","",IF(TRIM(H156)="","施工前、施工中、施工後",SUBSTITUTE(SUBSTITUTE(SUBSTITUTE(TRIM(H156),"，","、"),",","、")," ","")))</f>
        <v/>
      </c>
      <c r="K156" s="2">
        <f>IF(A156="","",SUMPRODUCT((檢查項目!$A$2:$A$500=A156)*(檢查項目!$B$2:$B$500="")))</f>
        <v/>
      </c>
      <c r="L156" s="2">
        <f>IF(A156="","",SUMPRODUCT((檢查項目!$A$2:$A$500=A156)*(檢查項目!$B$2:$B$500&lt;&gt;""))+SUMPRODUCT((數值欄位!$A$2:$A$500=A156)*(數值欄位!$B$2:$B$500&lt;&gt;"")))</f>
        <v/>
      </c>
      <c r="M156" s="2">
        <f>IF(A156="","",IF(TRIM(IF(COUNTIF($A$2:$A$500,A156)&gt;1,"⚠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",""))="","✓",TRIM(IF(COUNTIF($A$2:$A$500,A156)&gt;1,"⚠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",""))))</f>
        <v/>
      </c>
    </row>
    <row r="157">
      <c r="I157" s="2">
        <f>IF(A157="","",IF(TRIM(D157)="","（分項工程層）",IF(TRIM(D157)="全部",_xlfn.TEXTJOIN("、",TRUE,單元!$A$2:$A$500),SUBSTITUTE(SUBSTITUTE(SUBSTITUTE(TRIM(D157),"，","、"),",","、")," ",""))))</f>
        <v/>
      </c>
      <c r="J157" s="2">
        <f>IF(A157="","",IF(TRIM(H157)="","施工前、施工中、施工後",SUBSTITUTE(SUBSTITUTE(SUBSTITUTE(TRIM(H157),"，","、"),",","、")," ","")))</f>
        <v/>
      </c>
      <c r="K157" s="2">
        <f>IF(A157="","",SUMPRODUCT((檢查項目!$A$2:$A$500=A157)*(檢查項目!$B$2:$B$500="")))</f>
        <v/>
      </c>
      <c r="L157" s="2">
        <f>IF(A157="","",SUMPRODUCT((檢查項目!$A$2:$A$500=A157)*(檢查項目!$B$2:$B$500&lt;&gt;""))+SUMPRODUCT((數值欄位!$A$2:$A$500=A157)*(數值欄位!$B$2:$B$500&lt;&gt;"")))</f>
        <v/>
      </c>
      <c r="M157" s="2">
        <f>IF(A157="","",IF(TRIM(IF(COUNTIF($A$2:$A$500,A157)&gt;1,"⚠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",""))="","✓",TRIM(IF(COUNTIF($A$2:$A$500,A157)&gt;1,"⚠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",""))))</f>
        <v/>
      </c>
    </row>
    <row r="158">
      <c r="I158" s="2">
        <f>IF(A158="","",IF(TRIM(D158)="","（分項工程層）",IF(TRIM(D158)="全部",_xlfn.TEXTJOIN("、",TRUE,單元!$A$2:$A$500),SUBSTITUTE(SUBSTITUTE(SUBSTITUTE(TRIM(D158),"，","、"),",","、")," ",""))))</f>
        <v/>
      </c>
      <c r="J158" s="2">
        <f>IF(A158="","",IF(TRIM(H158)="","施工前、施工中、施工後",SUBSTITUTE(SUBSTITUTE(SUBSTITUTE(TRIM(H158),"，","、"),",","、")," ","")))</f>
        <v/>
      </c>
      <c r="K158" s="2">
        <f>IF(A158="","",SUMPRODUCT((檢查項目!$A$2:$A$500=A158)*(檢查項目!$B$2:$B$500="")))</f>
        <v/>
      </c>
      <c r="L158" s="2">
        <f>IF(A158="","",SUMPRODUCT((檢查項目!$A$2:$A$500=A158)*(檢查項目!$B$2:$B$500&lt;&gt;""))+SUMPRODUCT((數值欄位!$A$2:$A$500=A158)*(數值欄位!$B$2:$B$500&lt;&gt;"")))</f>
        <v/>
      </c>
      <c r="M158" s="2">
        <f>IF(A158="","",IF(TRIM(IF(COUNTIF($A$2:$A$500,A158)&gt;1,"⚠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",""))="","✓",TRIM(IF(COUNTIF($A$2:$A$500,A158)&gt;1,"⚠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",""))))</f>
        <v/>
      </c>
    </row>
    <row r="159">
      <c r="I159" s="2">
        <f>IF(A159="","",IF(TRIM(D159)="","（分項工程層）",IF(TRIM(D159)="全部",_xlfn.TEXTJOIN("、",TRUE,單元!$A$2:$A$500),SUBSTITUTE(SUBSTITUTE(SUBSTITUTE(TRIM(D159),"，","、"),",","、")," ",""))))</f>
        <v/>
      </c>
      <c r="J159" s="2">
        <f>IF(A159="","",IF(TRIM(H159)="","施工前、施工中、施工後",SUBSTITUTE(SUBSTITUTE(SUBSTITUTE(TRIM(H159),"，","、"),",","、")," ","")))</f>
        <v/>
      </c>
      <c r="K159" s="2">
        <f>IF(A159="","",SUMPRODUCT((檢查項目!$A$2:$A$500=A159)*(檢查項目!$B$2:$B$500="")))</f>
        <v/>
      </c>
      <c r="L159" s="2">
        <f>IF(A159="","",SUMPRODUCT((檢查項目!$A$2:$A$500=A159)*(檢查項目!$B$2:$B$500&lt;&gt;""))+SUMPRODUCT((數值欄位!$A$2:$A$500=A159)*(數值欄位!$B$2:$B$500&lt;&gt;"")))</f>
        <v/>
      </c>
      <c r="M159" s="2">
        <f>IF(A159="","",IF(TRIM(IF(COUNTIF($A$2:$A$500,A159)&gt;1,"⚠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",""))="","✓",TRIM(IF(COUNTIF($A$2:$A$500,A159)&gt;1,"⚠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",""))))</f>
        <v/>
      </c>
    </row>
    <row r="160">
      <c r="I160" s="2">
        <f>IF(A160="","",IF(TRIM(D160)="","（分項工程層）",IF(TRIM(D160)="全部",_xlfn.TEXTJOIN("、",TRUE,單元!$A$2:$A$500),SUBSTITUTE(SUBSTITUTE(SUBSTITUTE(TRIM(D160),"，","、"),",","、")," ",""))))</f>
        <v/>
      </c>
      <c r="J160" s="2">
        <f>IF(A160="","",IF(TRIM(H160)="","施工前、施工中、施工後",SUBSTITUTE(SUBSTITUTE(SUBSTITUTE(TRIM(H160),"，","、"),",","、")," ","")))</f>
        <v/>
      </c>
      <c r="K160" s="2">
        <f>IF(A160="","",SUMPRODUCT((檢查項目!$A$2:$A$500=A160)*(檢查項目!$B$2:$B$500="")))</f>
        <v/>
      </c>
      <c r="L160" s="2">
        <f>IF(A160="","",SUMPRODUCT((檢查項目!$A$2:$A$500=A160)*(檢查項目!$B$2:$B$500&lt;&gt;""))+SUMPRODUCT((數值欄位!$A$2:$A$500=A160)*(數值欄位!$B$2:$B$500&lt;&gt;"")))</f>
        <v/>
      </c>
      <c r="M160" s="2">
        <f>IF(A160="","",IF(TRIM(IF(COUNTIF($A$2:$A$500,A160)&gt;1,"⚠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",""))="","✓",TRIM(IF(COUNTIF($A$2:$A$500,A160)&gt;1,"⚠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",""))))</f>
        <v/>
      </c>
    </row>
    <row r="161">
      <c r="I161" s="2">
        <f>IF(A161="","",IF(TRIM(D161)="","（分項工程層）",IF(TRIM(D161)="全部",_xlfn.TEXTJOIN("、",TRUE,單元!$A$2:$A$500),SUBSTITUTE(SUBSTITUTE(SUBSTITUTE(TRIM(D161),"，","、"),",","、")," ",""))))</f>
        <v/>
      </c>
      <c r="J161" s="2">
        <f>IF(A161="","",IF(TRIM(H161)="","施工前、施工中、施工後",SUBSTITUTE(SUBSTITUTE(SUBSTITUTE(TRIM(H161),"，","、"),",","、")," ","")))</f>
        <v/>
      </c>
      <c r="K161" s="2">
        <f>IF(A161="","",SUMPRODUCT((檢查項目!$A$2:$A$500=A161)*(檢查項目!$B$2:$B$500="")))</f>
        <v/>
      </c>
      <c r="L161" s="2">
        <f>IF(A161="","",SUMPRODUCT((檢查項目!$A$2:$A$500=A161)*(檢查項目!$B$2:$B$500&lt;&gt;""))+SUMPRODUCT((數值欄位!$A$2:$A$500=A161)*(數值欄位!$B$2:$B$500&lt;&gt;"")))</f>
        <v/>
      </c>
      <c r="M161" s="2">
        <f>IF(A161="","",IF(TRIM(IF(COUNTIF($A$2:$A$500,A161)&gt;1,"⚠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",""))="","✓",TRIM(IF(COUNTIF($A$2:$A$500,A161)&gt;1,"⚠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",""))))</f>
        <v/>
      </c>
    </row>
    <row r="162">
      <c r="I162" s="2">
        <f>IF(A162="","",IF(TRIM(D162)="","（分項工程層）",IF(TRIM(D162)="全部",_xlfn.TEXTJOIN("、",TRUE,單元!$A$2:$A$500),SUBSTITUTE(SUBSTITUTE(SUBSTITUTE(TRIM(D162),"，","、"),",","、")," ",""))))</f>
        <v/>
      </c>
      <c r="J162" s="2">
        <f>IF(A162="","",IF(TRIM(H162)="","施工前、施工中、施工後",SUBSTITUTE(SUBSTITUTE(SUBSTITUTE(TRIM(H162),"，","、"),",","、")," ","")))</f>
        <v/>
      </c>
      <c r="K162" s="2">
        <f>IF(A162="","",SUMPRODUCT((檢查項目!$A$2:$A$500=A162)*(檢查項目!$B$2:$B$500="")))</f>
        <v/>
      </c>
      <c r="L162" s="2">
        <f>IF(A162="","",SUMPRODUCT((檢查項目!$A$2:$A$500=A162)*(檢查項目!$B$2:$B$500&lt;&gt;""))+SUMPRODUCT((數值欄位!$A$2:$A$500=A162)*(數值欄位!$B$2:$B$500&lt;&gt;"")))</f>
        <v/>
      </c>
      <c r="M162" s="2">
        <f>IF(A162="","",IF(TRIM(IF(COUNTIF($A$2:$A$500,A162)&gt;1,"⚠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",""))="","✓",TRIM(IF(COUNTIF($A$2:$A$500,A162)&gt;1,"⚠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",""))))</f>
        <v/>
      </c>
    </row>
    <row r="163">
      <c r="I163" s="2">
        <f>IF(A163="","",IF(TRIM(D163)="","（分項工程層）",IF(TRIM(D163)="全部",_xlfn.TEXTJOIN("、",TRUE,單元!$A$2:$A$500),SUBSTITUTE(SUBSTITUTE(SUBSTITUTE(TRIM(D163),"，","、"),",","、")," ",""))))</f>
        <v/>
      </c>
      <c r="J163" s="2">
        <f>IF(A163="","",IF(TRIM(H163)="","施工前、施工中、施工後",SUBSTITUTE(SUBSTITUTE(SUBSTITUTE(TRIM(H163),"，","、"),",","、")," ","")))</f>
        <v/>
      </c>
      <c r="K163" s="2">
        <f>IF(A163="","",SUMPRODUCT((檢查項目!$A$2:$A$500=A163)*(檢查項目!$B$2:$B$500="")))</f>
        <v/>
      </c>
      <c r="L163" s="2">
        <f>IF(A163="","",SUMPRODUCT((檢查項目!$A$2:$A$500=A163)*(檢查項目!$B$2:$B$500&lt;&gt;""))+SUMPRODUCT((數值欄位!$A$2:$A$500=A163)*(數值欄位!$B$2:$B$500&lt;&gt;"")))</f>
        <v/>
      </c>
      <c r="M163" s="2">
        <f>IF(A163="","",IF(TRIM(IF(COUNTIF($A$2:$A$500,A163)&gt;1,"⚠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",""))="","✓",TRIM(IF(COUNTIF($A$2:$A$500,A163)&gt;1,"⚠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",""))))</f>
        <v/>
      </c>
    </row>
    <row r="164">
      <c r="I164" s="2">
        <f>IF(A164="","",IF(TRIM(D164)="","（分項工程層）",IF(TRIM(D164)="全部",_xlfn.TEXTJOIN("、",TRUE,單元!$A$2:$A$500),SUBSTITUTE(SUBSTITUTE(SUBSTITUTE(TRIM(D164),"，","、"),",","、")," ",""))))</f>
        <v/>
      </c>
      <c r="J164" s="2">
        <f>IF(A164="","",IF(TRIM(H164)="","施工前、施工中、施工後",SUBSTITUTE(SUBSTITUTE(SUBSTITUTE(TRIM(H164),"，","、"),",","、")," ","")))</f>
        <v/>
      </c>
      <c r="K164" s="2">
        <f>IF(A164="","",SUMPRODUCT((檢查項目!$A$2:$A$500=A164)*(檢查項目!$B$2:$B$500="")))</f>
        <v/>
      </c>
      <c r="L164" s="2">
        <f>IF(A164="","",SUMPRODUCT((檢查項目!$A$2:$A$500=A164)*(檢查項目!$B$2:$B$500&lt;&gt;""))+SUMPRODUCT((數值欄位!$A$2:$A$500=A164)*(數值欄位!$B$2:$B$500&lt;&gt;"")))</f>
        <v/>
      </c>
      <c r="M164" s="2">
        <f>IF(A164="","",IF(TRIM(IF(COUNTIF($A$2:$A$500,A164)&gt;1,"⚠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",""))="","✓",TRIM(IF(COUNTIF($A$2:$A$500,A164)&gt;1,"⚠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",""))))</f>
        <v/>
      </c>
    </row>
    <row r="165">
      <c r="I165" s="2">
        <f>IF(A165="","",IF(TRIM(D165)="","（分項工程層）",IF(TRIM(D165)="全部",_xlfn.TEXTJOIN("、",TRUE,單元!$A$2:$A$500),SUBSTITUTE(SUBSTITUTE(SUBSTITUTE(TRIM(D165),"，","、"),",","、")," ",""))))</f>
        <v/>
      </c>
      <c r="J165" s="2">
        <f>IF(A165="","",IF(TRIM(H165)="","施工前、施工中、施工後",SUBSTITUTE(SUBSTITUTE(SUBSTITUTE(TRIM(H165),"，","、"),",","、")," ","")))</f>
        <v/>
      </c>
      <c r="K165" s="2">
        <f>IF(A165="","",SUMPRODUCT((檢查項目!$A$2:$A$500=A165)*(檢查項目!$B$2:$B$500="")))</f>
        <v/>
      </c>
      <c r="L165" s="2">
        <f>IF(A165="","",SUMPRODUCT((檢查項目!$A$2:$A$500=A165)*(檢查項目!$B$2:$B$500&lt;&gt;""))+SUMPRODUCT((數值欄位!$A$2:$A$500=A165)*(數值欄位!$B$2:$B$500&lt;&gt;"")))</f>
        <v/>
      </c>
      <c r="M165" s="2">
        <f>IF(A165="","",IF(TRIM(IF(COUNTIF($A$2:$A$500,A165)&gt;1,"⚠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",""))="","✓",TRIM(IF(COUNTIF($A$2:$A$500,A165)&gt;1,"⚠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",""))))</f>
        <v/>
      </c>
    </row>
    <row r="166">
      <c r="I166" s="2">
        <f>IF(A166="","",IF(TRIM(D166)="","（分項工程層）",IF(TRIM(D166)="全部",_xlfn.TEXTJOIN("、",TRUE,單元!$A$2:$A$500),SUBSTITUTE(SUBSTITUTE(SUBSTITUTE(TRIM(D166),"，","、"),",","、")," ",""))))</f>
        <v/>
      </c>
      <c r="J166" s="2">
        <f>IF(A166="","",IF(TRIM(H166)="","施工前、施工中、施工後",SUBSTITUTE(SUBSTITUTE(SUBSTITUTE(TRIM(H166),"，","、"),",","、")," ","")))</f>
        <v/>
      </c>
      <c r="K166" s="2">
        <f>IF(A166="","",SUMPRODUCT((檢查項目!$A$2:$A$500=A166)*(檢查項目!$B$2:$B$500="")))</f>
        <v/>
      </c>
      <c r="L166" s="2">
        <f>IF(A166="","",SUMPRODUCT((檢查項目!$A$2:$A$500=A166)*(檢查項目!$B$2:$B$500&lt;&gt;""))+SUMPRODUCT((數值欄位!$A$2:$A$500=A166)*(數值欄位!$B$2:$B$500&lt;&gt;"")))</f>
        <v/>
      </c>
      <c r="M166" s="2">
        <f>IF(A166="","",IF(TRIM(IF(COUNTIF($A$2:$A$500,A166)&gt;1,"⚠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",""))="","✓",TRIM(IF(COUNTIF($A$2:$A$500,A166)&gt;1,"⚠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",""))))</f>
        <v/>
      </c>
    </row>
    <row r="167">
      <c r="I167" s="2">
        <f>IF(A167="","",IF(TRIM(D167)="","（分項工程層）",IF(TRIM(D167)="全部",_xlfn.TEXTJOIN("、",TRUE,單元!$A$2:$A$500),SUBSTITUTE(SUBSTITUTE(SUBSTITUTE(TRIM(D167),"，","、"),",","、")," ",""))))</f>
        <v/>
      </c>
      <c r="J167" s="2">
        <f>IF(A167="","",IF(TRIM(H167)="","施工前、施工中、施工後",SUBSTITUTE(SUBSTITUTE(SUBSTITUTE(TRIM(H167),"，","、"),",","、")," ","")))</f>
        <v/>
      </c>
      <c r="K167" s="2">
        <f>IF(A167="","",SUMPRODUCT((檢查項目!$A$2:$A$500=A167)*(檢查項目!$B$2:$B$500="")))</f>
        <v/>
      </c>
      <c r="L167" s="2">
        <f>IF(A167="","",SUMPRODUCT((檢查項目!$A$2:$A$500=A167)*(檢查項目!$B$2:$B$500&lt;&gt;""))+SUMPRODUCT((數值欄位!$A$2:$A$500=A167)*(數值欄位!$B$2:$B$500&lt;&gt;"")))</f>
        <v/>
      </c>
      <c r="M167" s="2">
        <f>IF(A167="","",IF(TRIM(IF(COUNTIF($A$2:$A$500,A167)&gt;1,"⚠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",""))="","✓",TRIM(IF(COUNTIF($A$2:$A$500,A167)&gt;1,"⚠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",""))))</f>
        <v/>
      </c>
    </row>
    <row r="168">
      <c r="I168" s="2">
        <f>IF(A168="","",IF(TRIM(D168)="","（分項工程層）",IF(TRIM(D168)="全部",_xlfn.TEXTJOIN("、",TRUE,單元!$A$2:$A$500),SUBSTITUTE(SUBSTITUTE(SUBSTITUTE(TRIM(D168),"，","、"),",","、")," ",""))))</f>
        <v/>
      </c>
      <c r="J168" s="2">
        <f>IF(A168="","",IF(TRIM(H168)="","施工前、施工中、施工後",SUBSTITUTE(SUBSTITUTE(SUBSTITUTE(TRIM(H168),"，","、"),",","、")," ","")))</f>
        <v/>
      </c>
      <c r="K168" s="2">
        <f>IF(A168="","",SUMPRODUCT((檢查項目!$A$2:$A$500=A168)*(檢查項目!$B$2:$B$500="")))</f>
        <v/>
      </c>
      <c r="L168" s="2">
        <f>IF(A168="","",SUMPRODUCT((檢查項目!$A$2:$A$500=A168)*(檢查項目!$B$2:$B$500&lt;&gt;""))+SUMPRODUCT((數值欄位!$A$2:$A$500=A168)*(數值欄位!$B$2:$B$500&lt;&gt;"")))</f>
        <v/>
      </c>
      <c r="M168" s="2">
        <f>IF(A168="","",IF(TRIM(IF(COUNTIF($A$2:$A$500,A168)&gt;1,"⚠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",""))="","✓",TRIM(IF(COUNTIF($A$2:$A$500,A168)&gt;1,"⚠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",""))))</f>
        <v/>
      </c>
    </row>
    <row r="169">
      <c r="I169" s="2">
        <f>IF(A169="","",IF(TRIM(D169)="","（分項工程層）",IF(TRIM(D169)="全部",_xlfn.TEXTJOIN("、",TRUE,單元!$A$2:$A$500),SUBSTITUTE(SUBSTITUTE(SUBSTITUTE(TRIM(D169),"，","、"),",","、")," ",""))))</f>
        <v/>
      </c>
      <c r="J169" s="2">
        <f>IF(A169="","",IF(TRIM(H169)="","施工前、施工中、施工後",SUBSTITUTE(SUBSTITUTE(SUBSTITUTE(TRIM(H169),"，","、"),",","、")," ","")))</f>
        <v/>
      </c>
      <c r="K169" s="2">
        <f>IF(A169="","",SUMPRODUCT((檢查項目!$A$2:$A$500=A169)*(檢查項目!$B$2:$B$500="")))</f>
        <v/>
      </c>
      <c r="L169" s="2">
        <f>IF(A169="","",SUMPRODUCT((檢查項目!$A$2:$A$500=A169)*(檢查項目!$B$2:$B$500&lt;&gt;""))+SUMPRODUCT((數值欄位!$A$2:$A$500=A169)*(數值欄位!$B$2:$B$500&lt;&gt;"")))</f>
        <v/>
      </c>
      <c r="M169" s="2">
        <f>IF(A169="","",IF(TRIM(IF(COUNTIF($A$2:$A$500,A169)&gt;1,"⚠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",""))="","✓",TRIM(IF(COUNTIF($A$2:$A$500,A169)&gt;1,"⚠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",""))))</f>
        <v/>
      </c>
    </row>
    <row r="170">
      <c r="I170" s="2">
        <f>IF(A170="","",IF(TRIM(D170)="","（分項工程層）",IF(TRIM(D170)="全部",_xlfn.TEXTJOIN("、",TRUE,單元!$A$2:$A$500),SUBSTITUTE(SUBSTITUTE(SUBSTITUTE(TRIM(D170),"，","、"),",","、")," ",""))))</f>
        <v/>
      </c>
      <c r="J170" s="2">
        <f>IF(A170="","",IF(TRIM(H170)="","施工前、施工中、施工後",SUBSTITUTE(SUBSTITUTE(SUBSTITUTE(TRIM(H170),"，","、"),",","、")," ","")))</f>
        <v/>
      </c>
      <c r="K170" s="2">
        <f>IF(A170="","",SUMPRODUCT((檢查項目!$A$2:$A$500=A170)*(檢查項目!$B$2:$B$500="")))</f>
        <v/>
      </c>
      <c r="L170" s="2">
        <f>IF(A170="","",SUMPRODUCT((檢查項目!$A$2:$A$500=A170)*(檢查項目!$B$2:$B$500&lt;&gt;""))+SUMPRODUCT((數值欄位!$A$2:$A$500=A170)*(數值欄位!$B$2:$B$500&lt;&gt;"")))</f>
        <v/>
      </c>
      <c r="M170" s="2">
        <f>IF(A170="","",IF(TRIM(IF(COUNTIF($A$2:$A$500,A170)&gt;1,"⚠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",""))="","✓",TRIM(IF(COUNTIF($A$2:$A$500,A170)&gt;1,"⚠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",""))))</f>
        <v/>
      </c>
    </row>
    <row r="171">
      <c r="I171" s="2">
        <f>IF(A171="","",IF(TRIM(D171)="","（分項工程層）",IF(TRIM(D171)="全部",_xlfn.TEXTJOIN("、",TRUE,單元!$A$2:$A$500),SUBSTITUTE(SUBSTITUTE(SUBSTITUTE(TRIM(D171),"，","、"),",","、")," ",""))))</f>
        <v/>
      </c>
      <c r="J171" s="2">
        <f>IF(A171="","",IF(TRIM(H171)="","施工前、施工中、施工後",SUBSTITUTE(SUBSTITUTE(SUBSTITUTE(TRIM(H171),"，","、"),",","、")," ","")))</f>
        <v/>
      </c>
      <c r="K171" s="2">
        <f>IF(A171="","",SUMPRODUCT((檢查項目!$A$2:$A$500=A171)*(檢查項目!$B$2:$B$500="")))</f>
        <v/>
      </c>
      <c r="L171" s="2">
        <f>IF(A171="","",SUMPRODUCT((檢查項目!$A$2:$A$500=A171)*(檢查項目!$B$2:$B$500&lt;&gt;""))+SUMPRODUCT((數值欄位!$A$2:$A$500=A171)*(數值欄位!$B$2:$B$500&lt;&gt;"")))</f>
        <v/>
      </c>
      <c r="M171" s="2">
        <f>IF(A171="","",IF(TRIM(IF(COUNTIF($A$2:$A$500,A171)&gt;1,"⚠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",""))="","✓",TRIM(IF(COUNTIF($A$2:$A$500,A171)&gt;1,"⚠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",""))))</f>
        <v/>
      </c>
    </row>
    <row r="172">
      <c r="I172" s="2">
        <f>IF(A172="","",IF(TRIM(D172)="","（分項工程層）",IF(TRIM(D172)="全部",_xlfn.TEXTJOIN("、",TRUE,單元!$A$2:$A$500),SUBSTITUTE(SUBSTITUTE(SUBSTITUTE(TRIM(D172),"，","、"),",","、")," ",""))))</f>
        <v/>
      </c>
      <c r="J172" s="2">
        <f>IF(A172="","",IF(TRIM(H172)="","施工前、施工中、施工後",SUBSTITUTE(SUBSTITUTE(SUBSTITUTE(TRIM(H172),"，","、"),",","、")," ","")))</f>
        <v/>
      </c>
      <c r="K172" s="2">
        <f>IF(A172="","",SUMPRODUCT((檢查項目!$A$2:$A$500=A172)*(檢查項目!$B$2:$B$500="")))</f>
        <v/>
      </c>
      <c r="L172" s="2">
        <f>IF(A172="","",SUMPRODUCT((檢查項目!$A$2:$A$500=A172)*(檢查項目!$B$2:$B$500&lt;&gt;""))+SUMPRODUCT((數值欄位!$A$2:$A$500=A172)*(數值欄位!$B$2:$B$500&lt;&gt;"")))</f>
        <v/>
      </c>
      <c r="M172" s="2">
        <f>IF(A172="","",IF(TRIM(IF(COUNTIF($A$2:$A$500,A172)&gt;1,"⚠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",""))="","✓",TRIM(IF(COUNTIF($A$2:$A$500,A172)&gt;1,"⚠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",""))))</f>
        <v/>
      </c>
    </row>
    <row r="173">
      <c r="I173" s="2">
        <f>IF(A173="","",IF(TRIM(D173)="","（分項工程層）",IF(TRIM(D173)="全部",_xlfn.TEXTJOIN("、",TRUE,單元!$A$2:$A$500),SUBSTITUTE(SUBSTITUTE(SUBSTITUTE(TRIM(D173),"，","、"),",","、")," ",""))))</f>
        <v/>
      </c>
      <c r="J173" s="2">
        <f>IF(A173="","",IF(TRIM(H173)="","施工前、施工中、施工後",SUBSTITUTE(SUBSTITUTE(SUBSTITUTE(TRIM(H173),"，","、"),",","、")," ","")))</f>
        <v/>
      </c>
      <c r="K173" s="2">
        <f>IF(A173="","",SUMPRODUCT((檢查項目!$A$2:$A$500=A173)*(檢查項目!$B$2:$B$500="")))</f>
        <v/>
      </c>
      <c r="L173" s="2">
        <f>IF(A173="","",SUMPRODUCT((檢查項目!$A$2:$A$500=A173)*(檢查項目!$B$2:$B$500&lt;&gt;""))+SUMPRODUCT((數值欄位!$A$2:$A$500=A173)*(數值欄位!$B$2:$B$500&lt;&gt;"")))</f>
        <v/>
      </c>
      <c r="M173" s="2">
        <f>IF(A173="","",IF(TRIM(IF(COUNTIF($A$2:$A$500,A173)&gt;1,"⚠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",""))="","✓",TRIM(IF(COUNTIF($A$2:$A$500,A173)&gt;1,"⚠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",""))))</f>
        <v/>
      </c>
    </row>
    <row r="174">
      <c r="I174" s="2">
        <f>IF(A174="","",IF(TRIM(D174)="","（分項工程層）",IF(TRIM(D174)="全部",_xlfn.TEXTJOIN("、",TRUE,單元!$A$2:$A$500),SUBSTITUTE(SUBSTITUTE(SUBSTITUTE(TRIM(D174),"，","、"),",","、")," ",""))))</f>
        <v/>
      </c>
      <c r="J174" s="2">
        <f>IF(A174="","",IF(TRIM(H174)="","施工前、施工中、施工後",SUBSTITUTE(SUBSTITUTE(SUBSTITUTE(TRIM(H174),"，","、"),",","、")," ","")))</f>
        <v/>
      </c>
      <c r="K174" s="2">
        <f>IF(A174="","",SUMPRODUCT((檢查項目!$A$2:$A$500=A174)*(檢查項目!$B$2:$B$500="")))</f>
        <v/>
      </c>
      <c r="L174" s="2">
        <f>IF(A174="","",SUMPRODUCT((檢查項目!$A$2:$A$500=A174)*(檢查項目!$B$2:$B$500&lt;&gt;""))+SUMPRODUCT((數值欄位!$A$2:$A$500=A174)*(數值欄位!$B$2:$B$500&lt;&gt;"")))</f>
        <v/>
      </c>
      <c r="M174" s="2">
        <f>IF(A174="","",IF(TRIM(IF(COUNTIF($A$2:$A$500,A174)&gt;1,"⚠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",""))="","✓",TRIM(IF(COUNTIF($A$2:$A$500,A174)&gt;1,"⚠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",""))))</f>
        <v/>
      </c>
    </row>
    <row r="175">
      <c r="I175" s="2">
        <f>IF(A175="","",IF(TRIM(D175)="","（分項工程層）",IF(TRIM(D175)="全部",_xlfn.TEXTJOIN("、",TRUE,單元!$A$2:$A$500),SUBSTITUTE(SUBSTITUTE(SUBSTITUTE(TRIM(D175),"，","、"),",","、")," ",""))))</f>
        <v/>
      </c>
      <c r="J175" s="2">
        <f>IF(A175="","",IF(TRIM(H175)="","施工前、施工中、施工後",SUBSTITUTE(SUBSTITUTE(SUBSTITUTE(TRIM(H175),"，","、"),",","、")," ","")))</f>
        <v/>
      </c>
      <c r="K175" s="2">
        <f>IF(A175="","",SUMPRODUCT((檢查項目!$A$2:$A$500=A175)*(檢查項目!$B$2:$B$500="")))</f>
        <v/>
      </c>
      <c r="L175" s="2">
        <f>IF(A175="","",SUMPRODUCT((檢查項目!$A$2:$A$500=A175)*(檢查項目!$B$2:$B$500&lt;&gt;""))+SUMPRODUCT((數值欄位!$A$2:$A$500=A175)*(數值欄位!$B$2:$B$500&lt;&gt;"")))</f>
        <v/>
      </c>
      <c r="M175" s="2">
        <f>IF(A175="","",IF(TRIM(IF(COUNTIF($A$2:$A$500,A175)&gt;1,"⚠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",""))="","✓",TRIM(IF(COUNTIF($A$2:$A$500,A175)&gt;1,"⚠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",""))))</f>
        <v/>
      </c>
    </row>
    <row r="176">
      <c r="I176" s="2">
        <f>IF(A176="","",IF(TRIM(D176)="","（分項工程層）",IF(TRIM(D176)="全部",_xlfn.TEXTJOIN("、",TRUE,單元!$A$2:$A$500),SUBSTITUTE(SUBSTITUTE(SUBSTITUTE(TRIM(D176),"，","、"),",","、")," ",""))))</f>
        <v/>
      </c>
      <c r="J176" s="2">
        <f>IF(A176="","",IF(TRIM(H176)="","施工前、施工中、施工後",SUBSTITUTE(SUBSTITUTE(SUBSTITUTE(TRIM(H176),"，","、"),",","、")," ","")))</f>
        <v/>
      </c>
      <c r="K176" s="2">
        <f>IF(A176="","",SUMPRODUCT((檢查項目!$A$2:$A$500=A176)*(檢查項目!$B$2:$B$500="")))</f>
        <v/>
      </c>
      <c r="L176" s="2">
        <f>IF(A176="","",SUMPRODUCT((檢查項目!$A$2:$A$500=A176)*(檢查項目!$B$2:$B$500&lt;&gt;""))+SUMPRODUCT((數值欄位!$A$2:$A$500=A176)*(數值欄位!$B$2:$B$500&lt;&gt;"")))</f>
        <v/>
      </c>
      <c r="M176" s="2">
        <f>IF(A176="","",IF(TRIM(IF(COUNTIF($A$2:$A$500,A176)&gt;1,"⚠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",""))="","✓",TRIM(IF(COUNTIF($A$2:$A$500,A176)&gt;1,"⚠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",""))))</f>
        <v/>
      </c>
    </row>
    <row r="177">
      <c r="I177" s="2">
        <f>IF(A177="","",IF(TRIM(D177)="","（分項工程層）",IF(TRIM(D177)="全部",_xlfn.TEXTJOIN("、",TRUE,單元!$A$2:$A$500),SUBSTITUTE(SUBSTITUTE(SUBSTITUTE(TRIM(D177),"，","、"),",","、")," ",""))))</f>
        <v/>
      </c>
      <c r="J177" s="2">
        <f>IF(A177="","",IF(TRIM(H177)="","施工前、施工中、施工後",SUBSTITUTE(SUBSTITUTE(SUBSTITUTE(TRIM(H177),"，","、"),",","、")," ","")))</f>
        <v/>
      </c>
      <c r="K177" s="2">
        <f>IF(A177="","",SUMPRODUCT((檢查項目!$A$2:$A$500=A177)*(檢查項目!$B$2:$B$500="")))</f>
        <v/>
      </c>
      <c r="L177" s="2">
        <f>IF(A177="","",SUMPRODUCT((檢查項目!$A$2:$A$500=A177)*(檢查項目!$B$2:$B$500&lt;&gt;""))+SUMPRODUCT((數值欄位!$A$2:$A$500=A177)*(數值欄位!$B$2:$B$500&lt;&gt;"")))</f>
        <v/>
      </c>
      <c r="M177" s="2">
        <f>IF(A177="","",IF(TRIM(IF(COUNTIF($A$2:$A$500,A177)&gt;1,"⚠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",""))="","✓",TRIM(IF(COUNTIF($A$2:$A$500,A177)&gt;1,"⚠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",""))))</f>
        <v/>
      </c>
    </row>
    <row r="178">
      <c r="I178" s="2">
        <f>IF(A178="","",IF(TRIM(D178)="","（分項工程層）",IF(TRIM(D178)="全部",_xlfn.TEXTJOIN("、",TRUE,單元!$A$2:$A$500),SUBSTITUTE(SUBSTITUTE(SUBSTITUTE(TRIM(D178),"，","、"),",","、")," ",""))))</f>
        <v/>
      </c>
      <c r="J178" s="2">
        <f>IF(A178="","",IF(TRIM(H178)="","施工前、施工中、施工後",SUBSTITUTE(SUBSTITUTE(SUBSTITUTE(TRIM(H178),"，","、"),",","、")," ","")))</f>
        <v/>
      </c>
      <c r="K178" s="2">
        <f>IF(A178="","",SUMPRODUCT((檢查項目!$A$2:$A$500=A178)*(檢查項目!$B$2:$B$500="")))</f>
        <v/>
      </c>
      <c r="L178" s="2">
        <f>IF(A178="","",SUMPRODUCT((檢查項目!$A$2:$A$500=A178)*(檢查項目!$B$2:$B$500&lt;&gt;""))+SUMPRODUCT((數值欄位!$A$2:$A$500=A178)*(數值欄位!$B$2:$B$500&lt;&gt;"")))</f>
        <v/>
      </c>
      <c r="M178" s="2">
        <f>IF(A178="","",IF(TRIM(IF(COUNTIF($A$2:$A$500,A178)&gt;1,"⚠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",""))="","✓",TRIM(IF(COUNTIF($A$2:$A$500,A178)&gt;1,"⚠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",""))))</f>
        <v/>
      </c>
    </row>
    <row r="179">
      <c r="I179" s="2">
        <f>IF(A179="","",IF(TRIM(D179)="","（分項工程層）",IF(TRIM(D179)="全部",_xlfn.TEXTJOIN("、",TRUE,單元!$A$2:$A$500),SUBSTITUTE(SUBSTITUTE(SUBSTITUTE(TRIM(D179),"，","、"),",","、")," ",""))))</f>
        <v/>
      </c>
      <c r="J179" s="2">
        <f>IF(A179="","",IF(TRIM(H179)="","施工前、施工中、施工後",SUBSTITUTE(SUBSTITUTE(SUBSTITUTE(TRIM(H179),"，","、"),",","、")," ","")))</f>
        <v/>
      </c>
      <c r="K179" s="2">
        <f>IF(A179="","",SUMPRODUCT((檢查項目!$A$2:$A$500=A179)*(檢查項目!$B$2:$B$500="")))</f>
        <v/>
      </c>
      <c r="L179" s="2">
        <f>IF(A179="","",SUMPRODUCT((檢查項目!$A$2:$A$500=A179)*(檢查項目!$B$2:$B$500&lt;&gt;""))+SUMPRODUCT((數值欄位!$A$2:$A$500=A179)*(數值欄位!$B$2:$B$500&lt;&gt;"")))</f>
        <v/>
      </c>
      <c r="M179" s="2">
        <f>IF(A179="","",IF(TRIM(IF(COUNTIF($A$2:$A$500,A179)&gt;1,"⚠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",""))="","✓",TRIM(IF(COUNTIF($A$2:$A$500,A179)&gt;1,"⚠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",""))))</f>
        <v/>
      </c>
    </row>
    <row r="180">
      <c r="I180" s="2">
        <f>IF(A180="","",IF(TRIM(D180)="","（分項工程層）",IF(TRIM(D180)="全部",_xlfn.TEXTJOIN("、",TRUE,單元!$A$2:$A$500),SUBSTITUTE(SUBSTITUTE(SUBSTITUTE(TRIM(D180),"，","、"),",","、")," ",""))))</f>
        <v/>
      </c>
      <c r="J180" s="2">
        <f>IF(A180="","",IF(TRIM(H180)="","施工前、施工中、施工後",SUBSTITUTE(SUBSTITUTE(SUBSTITUTE(TRIM(H180),"，","、"),",","、")," ","")))</f>
        <v/>
      </c>
      <c r="K180" s="2">
        <f>IF(A180="","",SUMPRODUCT((檢查項目!$A$2:$A$500=A180)*(檢查項目!$B$2:$B$500="")))</f>
        <v/>
      </c>
      <c r="L180" s="2">
        <f>IF(A180="","",SUMPRODUCT((檢查項目!$A$2:$A$500=A180)*(檢查項目!$B$2:$B$500&lt;&gt;""))+SUMPRODUCT((數值欄位!$A$2:$A$500=A180)*(數值欄位!$B$2:$B$500&lt;&gt;"")))</f>
        <v/>
      </c>
      <c r="M180" s="2">
        <f>IF(A180="","",IF(TRIM(IF(COUNTIF($A$2:$A$500,A180)&gt;1,"⚠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",""))="","✓",TRIM(IF(COUNTIF($A$2:$A$500,A180)&gt;1,"⚠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",""))))</f>
        <v/>
      </c>
    </row>
    <row r="181">
      <c r="I181" s="2">
        <f>IF(A181="","",IF(TRIM(D181)="","（分項工程層）",IF(TRIM(D181)="全部",_xlfn.TEXTJOIN("、",TRUE,單元!$A$2:$A$500),SUBSTITUTE(SUBSTITUTE(SUBSTITUTE(TRIM(D181),"，","、"),",","、")," ",""))))</f>
        <v/>
      </c>
      <c r="J181" s="2">
        <f>IF(A181="","",IF(TRIM(H181)="","施工前、施工中、施工後",SUBSTITUTE(SUBSTITUTE(SUBSTITUTE(TRIM(H181),"，","、"),",","、")," ","")))</f>
        <v/>
      </c>
      <c r="K181" s="2">
        <f>IF(A181="","",SUMPRODUCT((檢查項目!$A$2:$A$500=A181)*(檢查項目!$B$2:$B$500="")))</f>
        <v/>
      </c>
      <c r="L181" s="2">
        <f>IF(A181="","",SUMPRODUCT((檢查項目!$A$2:$A$500=A181)*(檢查項目!$B$2:$B$500&lt;&gt;""))+SUMPRODUCT((數值欄位!$A$2:$A$500=A181)*(數值欄位!$B$2:$B$500&lt;&gt;"")))</f>
        <v/>
      </c>
      <c r="M181" s="2">
        <f>IF(A181="","",IF(TRIM(IF(COUNTIF($A$2:$A$500,A181)&gt;1,"⚠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",""))="","✓",TRIM(IF(COUNTIF($A$2:$A$500,A181)&gt;1,"⚠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",""))))</f>
        <v/>
      </c>
    </row>
    <row r="182">
      <c r="I182" s="2">
        <f>IF(A182="","",IF(TRIM(D182)="","（分項工程層）",IF(TRIM(D182)="全部",_xlfn.TEXTJOIN("、",TRUE,單元!$A$2:$A$500),SUBSTITUTE(SUBSTITUTE(SUBSTITUTE(TRIM(D182),"，","、"),",","、")," ",""))))</f>
        <v/>
      </c>
      <c r="J182" s="2">
        <f>IF(A182="","",IF(TRIM(H182)="","施工前、施工中、施工後",SUBSTITUTE(SUBSTITUTE(SUBSTITUTE(TRIM(H182),"，","、"),",","、")," ","")))</f>
        <v/>
      </c>
      <c r="K182" s="2">
        <f>IF(A182="","",SUMPRODUCT((檢查項目!$A$2:$A$500=A182)*(檢查項目!$B$2:$B$500="")))</f>
        <v/>
      </c>
      <c r="L182" s="2">
        <f>IF(A182="","",SUMPRODUCT((檢查項目!$A$2:$A$500=A182)*(檢查項目!$B$2:$B$500&lt;&gt;""))+SUMPRODUCT((數值欄位!$A$2:$A$500=A182)*(數值欄位!$B$2:$B$500&lt;&gt;"")))</f>
        <v/>
      </c>
      <c r="M182" s="2">
        <f>IF(A182="","",IF(TRIM(IF(COUNTIF($A$2:$A$500,A182)&gt;1,"⚠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",""))="","✓",TRIM(IF(COUNTIF($A$2:$A$500,A182)&gt;1,"⚠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",""))))</f>
        <v/>
      </c>
    </row>
    <row r="183">
      <c r="I183" s="2">
        <f>IF(A183="","",IF(TRIM(D183)="","（分項工程層）",IF(TRIM(D183)="全部",_xlfn.TEXTJOIN("、",TRUE,單元!$A$2:$A$500),SUBSTITUTE(SUBSTITUTE(SUBSTITUTE(TRIM(D183),"，","、"),",","、")," ",""))))</f>
        <v/>
      </c>
      <c r="J183" s="2">
        <f>IF(A183="","",IF(TRIM(H183)="","施工前、施工中、施工後",SUBSTITUTE(SUBSTITUTE(SUBSTITUTE(TRIM(H183),"，","、"),",","、")," ","")))</f>
        <v/>
      </c>
      <c r="K183" s="2">
        <f>IF(A183="","",SUMPRODUCT((檢查項目!$A$2:$A$500=A183)*(檢查項目!$B$2:$B$500="")))</f>
        <v/>
      </c>
      <c r="L183" s="2">
        <f>IF(A183="","",SUMPRODUCT((檢查項目!$A$2:$A$500=A183)*(檢查項目!$B$2:$B$500&lt;&gt;""))+SUMPRODUCT((數值欄位!$A$2:$A$500=A183)*(數值欄位!$B$2:$B$500&lt;&gt;"")))</f>
        <v/>
      </c>
      <c r="M183" s="2">
        <f>IF(A183="","",IF(TRIM(IF(COUNTIF($A$2:$A$500,A183)&gt;1,"⚠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",""))="","✓",TRIM(IF(COUNTIF($A$2:$A$500,A183)&gt;1,"⚠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",""))))</f>
        <v/>
      </c>
    </row>
    <row r="184">
      <c r="I184" s="2">
        <f>IF(A184="","",IF(TRIM(D184)="","（分項工程層）",IF(TRIM(D184)="全部",_xlfn.TEXTJOIN("、",TRUE,單元!$A$2:$A$500),SUBSTITUTE(SUBSTITUTE(SUBSTITUTE(TRIM(D184),"，","、"),",","、")," ",""))))</f>
        <v/>
      </c>
      <c r="J184" s="2">
        <f>IF(A184="","",IF(TRIM(H184)="","施工前、施工中、施工後",SUBSTITUTE(SUBSTITUTE(SUBSTITUTE(TRIM(H184),"，","、"),",","、")," ","")))</f>
        <v/>
      </c>
      <c r="K184" s="2">
        <f>IF(A184="","",SUMPRODUCT((檢查項目!$A$2:$A$500=A184)*(檢查項目!$B$2:$B$500="")))</f>
        <v/>
      </c>
      <c r="L184" s="2">
        <f>IF(A184="","",SUMPRODUCT((檢查項目!$A$2:$A$500=A184)*(檢查項目!$B$2:$B$500&lt;&gt;""))+SUMPRODUCT((數值欄位!$A$2:$A$500=A184)*(數值欄位!$B$2:$B$500&lt;&gt;"")))</f>
        <v/>
      </c>
      <c r="M184" s="2">
        <f>IF(A184="","",IF(TRIM(IF(COUNTIF($A$2:$A$500,A184)&gt;1,"⚠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",""))="","✓",TRIM(IF(COUNTIF($A$2:$A$500,A184)&gt;1,"⚠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",""))))</f>
        <v/>
      </c>
    </row>
    <row r="185">
      <c r="I185" s="2">
        <f>IF(A185="","",IF(TRIM(D185)="","（分項工程層）",IF(TRIM(D185)="全部",_xlfn.TEXTJOIN("、",TRUE,單元!$A$2:$A$500),SUBSTITUTE(SUBSTITUTE(SUBSTITUTE(TRIM(D185),"，","、"),",","、")," ",""))))</f>
        <v/>
      </c>
      <c r="J185" s="2">
        <f>IF(A185="","",IF(TRIM(H185)="","施工前、施工中、施工後",SUBSTITUTE(SUBSTITUTE(SUBSTITUTE(TRIM(H185),"，","、"),",","、")," ","")))</f>
        <v/>
      </c>
      <c r="K185" s="2">
        <f>IF(A185="","",SUMPRODUCT((檢查項目!$A$2:$A$500=A185)*(檢查項目!$B$2:$B$500="")))</f>
        <v/>
      </c>
      <c r="L185" s="2">
        <f>IF(A185="","",SUMPRODUCT((檢查項目!$A$2:$A$500=A185)*(檢查項目!$B$2:$B$500&lt;&gt;""))+SUMPRODUCT((數值欄位!$A$2:$A$500=A185)*(數值欄位!$B$2:$B$500&lt;&gt;"")))</f>
        <v/>
      </c>
      <c r="M185" s="2">
        <f>IF(A185="","",IF(TRIM(IF(COUNTIF($A$2:$A$500,A185)&gt;1,"⚠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",""))="","✓",TRIM(IF(COUNTIF($A$2:$A$500,A185)&gt;1,"⚠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",""))))</f>
        <v/>
      </c>
    </row>
    <row r="186">
      <c r="I186" s="2">
        <f>IF(A186="","",IF(TRIM(D186)="","（分項工程層）",IF(TRIM(D186)="全部",_xlfn.TEXTJOIN("、",TRUE,單元!$A$2:$A$500),SUBSTITUTE(SUBSTITUTE(SUBSTITUTE(TRIM(D186),"，","、"),",","、")," ",""))))</f>
        <v/>
      </c>
      <c r="J186" s="2">
        <f>IF(A186="","",IF(TRIM(H186)="","施工前、施工中、施工後",SUBSTITUTE(SUBSTITUTE(SUBSTITUTE(TRIM(H186),"，","、"),",","、")," ","")))</f>
        <v/>
      </c>
      <c r="K186" s="2">
        <f>IF(A186="","",SUMPRODUCT((檢查項目!$A$2:$A$500=A186)*(檢查項目!$B$2:$B$500="")))</f>
        <v/>
      </c>
      <c r="L186" s="2">
        <f>IF(A186="","",SUMPRODUCT((檢查項目!$A$2:$A$500=A186)*(檢查項目!$B$2:$B$500&lt;&gt;""))+SUMPRODUCT((數值欄位!$A$2:$A$500=A186)*(數值欄位!$B$2:$B$500&lt;&gt;"")))</f>
        <v/>
      </c>
      <c r="M186" s="2">
        <f>IF(A186="","",IF(TRIM(IF(COUNTIF($A$2:$A$500,A186)&gt;1,"⚠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",""))="","✓",TRIM(IF(COUNTIF($A$2:$A$500,A186)&gt;1,"⚠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",""))))</f>
        <v/>
      </c>
    </row>
    <row r="187">
      <c r="I187" s="2">
        <f>IF(A187="","",IF(TRIM(D187)="","（分項工程層）",IF(TRIM(D187)="全部",_xlfn.TEXTJOIN("、",TRUE,單元!$A$2:$A$500),SUBSTITUTE(SUBSTITUTE(SUBSTITUTE(TRIM(D187),"，","、"),",","、")," ",""))))</f>
        <v/>
      </c>
      <c r="J187" s="2">
        <f>IF(A187="","",IF(TRIM(H187)="","施工前、施工中、施工後",SUBSTITUTE(SUBSTITUTE(SUBSTITUTE(TRIM(H187),"，","、"),",","、")," ","")))</f>
        <v/>
      </c>
      <c r="K187" s="2">
        <f>IF(A187="","",SUMPRODUCT((檢查項目!$A$2:$A$500=A187)*(檢查項目!$B$2:$B$500="")))</f>
        <v/>
      </c>
      <c r="L187" s="2">
        <f>IF(A187="","",SUMPRODUCT((檢查項目!$A$2:$A$500=A187)*(檢查項目!$B$2:$B$500&lt;&gt;""))+SUMPRODUCT((數值欄位!$A$2:$A$500=A187)*(數值欄位!$B$2:$B$500&lt;&gt;"")))</f>
        <v/>
      </c>
      <c r="M187" s="2">
        <f>IF(A187="","",IF(TRIM(IF(COUNTIF($A$2:$A$500,A187)&gt;1,"⚠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",""))="","✓",TRIM(IF(COUNTIF($A$2:$A$500,A187)&gt;1,"⚠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",""))))</f>
        <v/>
      </c>
    </row>
    <row r="188">
      <c r="I188" s="2">
        <f>IF(A188="","",IF(TRIM(D188)="","（分項工程層）",IF(TRIM(D188)="全部",_xlfn.TEXTJOIN("、",TRUE,單元!$A$2:$A$500),SUBSTITUTE(SUBSTITUTE(SUBSTITUTE(TRIM(D188),"，","、"),",","、")," ",""))))</f>
        <v/>
      </c>
      <c r="J188" s="2">
        <f>IF(A188="","",IF(TRIM(H188)="","施工前、施工中、施工後",SUBSTITUTE(SUBSTITUTE(SUBSTITUTE(TRIM(H188),"，","、"),",","、")," ","")))</f>
        <v/>
      </c>
      <c r="K188" s="2">
        <f>IF(A188="","",SUMPRODUCT((檢查項目!$A$2:$A$500=A188)*(檢查項目!$B$2:$B$500="")))</f>
        <v/>
      </c>
      <c r="L188" s="2">
        <f>IF(A188="","",SUMPRODUCT((檢查項目!$A$2:$A$500=A188)*(檢查項目!$B$2:$B$500&lt;&gt;""))+SUMPRODUCT((數值欄位!$A$2:$A$500=A188)*(數值欄位!$B$2:$B$500&lt;&gt;"")))</f>
        <v/>
      </c>
      <c r="M188" s="2">
        <f>IF(A188="","",IF(TRIM(IF(COUNTIF($A$2:$A$500,A188)&gt;1,"⚠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",""))="","✓",TRIM(IF(COUNTIF($A$2:$A$500,A188)&gt;1,"⚠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",""))))</f>
        <v/>
      </c>
    </row>
    <row r="189">
      <c r="I189" s="2">
        <f>IF(A189="","",IF(TRIM(D189)="","（分項工程層）",IF(TRIM(D189)="全部",_xlfn.TEXTJOIN("、",TRUE,單元!$A$2:$A$500),SUBSTITUTE(SUBSTITUTE(SUBSTITUTE(TRIM(D189),"，","、"),",","、")," ",""))))</f>
        <v/>
      </c>
      <c r="J189" s="2">
        <f>IF(A189="","",IF(TRIM(H189)="","施工前、施工中、施工後",SUBSTITUTE(SUBSTITUTE(SUBSTITUTE(TRIM(H189),"，","、"),",","、")," ","")))</f>
        <v/>
      </c>
      <c r="K189" s="2">
        <f>IF(A189="","",SUMPRODUCT((檢查項目!$A$2:$A$500=A189)*(檢查項目!$B$2:$B$500="")))</f>
        <v/>
      </c>
      <c r="L189" s="2">
        <f>IF(A189="","",SUMPRODUCT((檢查項目!$A$2:$A$500=A189)*(檢查項目!$B$2:$B$500&lt;&gt;""))+SUMPRODUCT((數值欄位!$A$2:$A$500=A189)*(數值欄位!$B$2:$B$500&lt;&gt;"")))</f>
        <v/>
      </c>
      <c r="M189" s="2">
        <f>IF(A189="","",IF(TRIM(IF(COUNTIF($A$2:$A$500,A189)&gt;1,"⚠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",""))="","✓",TRIM(IF(COUNTIF($A$2:$A$500,A189)&gt;1,"⚠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",""))))</f>
        <v/>
      </c>
    </row>
    <row r="190">
      <c r="I190" s="2">
        <f>IF(A190="","",IF(TRIM(D190)="","（分項工程層）",IF(TRIM(D190)="全部",_xlfn.TEXTJOIN("、",TRUE,單元!$A$2:$A$500),SUBSTITUTE(SUBSTITUTE(SUBSTITUTE(TRIM(D190),"，","、"),",","、")," ",""))))</f>
        <v/>
      </c>
      <c r="J190" s="2">
        <f>IF(A190="","",IF(TRIM(H190)="","施工前、施工中、施工後",SUBSTITUTE(SUBSTITUTE(SUBSTITUTE(TRIM(H190),"，","、"),",","、")," ","")))</f>
        <v/>
      </c>
      <c r="K190" s="2">
        <f>IF(A190="","",SUMPRODUCT((檢查項目!$A$2:$A$500=A190)*(檢查項目!$B$2:$B$500="")))</f>
        <v/>
      </c>
      <c r="L190" s="2">
        <f>IF(A190="","",SUMPRODUCT((檢查項目!$A$2:$A$500=A190)*(檢查項目!$B$2:$B$500&lt;&gt;""))+SUMPRODUCT((數值欄位!$A$2:$A$500=A190)*(數值欄位!$B$2:$B$500&lt;&gt;"")))</f>
        <v/>
      </c>
      <c r="M190" s="2">
        <f>IF(A190="","",IF(TRIM(IF(COUNTIF($A$2:$A$500,A190)&gt;1,"⚠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",""))="","✓",TRIM(IF(COUNTIF($A$2:$A$500,A190)&gt;1,"⚠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",""))))</f>
        <v/>
      </c>
    </row>
    <row r="191">
      <c r="I191" s="2">
        <f>IF(A191="","",IF(TRIM(D191)="","（分項工程層）",IF(TRIM(D191)="全部",_xlfn.TEXTJOIN("、",TRUE,單元!$A$2:$A$500),SUBSTITUTE(SUBSTITUTE(SUBSTITUTE(TRIM(D191),"，","、"),",","、")," ",""))))</f>
        <v/>
      </c>
      <c r="J191" s="2">
        <f>IF(A191="","",IF(TRIM(H191)="","施工前、施工中、施工後",SUBSTITUTE(SUBSTITUTE(SUBSTITUTE(TRIM(H191),"，","、"),",","、")," ","")))</f>
        <v/>
      </c>
      <c r="K191" s="2">
        <f>IF(A191="","",SUMPRODUCT((檢查項目!$A$2:$A$500=A191)*(檢查項目!$B$2:$B$500="")))</f>
        <v/>
      </c>
      <c r="L191" s="2">
        <f>IF(A191="","",SUMPRODUCT((檢查項目!$A$2:$A$500=A191)*(檢查項目!$B$2:$B$500&lt;&gt;""))+SUMPRODUCT((數值欄位!$A$2:$A$500=A191)*(數值欄位!$B$2:$B$500&lt;&gt;"")))</f>
        <v/>
      </c>
      <c r="M191" s="2">
        <f>IF(A191="","",IF(TRIM(IF(COUNTIF($A$2:$A$500,A191)&gt;1,"⚠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",""))="","✓",TRIM(IF(COUNTIF($A$2:$A$500,A191)&gt;1,"⚠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",""))))</f>
        <v/>
      </c>
    </row>
    <row r="192">
      <c r="I192" s="2">
        <f>IF(A192="","",IF(TRIM(D192)="","（分項工程層）",IF(TRIM(D192)="全部",_xlfn.TEXTJOIN("、",TRUE,單元!$A$2:$A$500),SUBSTITUTE(SUBSTITUTE(SUBSTITUTE(TRIM(D192),"，","、"),",","、")," ",""))))</f>
        <v/>
      </c>
      <c r="J192" s="2">
        <f>IF(A192="","",IF(TRIM(H192)="","施工前、施工中、施工後",SUBSTITUTE(SUBSTITUTE(SUBSTITUTE(TRIM(H192),"，","、"),",","、")," ","")))</f>
        <v/>
      </c>
      <c r="K192" s="2">
        <f>IF(A192="","",SUMPRODUCT((檢查項目!$A$2:$A$500=A192)*(檢查項目!$B$2:$B$500="")))</f>
        <v/>
      </c>
      <c r="L192" s="2">
        <f>IF(A192="","",SUMPRODUCT((檢查項目!$A$2:$A$500=A192)*(檢查項目!$B$2:$B$500&lt;&gt;""))+SUMPRODUCT((數值欄位!$A$2:$A$500=A192)*(數值欄位!$B$2:$B$500&lt;&gt;"")))</f>
        <v/>
      </c>
      <c r="M192" s="2">
        <f>IF(A192="","",IF(TRIM(IF(COUNTIF($A$2:$A$500,A192)&gt;1,"⚠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",""))="","✓",TRIM(IF(COUNTIF($A$2:$A$500,A192)&gt;1,"⚠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",""))))</f>
        <v/>
      </c>
    </row>
    <row r="193">
      <c r="I193" s="2">
        <f>IF(A193="","",IF(TRIM(D193)="","（分項工程層）",IF(TRIM(D193)="全部",_xlfn.TEXTJOIN("、",TRUE,單元!$A$2:$A$500),SUBSTITUTE(SUBSTITUTE(SUBSTITUTE(TRIM(D193),"，","、"),",","、")," ",""))))</f>
        <v/>
      </c>
      <c r="J193" s="2">
        <f>IF(A193="","",IF(TRIM(H193)="","施工前、施工中、施工後",SUBSTITUTE(SUBSTITUTE(SUBSTITUTE(TRIM(H193),"，","、"),",","、")," ","")))</f>
        <v/>
      </c>
      <c r="K193" s="2">
        <f>IF(A193="","",SUMPRODUCT((檢查項目!$A$2:$A$500=A193)*(檢查項目!$B$2:$B$500="")))</f>
        <v/>
      </c>
      <c r="L193" s="2">
        <f>IF(A193="","",SUMPRODUCT((檢查項目!$A$2:$A$500=A193)*(檢查項目!$B$2:$B$500&lt;&gt;""))+SUMPRODUCT((數值欄位!$A$2:$A$500=A193)*(數值欄位!$B$2:$B$500&lt;&gt;"")))</f>
        <v/>
      </c>
      <c r="M193" s="2">
        <f>IF(A193="","",IF(TRIM(IF(COUNTIF($A$2:$A$500,A193)&gt;1,"⚠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",""))="","✓",TRIM(IF(COUNTIF($A$2:$A$500,A193)&gt;1,"⚠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",""))))</f>
        <v/>
      </c>
    </row>
    <row r="194">
      <c r="I194" s="2">
        <f>IF(A194="","",IF(TRIM(D194)="","（分項工程層）",IF(TRIM(D194)="全部",_xlfn.TEXTJOIN("、",TRUE,單元!$A$2:$A$500),SUBSTITUTE(SUBSTITUTE(SUBSTITUTE(TRIM(D194),"，","、"),",","、")," ",""))))</f>
        <v/>
      </c>
      <c r="J194" s="2">
        <f>IF(A194="","",IF(TRIM(H194)="","施工前、施工中、施工後",SUBSTITUTE(SUBSTITUTE(SUBSTITUTE(TRIM(H194),"，","、"),",","、")," ","")))</f>
        <v/>
      </c>
      <c r="K194" s="2">
        <f>IF(A194="","",SUMPRODUCT((檢查項目!$A$2:$A$500=A194)*(檢查項目!$B$2:$B$500="")))</f>
        <v/>
      </c>
      <c r="L194" s="2">
        <f>IF(A194="","",SUMPRODUCT((檢查項目!$A$2:$A$500=A194)*(檢查項目!$B$2:$B$500&lt;&gt;""))+SUMPRODUCT((數值欄位!$A$2:$A$500=A194)*(數值欄位!$B$2:$B$500&lt;&gt;"")))</f>
        <v/>
      </c>
      <c r="M194" s="2">
        <f>IF(A194="","",IF(TRIM(IF(COUNTIF($A$2:$A$500,A194)&gt;1,"⚠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",""))="","✓",TRIM(IF(COUNTIF($A$2:$A$500,A194)&gt;1,"⚠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",""))))</f>
        <v/>
      </c>
    </row>
    <row r="195">
      <c r="I195" s="2">
        <f>IF(A195="","",IF(TRIM(D195)="","（分項工程層）",IF(TRIM(D195)="全部",_xlfn.TEXTJOIN("、",TRUE,單元!$A$2:$A$500),SUBSTITUTE(SUBSTITUTE(SUBSTITUTE(TRIM(D195),"，","、"),",","、")," ",""))))</f>
        <v/>
      </c>
      <c r="J195" s="2">
        <f>IF(A195="","",IF(TRIM(H195)="","施工前、施工中、施工後",SUBSTITUTE(SUBSTITUTE(SUBSTITUTE(TRIM(H195),"，","、"),",","、")," ","")))</f>
        <v/>
      </c>
      <c r="K195" s="2">
        <f>IF(A195="","",SUMPRODUCT((檢查項目!$A$2:$A$500=A195)*(檢查項目!$B$2:$B$500="")))</f>
        <v/>
      </c>
      <c r="L195" s="2">
        <f>IF(A195="","",SUMPRODUCT((檢查項目!$A$2:$A$500=A195)*(檢查項目!$B$2:$B$500&lt;&gt;""))+SUMPRODUCT((數值欄位!$A$2:$A$500=A195)*(數值欄位!$B$2:$B$500&lt;&gt;"")))</f>
        <v/>
      </c>
      <c r="M195" s="2">
        <f>IF(A195="","",IF(TRIM(IF(COUNTIF($A$2:$A$500,A195)&gt;1,"⚠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",""))="","✓",TRIM(IF(COUNTIF($A$2:$A$500,A195)&gt;1,"⚠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",""))))</f>
        <v/>
      </c>
    </row>
    <row r="196">
      <c r="I196" s="2">
        <f>IF(A196="","",IF(TRIM(D196)="","（分項工程層）",IF(TRIM(D196)="全部",_xlfn.TEXTJOIN("、",TRUE,單元!$A$2:$A$500),SUBSTITUTE(SUBSTITUTE(SUBSTITUTE(TRIM(D196),"，","、"),",","、")," ",""))))</f>
        <v/>
      </c>
      <c r="J196" s="2">
        <f>IF(A196="","",IF(TRIM(H196)="","施工前、施工中、施工後",SUBSTITUTE(SUBSTITUTE(SUBSTITUTE(TRIM(H196),"，","、"),",","、")," ","")))</f>
        <v/>
      </c>
      <c r="K196" s="2">
        <f>IF(A196="","",SUMPRODUCT((檢查項目!$A$2:$A$500=A196)*(檢查項目!$B$2:$B$500="")))</f>
        <v/>
      </c>
      <c r="L196" s="2">
        <f>IF(A196="","",SUMPRODUCT((檢查項目!$A$2:$A$500=A196)*(檢查項目!$B$2:$B$500&lt;&gt;""))+SUMPRODUCT((數值欄位!$A$2:$A$500=A196)*(數值欄位!$B$2:$B$500&lt;&gt;"")))</f>
        <v/>
      </c>
      <c r="M196" s="2">
        <f>IF(A196="","",IF(TRIM(IF(COUNTIF($A$2:$A$500,A196)&gt;1,"⚠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",""))="","✓",TRIM(IF(COUNTIF($A$2:$A$500,A196)&gt;1,"⚠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",""))))</f>
        <v/>
      </c>
    </row>
    <row r="197">
      <c r="I197" s="2">
        <f>IF(A197="","",IF(TRIM(D197)="","（分項工程層）",IF(TRIM(D197)="全部",_xlfn.TEXTJOIN("、",TRUE,單元!$A$2:$A$500),SUBSTITUTE(SUBSTITUTE(SUBSTITUTE(TRIM(D197),"，","、"),",","、")," ",""))))</f>
        <v/>
      </c>
      <c r="J197" s="2">
        <f>IF(A197="","",IF(TRIM(H197)="","施工前、施工中、施工後",SUBSTITUTE(SUBSTITUTE(SUBSTITUTE(TRIM(H197),"，","、"),",","、")," ","")))</f>
        <v/>
      </c>
      <c r="K197" s="2">
        <f>IF(A197="","",SUMPRODUCT((檢查項目!$A$2:$A$500=A197)*(檢查項目!$B$2:$B$500="")))</f>
        <v/>
      </c>
      <c r="L197" s="2">
        <f>IF(A197="","",SUMPRODUCT((檢查項目!$A$2:$A$500=A197)*(檢查項目!$B$2:$B$500&lt;&gt;""))+SUMPRODUCT((數值欄位!$A$2:$A$500=A197)*(數值欄位!$B$2:$B$500&lt;&gt;"")))</f>
        <v/>
      </c>
      <c r="M197" s="2">
        <f>IF(A197="","",IF(TRIM(IF(COUNTIF($A$2:$A$500,A197)&gt;1,"⚠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",""))="","✓",TRIM(IF(COUNTIF($A$2:$A$500,A197)&gt;1,"⚠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",""))))</f>
        <v/>
      </c>
    </row>
    <row r="198">
      <c r="I198" s="2">
        <f>IF(A198="","",IF(TRIM(D198)="","（分項工程層）",IF(TRIM(D198)="全部",_xlfn.TEXTJOIN("、",TRUE,單元!$A$2:$A$500),SUBSTITUTE(SUBSTITUTE(SUBSTITUTE(TRIM(D198),"，","、"),",","、")," ",""))))</f>
        <v/>
      </c>
      <c r="J198" s="2">
        <f>IF(A198="","",IF(TRIM(H198)="","施工前、施工中、施工後",SUBSTITUTE(SUBSTITUTE(SUBSTITUTE(TRIM(H198),"，","、"),",","、")," ","")))</f>
        <v/>
      </c>
      <c r="K198" s="2">
        <f>IF(A198="","",SUMPRODUCT((檢查項目!$A$2:$A$500=A198)*(檢查項目!$B$2:$B$500="")))</f>
        <v/>
      </c>
      <c r="L198" s="2">
        <f>IF(A198="","",SUMPRODUCT((檢查項目!$A$2:$A$500=A198)*(檢查項目!$B$2:$B$500&lt;&gt;""))+SUMPRODUCT((數值欄位!$A$2:$A$500=A198)*(數值欄位!$B$2:$B$500&lt;&gt;"")))</f>
        <v/>
      </c>
      <c r="M198" s="2">
        <f>IF(A198="","",IF(TRIM(IF(COUNTIF($A$2:$A$500,A198)&gt;1,"⚠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",""))="","✓",TRIM(IF(COUNTIF($A$2:$A$500,A198)&gt;1,"⚠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",""))))</f>
        <v/>
      </c>
    </row>
    <row r="199">
      <c r="I199" s="2">
        <f>IF(A199="","",IF(TRIM(D199)="","（分項工程層）",IF(TRIM(D199)="全部",_xlfn.TEXTJOIN("、",TRUE,單元!$A$2:$A$500),SUBSTITUTE(SUBSTITUTE(SUBSTITUTE(TRIM(D199),"，","、"),",","、")," ",""))))</f>
        <v/>
      </c>
      <c r="J199" s="2">
        <f>IF(A199="","",IF(TRIM(H199)="","施工前、施工中、施工後",SUBSTITUTE(SUBSTITUTE(SUBSTITUTE(TRIM(H199),"，","、"),",","、")," ","")))</f>
        <v/>
      </c>
      <c r="K199" s="2">
        <f>IF(A199="","",SUMPRODUCT((檢查項目!$A$2:$A$500=A199)*(檢查項目!$B$2:$B$500="")))</f>
        <v/>
      </c>
      <c r="L199" s="2">
        <f>IF(A199="","",SUMPRODUCT((檢查項目!$A$2:$A$500=A199)*(檢查項目!$B$2:$B$500&lt;&gt;""))+SUMPRODUCT((數值欄位!$A$2:$A$500=A199)*(數值欄位!$B$2:$B$500&lt;&gt;"")))</f>
        <v/>
      </c>
      <c r="M199" s="2">
        <f>IF(A199="","",IF(TRIM(IF(COUNTIF($A$2:$A$500,A199)&gt;1,"⚠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",""))="","✓",TRIM(IF(COUNTIF($A$2:$A$500,A199)&gt;1,"⚠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",""))))</f>
        <v/>
      </c>
    </row>
    <row r="200">
      <c r="I200" s="2">
        <f>IF(A200="","",IF(TRIM(D200)="","（分項工程層）",IF(TRIM(D200)="全部",_xlfn.TEXTJOIN("、",TRUE,單元!$A$2:$A$500),SUBSTITUTE(SUBSTITUTE(SUBSTITUTE(TRIM(D200),"，","、"),",","、")," ",""))))</f>
        <v/>
      </c>
      <c r="J200" s="2">
        <f>IF(A200="","",IF(TRIM(H200)="","施工前、施工中、施工後",SUBSTITUTE(SUBSTITUTE(SUBSTITUTE(TRIM(H200),"，","、"),",","、")," ","")))</f>
        <v/>
      </c>
      <c r="K200" s="2">
        <f>IF(A200="","",SUMPRODUCT((檢查項目!$A$2:$A$500=A200)*(檢查項目!$B$2:$B$500="")))</f>
        <v/>
      </c>
      <c r="L200" s="2">
        <f>IF(A200="","",SUMPRODUCT((檢查項目!$A$2:$A$500=A200)*(檢查項目!$B$2:$B$500&lt;&gt;""))+SUMPRODUCT((數值欄位!$A$2:$A$500=A200)*(數值欄位!$B$2:$B$500&lt;&gt;"")))</f>
        <v/>
      </c>
      <c r="M200" s="2">
        <f>IF(A200="","",IF(TRIM(IF(COUNTIF($A$2:$A$500,A200)&gt;1,"⚠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",""))="","✓",TRIM(IF(COUNTIF($A$2:$A$500,A200)&gt;1,"⚠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",""))))</f>
        <v/>
      </c>
    </row>
    <row r="201">
      <c r="I201" s="2">
        <f>IF(A201="","",IF(TRIM(D201)="","（分項工程層）",IF(TRIM(D201)="全部",_xlfn.TEXTJOIN("、",TRUE,單元!$A$2:$A$500),SUBSTITUTE(SUBSTITUTE(SUBSTITUTE(TRIM(D201),"，","、"),",","、")," ",""))))</f>
        <v/>
      </c>
      <c r="J201" s="2">
        <f>IF(A201="","",IF(TRIM(H201)="","施工前、施工中、施工後",SUBSTITUTE(SUBSTITUTE(SUBSTITUTE(TRIM(H201),"，","、"),",","、")," ","")))</f>
        <v/>
      </c>
      <c r="K201" s="2">
        <f>IF(A201="","",SUMPRODUCT((檢查項目!$A$2:$A$500=A201)*(檢查項目!$B$2:$B$500="")))</f>
        <v/>
      </c>
      <c r="L201" s="2">
        <f>IF(A201="","",SUMPRODUCT((檢查項目!$A$2:$A$500=A201)*(檢查項目!$B$2:$B$500&lt;&gt;""))+SUMPRODUCT((數值欄位!$A$2:$A$500=A201)*(數值欄位!$B$2:$B$500&lt;&gt;"")))</f>
        <v/>
      </c>
      <c r="M201" s="2">
        <f>IF(A201="","",IF(TRIM(IF(COUNTIF($A$2:$A$500,A201)&gt;1,"⚠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",""))="","✓",TRIM(IF(COUNTIF($A$2:$A$500,A201)&gt;1,"⚠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",""))))</f>
        <v/>
      </c>
    </row>
    <row r="202">
      <c r="I202" s="2">
        <f>IF(A202="","",IF(TRIM(D202)="","（分項工程層）",IF(TRIM(D202)="全部",_xlfn.TEXTJOIN("、",TRUE,單元!$A$2:$A$500),SUBSTITUTE(SUBSTITUTE(SUBSTITUTE(TRIM(D202),"，","、"),",","、")," ",""))))</f>
        <v/>
      </c>
      <c r="J202" s="2">
        <f>IF(A202="","",IF(TRIM(H202)="","施工前、施工中、施工後",SUBSTITUTE(SUBSTITUTE(SUBSTITUTE(TRIM(H202),"，","、"),",","、")," ","")))</f>
        <v/>
      </c>
      <c r="K202" s="2">
        <f>IF(A202="","",SUMPRODUCT((檢查項目!$A$2:$A$500=A202)*(檢查項目!$B$2:$B$500="")))</f>
        <v/>
      </c>
      <c r="L202" s="2">
        <f>IF(A202="","",SUMPRODUCT((檢查項目!$A$2:$A$500=A202)*(檢查項目!$B$2:$B$500&lt;&gt;""))+SUMPRODUCT((數值欄位!$A$2:$A$500=A202)*(數值欄位!$B$2:$B$500&lt;&gt;"")))</f>
        <v/>
      </c>
      <c r="M202" s="2">
        <f>IF(A202="","",IF(TRIM(IF(COUNTIF($A$2:$A$500,A202)&gt;1,"⚠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",""))="","✓",TRIM(IF(COUNTIF($A$2:$A$500,A202)&gt;1,"⚠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",""))))</f>
        <v/>
      </c>
    </row>
    <row r="203">
      <c r="I203" s="2">
        <f>IF(A203="","",IF(TRIM(D203)="","（分項工程層）",IF(TRIM(D203)="全部",_xlfn.TEXTJOIN("、",TRUE,單元!$A$2:$A$500),SUBSTITUTE(SUBSTITUTE(SUBSTITUTE(TRIM(D203),"，","、"),",","、")," ",""))))</f>
        <v/>
      </c>
      <c r="J203" s="2">
        <f>IF(A203="","",IF(TRIM(H203)="","施工前、施工中、施工後",SUBSTITUTE(SUBSTITUTE(SUBSTITUTE(TRIM(H203),"，","、"),",","、")," ","")))</f>
        <v/>
      </c>
      <c r="K203" s="2">
        <f>IF(A203="","",SUMPRODUCT((檢查項目!$A$2:$A$500=A203)*(檢查項目!$B$2:$B$500="")))</f>
        <v/>
      </c>
      <c r="L203" s="2">
        <f>IF(A203="","",SUMPRODUCT((檢查項目!$A$2:$A$500=A203)*(檢查項目!$B$2:$B$500&lt;&gt;""))+SUMPRODUCT((數值欄位!$A$2:$A$500=A203)*(數值欄位!$B$2:$B$500&lt;&gt;"")))</f>
        <v/>
      </c>
      <c r="M203" s="2">
        <f>IF(A203="","",IF(TRIM(IF(COUNTIF($A$2:$A$500,A203)&gt;1,"⚠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",""))="","✓",TRIM(IF(COUNTIF($A$2:$A$500,A203)&gt;1,"⚠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",""))))</f>
        <v/>
      </c>
    </row>
    <row r="204">
      <c r="I204" s="2">
        <f>IF(A204="","",IF(TRIM(D204)="","（分項工程層）",IF(TRIM(D204)="全部",_xlfn.TEXTJOIN("、",TRUE,單元!$A$2:$A$500),SUBSTITUTE(SUBSTITUTE(SUBSTITUTE(TRIM(D204),"，","、"),",","、")," ",""))))</f>
        <v/>
      </c>
      <c r="J204" s="2">
        <f>IF(A204="","",IF(TRIM(H204)="","施工前、施工中、施工後",SUBSTITUTE(SUBSTITUTE(SUBSTITUTE(TRIM(H204),"，","、"),",","、")," ","")))</f>
        <v/>
      </c>
      <c r="K204" s="2">
        <f>IF(A204="","",SUMPRODUCT((檢查項目!$A$2:$A$500=A204)*(檢查項目!$B$2:$B$500="")))</f>
        <v/>
      </c>
      <c r="L204" s="2">
        <f>IF(A204="","",SUMPRODUCT((檢查項目!$A$2:$A$500=A204)*(檢查項目!$B$2:$B$500&lt;&gt;""))+SUMPRODUCT((數值欄位!$A$2:$A$500=A204)*(數值欄位!$B$2:$B$500&lt;&gt;"")))</f>
        <v/>
      </c>
      <c r="M204" s="2">
        <f>IF(A204="","",IF(TRIM(IF(COUNTIF($A$2:$A$500,A204)&gt;1,"⚠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",""))="","✓",TRIM(IF(COUNTIF($A$2:$A$500,A204)&gt;1,"⚠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",""))))</f>
        <v/>
      </c>
    </row>
    <row r="205">
      <c r="I205" s="2">
        <f>IF(A205="","",IF(TRIM(D205)="","（分項工程層）",IF(TRIM(D205)="全部",_xlfn.TEXTJOIN("、",TRUE,單元!$A$2:$A$500),SUBSTITUTE(SUBSTITUTE(SUBSTITUTE(TRIM(D205),"，","、"),",","、")," ",""))))</f>
        <v/>
      </c>
      <c r="J205" s="2">
        <f>IF(A205="","",IF(TRIM(H205)="","施工前、施工中、施工後",SUBSTITUTE(SUBSTITUTE(SUBSTITUTE(TRIM(H205),"，","、"),",","、")," ","")))</f>
        <v/>
      </c>
      <c r="K205" s="2">
        <f>IF(A205="","",SUMPRODUCT((檢查項目!$A$2:$A$500=A205)*(檢查項目!$B$2:$B$500="")))</f>
        <v/>
      </c>
      <c r="L205" s="2">
        <f>IF(A205="","",SUMPRODUCT((檢查項目!$A$2:$A$500=A205)*(檢查項目!$B$2:$B$500&lt;&gt;""))+SUMPRODUCT((數值欄位!$A$2:$A$500=A205)*(數值欄位!$B$2:$B$500&lt;&gt;"")))</f>
        <v/>
      </c>
      <c r="M205" s="2">
        <f>IF(A205="","",IF(TRIM(IF(COUNTIF($A$2:$A$500,A205)&gt;1,"⚠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",""))="","✓",TRIM(IF(COUNTIF($A$2:$A$500,A205)&gt;1,"⚠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",""))))</f>
        <v/>
      </c>
    </row>
    <row r="206">
      <c r="I206" s="2">
        <f>IF(A206="","",IF(TRIM(D206)="","（分項工程層）",IF(TRIM(D206)="全部",_xlfn.TEXTJOIN("、",TRUE,單元!$A$2:$A$500),SUBSTITUTE(SUBSTITUTE(SUBSTITUTE(TRIM(D206),"，","、"),",","、")," ",""))))</f>
        <v/>
      </c>
      <c r="J206" s="2">
        <f>IF(A206="","",IF(TRIM(H206)="","施工前、施工中、施工後",SUBSTITUTE(SUBSTITUTE(SUBSTITUTE(TRIM(H206),"，","、"),",","、")," ","")))</f>
        <v/>
      </c>
      <c r="K206" s="2">
        <f>IF(A206="","",SUMPRODUCT((檢查項目!$A$2:$A$500=A206)*(檢查項目!$B$2:$B$500="")))</f>
        <v/>
      </c>
      <c r="L206" s="2">
        <f>IF(A206="","",SUMPRODUCT((檢查項目!$A$2:$A$500=A206)*(檢查項目!$B$2:$B$500&lt;&gt;""))+SUMPRODUCT((數值欄位!$A$2:$A$500=A206)*(數值欄位!$B$2:$B$500&lt;&gt;"")))</f>
        <v/>
      </c>
      <c r="M206" s="2">
        <f>IF(A206="","",IF(TRIM(IF(COUNTIF($A$2:$A$500,A206)&gt;1,"⚠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",""))="","✓",TRIM(IF(COUNTIF($A$2:$A$500,A206)&gt;1,"⚠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",""))))</f>
        <v/>
      </c>
    </row>
    <row r="207">
      <c r="I207" s="2">
        <f>IF(A207="","",IF(TRIM(D207)="","（分項工程層）",IF(TRIM(D207)="全部",_xlfn.TEXTJOIN("、",TRUE,單元!$A$2:$A$500),SUBSTITUTE(SUBSTITUTE(SUBSTITUTE(TRIM(D207),"，","、"),",","、")," ",""))))</f>
        <v/>
      </c>
      <c r="J207" s="2">
        <f>IF(A207="","",IF(TRIM(H207)="","施工前、施工中、施工後",SUBSTITUTE(SUBSTITUTE(SUBSTITUTE(TRIM(H207),"，","、"),",","、")," ","")))</f>
        <v/>
      </c>
      <c r="K207" s="2">
        <f>IF(A207="","",SUMPRODUCT((檢查項目!$A$2:$A$500=A207)*(檢查項目!$B$2:$B$500="")))</f>
        <v/>
      </c>
      <c r="L207" s="2">
        <f>IF(A207="","",SUMPRODUCT((檢查項目!$A$2:$A$500=A207)*(檢查項目!$B$2:$B$500&lt;&gt;""))+SUMPRODUCT((數值欄位!$A$2:$A$500=A207)*(數值欄位!$B$2:$B$500&lt;&gt;"")))</f>
        <v/>
      </c>
      <c r="M207" s="2">
        <f>IF(A207="","",IF(TRIM(IF(COUNTIF($A$2:$A$500,A207)&gt;1,"⚠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",""))="","✓",TRIM(IF(COUNTIF($A$2:$A$500,A207)&gt;1,"⚠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",""))))</f>
        <v/>
      </c>
    </row>
    <row r="208">
      <c r="I208" s="2">
        <f>IF(A208="","",IF(TRIM(D208)="","（分項工程層）",IF(TRIM(D208)="全部",_xlfn.TEXTJOIN("、",TRUE,單元!$A$2:$A$500),SUBSTITUTE(SUBSTITUTE(SUBSTITUTE(TRIM(D208),"，","、"),",","、")," ",""))))</f>
        <v/>
      </c>
      <c r="J208" s="2">
        <f>IF(A208="","",IF(TRIM(H208)="","施工前、施工中、施工後",SUBSTITUTE(SUBSTITUTE(SUBSTITUTE(TRIM(H208),"，","、"),",","、")," ","")))</f>
        <v/>
      </c>
      <c r="K208" s="2">
        <f>IF(A208="","",SUMPRODUCT((檢查項目!$A$2:$A$500=A208)*(檢查項目!$B$2:$B$500="")))</f>
        <v/>
      </c>
      <c r="L208" s="2">
        <f>IF(A208="","",SUMPRODUCT((檢查項目!$A$2:$A$500=A208)*(檢查項目!$B$2:$B$500&lt;&gt;""))+SUMPRODUCT((數值欄位!$A$2:$A$500=A208)*(數值欄位!$B$2:$B$500&lt;&gt;"")))</f>
        <v/>
      </c>
      <c r="M208" s="2">
        <f>IF(A208="","",IF(TRIM(IF(COUNTIF($A$2:$A$500,A208)&gt;1,"⚠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",""))="","✓",TRIM(IF(COUNTIF($A$2:$A$500,A208)&gt;1,"⚠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",""))))</f>
        <v/>
      </c>
    </row>
    <row r="209">
      <c r="I209" s="2">
        <f>IF(A209="","",IF(TRIM(D209)="","（分項工程層）",IF(TRIM(D209)="全部",_xlfn.TEXTJOIN("、",TRUE,單元!$A$2:$A$500),SUBSTITUTE(SUBSTITUTE(SUBSTITUTE(TRIM(D209),"，","、"),",","、")," ",""))))</f>
        <v/>
      </c>
      <c r="J209" s="2">
        <f>IF(A209="","",IF(TRIM(H209)="","施工前、施工中、施工後",SUBSTITUTE(SUBSTITUTE(SUBSTITUTE(TRIM(H209),"，","、"),",","、")," ","")))</f>
        <v/>
      </c>
      <c r="K209" s="2">
        <f>IF(A209="","",SUMPRODUCT((檢查項目!$A$2:$A$500=A209)*(檢查項目!$B$2:$B$500="")))</f>
        <v/>
      </c>
      <c r="L209" s="2">
        <f>IF(A209="","",SUMPRODUCT((檢查項目!$A$2:$A$500=A209)*(檢查項目!$B$2:$B$500&lt;&gt;""))+SUMPRODUCT((數值欄位!$A$2:$A$500=A209)*(數值欄位!$B$2:$B$500&lt;&gt;"")))</f>
        <v/>
      </c>
      <c r="M209" s="2">
        <f>IF(A209="","",IF(TRIM(IF(COUNTIF($A$2:$A$500,A209)&gt;1,"⚠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",""))="","✓",TRIM(IF(COUNTIF($A$2:$A$500,A209)&gt;1,"⚠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",""))))</f>
        <v/>
      </c>
    </row>
    <row r="210">
      <c r="I210" s="2">
        <f>IF(A210="","",IF(TRIM(D210)="","（分項工程層）",IF(TRIM(D210)="全部",_xlfn.TEXTJOIN("、",TRUE,單元!$A$2:$A$500),SUBSTITUTE(SUBSTITUTE(SUBSTITUTE(TRIM(D210),"，","、"),",","、")," ",""))))</f>
        <v/>
      </c>
      <c r="J210" s="2">
        <f>IF(A210="","",IF(TRIM(H210)="","施工前、施工中、施工後",SUBSTITUTE(SUBSTITUTE(SUBSTITUTE(TRIM(H210),"，","、"),",","、")," ","")))</f>
        <v/>
      </c>
      <c r="K210" s="2">
        <f>IF(A210="","",SUMPRODUCT((檢查項目!$A$2:$A$500=A210)*(檢查項目!$B$2:$B$500="")))</f>
        <v/>
      </c>
      <c r="L210" s="2">
        <f>IF(A210="","",SUMPRODUCT((檢查項目!$A$2:$A$500=A210)*(檢查項目!$B$2:$B$500&lt;&gt;""))+SUMPRODUCT((數值欄位!$A$2:$A$500=A210)*(數值欄位!$B$2:$B$500&lt;&gt;"")))</f>
        <v/>
      </c>
      <c r="M210" s="2">
        <f>IF(A210="","",IF(TRIM(IF(COUNTIF($A$2:$A$500,A210)&gt;1,"⚠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",""))="","✓",TRIM(IF(COUNTIF($A$2:$A$500,A210)&gt;1,"⚠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",""))))</f>
        <v/>
      </c>
    </row>
    <row r="211">
      <c r="I211" s="2">
        <f>IF(A211="","",IF(TRIM(D211)="","（分項工程層）",IF(TRIM(D211)="全部",_xlfn.TEXTJOIN("、",TRUE,單元!$A$2:$A$500),SUBSTITUTE(SUBSTITUTE(SUBSTITUTE(TRIM(D211),"，","、"),",","、")," ",""))))</f>
        <v/>
      </c>
      <c r="J211" s="2">
        <f>IF(A211="","",IF(TRIM(H211)="","施工前、施工中、施工後",SUBSTITUTE(SUBSTITUTE(SUBSTITUTE(TRIM(H211),"，","、"),",","、")," ","")))</f>
        <v/>
      </c>
      <c r="K211" s="2">
        <f>IF(A211="","",SUMPRODUCT((檢查項目!$A$2:$A$500=A211)*(檢查項目!$B$2:$B$500="")))</f>
        <v/>
      </c>
      <c r="L211" s="2">
        <f>IF(A211="","",SUMPRODUCT((檢查項目!$A$2:$A$500=A211)*(檢查項目!$B$2:$B$500&lt;&gt;""))+SUMPRODUCT((數值欄位!$A$2:$A$500=A211)*(數值欄位!$B$2:$B$500&lt;&gt;"")))</f>
        <v/>
      </c>
      <c r="M211" s="2">
        <f>IF(A211="","",IF(TRIM(IF(COUNTIF($A$2:$A$500,A211)&gt;1,"⚠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",""))="","✓",TRIM(IF(COUNTIF($A$2:$A$500,A211)&gt;1,"⚠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",""))))</f>
        <v/>
      </c>
    </row>
    <row r="212">
      <c r="I212" s="2">
        <f>IF(A212="","",IF(TRIM(D212)="","（分項工程層）",IF(TRIM(D212)="全部",_xlfn.TEXTJOIN("、",TRUE,單元!$A$2:$A$500),SUBSTITUTE(SUBSTITUTE(SUBSTITUTE(TRIM(D212),"，","、"),",","、")," ",""))))</f>
        <v/>
      </c>
      <c r="J212" s="2">
        <f>IF(A212="","",IF(TRIM(H212)="","施工前、施工中、施工後",SUBSTITUTE(SUBSTITUTE(SUBSTITUTE(TRIM(H212),"，","、"),",","、")," ","")))</f>
        <v/>
      </c>
      <c r="K212" s="2">
        <f>IF(A212="","",SUMPRODUCT((檢查項目!$A$2:$A$500=A212)*(檢查項目!$B$2:$B$500="")))</f>
        <v/>
      </c>
      <c r="L212" s="2">
        <f>IF(A212="","",SUMPRODUCT((檢查項目!$A$2:$A$500=A212)*(檢查項目!$B$2:$B$500&lt;&gt;""))+SUMPRODUCT((數值欄位!$A$2:$A$500=A212)*(數值欄位!$B$2:$B$500&lt;&gt;"")))</f>
        <v/>
      </c>
      <c r="M212" s="2">
        <f>IF(A212="","",IF(TRIM(IF(COUNTIF($A$2:$A$500,A212)&gt;1,"⚠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",""))="","✓",TRIM(IF(COUNTIF($A$2:$A$500,A212)&gt;1,"⚠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",""))))</f>
        <v/>
      </c>
    </row>
    <row r="213">
      <c r="I213" s="2">
        <f>IF(A213="","",IF(TRIM(D213)="","（分項工程層）",IF(TRIM(D213)="全部",_xlfn.TEXTJOIN("、",TRUE,單元!$A$2:$A$500),SUBSTITUTE(SUBSTITUTE(SUBSTITUTE(TRIM(D213),"，","、"),",","、")," ",""))))</f>
        <v/>
      </c>
      <c r="J213" s="2">
        <f>IF(A213="","",IF(TRIM(H213)="","施工前、施工中、施工後",SUBSTITUTE(SUBSTITUTE(SUBSTITUTE(TRIM(H213),"，","、"),",","、")," ","")))</f>
        <v/>
      </c>
      <c r="K213" s="2">
        <f>IF(A213="","",SUMPRODUCT((檢查項目!$A$2:$A$500=A213)*(檢查項目!$B$2:$B$500="")))</f>
        <v/>
      </c>
      <c r="L213" s="2">
        <f>IF(A213="","",SUMPRODUCT((檢查項目!$A$2:$A$500=A213)*(檢查項目!$B$2:$B$500&lt;&gt;""))+SUMPRODUCT((數值欄位!$A$2:$A$500=A213)*(數值欄位!$B$2:$B$500&lt;&gt;"")))</f>
        <v/>
      </c>
      <c r="M213" s="2">
        <f>IF(A213="","",IF(TRIM(IF(COUNTIF($A$2:$A$500,A213)&gt;1,"⚠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",""))="","✓",TRIM(IF(COUNTIF($A$2:$A$500,A213)&gt;1,"⚠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",""))))</f>
        <v/>
      </c>
    </row>
    <row r="214">
      <c r="I214" s="2">
        <f>IF(A214="","",IF(TRIM(D214)="","（分項工程層）",IF(TRIM(D214)="全部",_xlfn.TEXTJOIN("、",TRUE,單元!$A$2:$A$500),SUBSTITUTE(SUBSTITUTE(SUBSTITUTE(TRIM(D214),"，","、"),",","、")," ",""))))</f>
        <v/>
      </c>
      <c r="J214" s="2">
        <f>IF(A214="","",IF(TRIM(H214)="","施工前、施工中、施工後",SUBSTITUTE(SUBSTITUTE(SUBSTITUTE(TRIM(H214),"，","、"),",","、")," ","")))</f>
        <v/>
      </c>
      <c r="K214" s="2">
        <f>IF(A214="","",SUMPRODUCT((檢查項目!$A$2:$A$500=A214)*(檢查項目!$B$2:$B$500="")))</f>
        <v/>
      </c>
      <c r="L214" s="2">
        <f>IF(A214="","",SUMPRODUCT((檢查項目!$A$2:$A$500=A214)*(檢查項目!$B$2:$B$500&lt;&gt;""))+SUMPRODUCT((數值欄位!$A$2:$A$500=A214)*(數值欄位!$B$2:$B$500&lt;&gt;"")))</f>
        <v/>
      </c>
      <c r="M214" s="2">
        <f>IF(A214="","",IF(TRIM(IF(COUNTIF($A$2:$A$500,A214)&gt;1,"⚠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",""))="","✓",TRIM(IF(COUNTIF($A$2:$A$500,A214)&gt;1,"⚠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",""))))</f>
        <v/>
      </c>
    </row>
    <row r="215">
      <c r="I215" s="2">
        <f>IF(A215="","",IF(TRIM(D215)="","（分項工程層）",IF(TRIM(D215)="全部",_xlfn.TEXTJOIN("、",TRUE,單元!$A$2:$A$500),SUBSTITUTE(SUBSTITUTE(SUBSTITUTE(TRIM(D215),"，","、"),",","、")," ",""))))</f>
        <v/>
      </c>
      <c r="J215" s="2">
        <f>IF(A215="","",IF(TRIM(H215)="","施工前、施工中、施工後",SUBSTITUTE(SUBSTITUTE(SUBSTITUTE(TRIM(H215),"，","、"),",","、")," ","")))</f>
        <v/>
      </c>
      <c r="K215" s="2">
        <f>IF(A215="","",SUMPRODUCT((檢查項目!$A$2:$A$500=A215)*(檢查項目!$B$2:$B$500="")))</f>
        <v/>
      </c>
      <c r="L215" s="2">
        <f>IF(A215="","",SUMPRODUCT((檢查項目!$A$2:$A$500=A215)*(檢查項目!$B$2:$B$500&lt;&gt;""))+SUMPRODUCT((數值欄位!$A$2:$A$500=A215)*(數值欄位!$B$2:$B$500&lt;&gt;"")))</f>
        <v/>
      </c>
      <c r="M215" s="2">
        <f>IF(A215="","",IF(TRIM(IF(COUNTIF($A$2:$A$500,A215)&gt;1,"⚠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",""))="","✓",TRIM(IF(COUNTIF($A$2:$A$500,A215)&gt;1,"⚠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",""))))</f>
        <v/>
      </c>
    </row>
    <row r="216">
      <c r="I216" s="2">
        <f>IF(A216="","",IF(TRIM(D216)="","（分項工程層）",IF(TRIM(D216)="全部",_xlfn.TEXTJOIN("、",TRUE,單元!$A$2:$A$500),SUBSTITUTE(SUBSTITUTE(SUBSTITUTE(TRIM(D216),"，","、"),",","、")," ",""))))</f>
        <v/>
      </c>
      <c r="J216" s="2">
        <f>IF(A216="","",IF(TRIM(H216)="","施工前、施工中、施工後",SUBSTITUTE(SUBSTITUTE(SUBSTITUTE(TRIM(H216),"，","、"),",","、")," ","")))</f>
        <v/>
      </c>
      <c r="K216" s="2">
        <f>IF(A216="","",SUMPRODUCT((檢查項目!$A$2:$A$500=A216)*(檢查項目!$B$2:$B$500="")))</f>
        <v/>
      </c>
      <c r="L216" s="2">
        <f>IF(A216="","",SUMPRODUCT((檢查項目!$A$2:$A$500=A216)*(檢查項目!$B$2:$B$500&lt;&gt;""))+SUMPRODUCT((數值欄位!$A$2:$A$500=A216)*(數值欄位!$B$2:$B$500&lt;&gt;"")))</f>
        <v/>
      </c>
      <c r="M216" s="2">
        <f>IF(A216="","",IF(TRIM(IF(COUNTIF($A$2:$A$500,A216)&gt;1,"⚠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",""))="","✓",TRIM(IF(COUNTIF($A$2:$A$500,A216)&gt;1,"⚠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",""))))</f>
        <v/>
      </c>
    </row>
    <row r="217">
      <c r="I217" s="2">
        <f>IF(A217="","",IF(TRIM(D217)="","（分項工程層）",IF(TRIM(D217)="全部",_xlfn.TEXTJOIN("、",TRUE,單元!$A$2:$A$500),SUBSTITUTE(SUBSTITUTE(SUBSTITUTE(TRIM(D217),"，","、"),",","、")," ",""))))</f>
        <v/>
      </c>
      <c r="J217" s="2">
        <f>IF(A217="","",IF(TRIM(H217)="","施工前、施工中、施工後",SUBSTITUTE(SUBSTITUTE(SUBSTITUTE(TRIM(H217),"，","、"),",","、")," ","")))</f>
        <v/>
      </c>
      <c r="K217" s="2">
        <f>IF(A217="","",SUMPRODUCT((檢查項目!$A$2:$A$500=A217)*(檢查項目!$B$2:$B$500="")))</f>
        <v/>
      </c>
      <c r="L217" s="2">
        <f>IF(A217="","",SUMPRODUCT((檢查項目!$A$2:$A$500=A217)*(檢查項目!$B$2:$B$500&lt;&gt;""))+SUMPRODUCT((數值欄位!$A$2:$A$500=A217)*(數值欄位!$B$2:$B$500&lt;&gt;"")))</f>
        <v/>
      </c>
      <c r="M217" s="2">
        <f>IF(A217="","",IF(TRIM(IF(COUNTIF($A$2:$A$500,A217)&gt;1,"⚠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",""))="","✓",TRIM(IF(COUNTIF($A$2:$A$500,A217)&gt;1,"⚠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",""))))</f>
        <v/>
      </c>
    </row>
    <row r="218">
      <c r="I218" s="2">
        <f>IF(A218="","",IF(TRIM(D218)="","（分項工程層）",IF(TRIM(D218)="全部",_xlfn.TEXTJOIN("、",TRUE,單元!$A$2:$A$500),SUBSTITUTE(SUBSTITUTE(SUBSTITUTE(TRIM(D218),"，","、"),",","、")," ",""))))</f>
        <v/>
      </c>
      <c r="J218" s="2">
        <f>IF(A218="","",IF(TRIM(H218)="","施工前、施工中、施工後",SUBSTITUTE(SUBSTITUTE(SUBSTITUTE(TRIM(H218),"，","、"),",","、")," ","")))</f>
        <v/>
      </c>
      <c r="K218" s="2">
        <f>IF(A218="","",SUMPRODUCT((檢查項目!$A$2:$A$500=A218)*(檢查項目!$B$2:$B$500="")))</f>
        <v/>
      </c>
      <c r="L218" s="2">
        <f>IF(A218="","",SUMPRODUCT((檢查項目!$A$2:$A$500=A218)*(檢查項目!$B$2:$B$500&lt;&gt;""))+SUMPRODUCT((數值欄位!$A$2:$A$500=A218)*(數值欄位!$B$2:$B$500&lt;&gt;"")))</f>
        <v/>
      </c>
      <c r="M218" s="2">
        <f>IF(A218="","",IF(TRIM(IF(COUNTIF($A$2:$A$500,A218)&gt;1,"⚠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",""))="","✓",TRIM(IF(COUNTIF($A$2:$A$500,A218)&gt;1,"⚠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",""))))</f>
        <v/>
      </c>
    </row>
    <row r="219">
      <c r="I219" s="2">
        <f>IF(A219="","",IF(TRIM(D219)="","（分項工程層）",IF(TRIM(D219)="全部",_xlfn.TEXTJOIN("、",TRUE,單元!$A$2:$A$500),SUBSTITUTE(SUBSTITUTE(SUBSTITUTE(TRIM(D219),"，","、"),",","、")," ",""))))</f>
        <v/>
      </c>
      <c r="J219" s="2">
        <f>IF(A219="","",IF(TRIM(H219)="","施工前、施工中、施工後",SUBSTITUTE(SUBSTITUTE(SUBSTITUTE(TRIM(H219),"，","、"),",","、")," ","")))</f>
        <v/>
      </c>
      <c r="K219" s="2">
        <f>IF(A219="","",SUMPRODUCT((檢查項目!$A$2:$A$500=A219)*(檢查項目!$B$2:$B$500="")))</f>
        <v/>
      </c>
      <c r="L219" s="2">
        <f>IF(A219="","",SUMPRODUCT((檢查項目!$A$2:$A$500=A219)*(檢查項目!$B$2:$B$500&lt;&gt;""))+SUMPRODUCT((數值欄位!$A$2:$A$500=A219)*(數值欄位!$B$2:$B$500&lt;&gt;"")))</f>
        <v/>
      </c>
      <c r="M219" s="2">
        <f>IF(A219="","",IF(TRIM(IF(COUNTIF($A$2:$A$500,A219)&gt;1,"⚠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",""))="","✓",TRIM(IF(COUNTIF($A$2:$A$500,A219)&gt;1,"⚠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",""))))</f>
        <v/>
      </c>
    </row>
    <row r="220">
      <c r="I220" s="2">
        <f>IF(A220="","",IF(TRIM(D220)="","（分項工程層）",IF(TRIM(D220)="全部",_xlfn.TEXTJOIN("、",TRUE,單元!$A$2:$A$500),SUBSTITUTE(SUBSTITUTE(SUBSTITUTE(TRIM(D220),"，","、"),",","、")," ",""))))</f>
        <v/>
      </c>
      <c r="J220" s="2">
        <f>IF(A220="","",IF(TRIM(H220)="","施工前、施工中、施工後",SUBSTITUTE(SUBSTITUTE(SUBSTITUTE(TRIM(H220),"，","、"),",","、")," ","")))</f>
        <v/>
      </c>
      <c r="K220" s="2">
        <f>IF(A220="","",SUMPRODUCT((檢查項目!$A$2:$A$500=A220)*(檢查項目!$B$2:$B$500="")))</f>
        <v/>
      </c>
      <c r="L220" s="2">
        <f>IF(A220="","",SUMPRODUCT((檢查項目!$A$2:$A$500=A220)*(檢查項目!$B$2:$B$500&lt;&gt;""))+SUMPRODUCT((數值欄位!$A$2:$A$500=A220)*(數值欄位!$B$2:$B$500&lt;&gt;"")))</f>
        <v/>
      </c>
      <c r="M220" s="2">
        <f>IF(A220="","",IF(TRIM(IF(COUNTIF($A$2:$A$500,A220)&gt;1,"⚠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",""))="","✓",TRIM(IF(COUNTIF($A$2:$A$500,A220)&gt;1,"⚠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",""))))</f>
        <v/>
      </c>
    </row>
    <row r="221">
      <c r="I221" s="2">
        <f>IF(A221="","",IF(TRIM(D221)="","（分項工程層）",IF(TRIM(D221)="全部",_xlfn.TEXTJOIN("、",TRUE,單元!$A$2:$A$500),SUBSTITUTE(SUBSTITUTE(SUBSTITUTE(TRIM(D221),"，","、"),",","、")," ",""))))</f>
        <v/>
      </c>
      <c r="J221" s="2">
        <f>IF(A221="","",IF(TRIM(H221)="","施工前、施工中、施工後",SUBSTITUTE(SUBSTITUTE(SUBSTITUTE(TRIM(H221),"，","、"),",","、")," ","")))</f>
        <v/>
      </c>
      <c r="K221" s="2">
        <f>IF(A221="","",SUMPRODUCT((檢查項目!$A$2:$A$500=A221)*(檢查項目!$B$2:$B$500="")))</f>
        <v/>
      </c>
      <c r="L221" s="2">
        <f>IF(A221="","",SUMPRODUCT((檢查項目!$A$2:$A$500=A221)*(檢查項目!$B$2:$B$500&lt;&gt;""))+SUMPRODUCT((數值欄位!$A$2:$A$500=A221)*(數值欄位!$B$2:$B$500&lt;&gt;"")))</f>
        <v/>
      </c>
      <c r="M221" s="2">
        <f>IF(A221="","",IF(TRIM(IF(COUNTIF($A$2:$A$500,A221)&gt;1,"⚠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",""))="","✓",TRIM(IF(COUNTIF($A$2:$A$500,A221)&gt;1,"⚠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",""))))</f>
        <v/>
      </c>
    </row>
    <row r="222">
      <c r="I222" s="2">
        <f>IF(A222="","",IF(TRIM(D222)="","（分項工程層）",IF(TRIM(D222)="全部",_xlfn.TEXTJOIN("、",TRUE,單元!$A$2:$A$500),SUBSTITUTE(SUBSTITUTE(SUBSTITUTE(TRIM(D222),"，","、"),",","、")," ",""))))</f>
        <v/>
      </c>
      <c r="J222" s="2">
        <f>IF(A222="","",IF(TRIM(H222)="","施工前、施工中、施工後",SUBSTITUTE(SUBSTITUTE(SUBSTITUTE(TRIM(H222),"，","、"),",","、")," ","")))</f>
        <v/>
      </c>
      <c r="K222" s="2">
        <f>IF(A222="","",SUMPRODUCT((檢查項目!$A$2:$A$500=A222)*(檢查項目!$B$2:$B$500="")))</f>
        <v/>
      </c>
      <c r="L222" s="2">
        <f>IF(A222="","",SUMPRODUCT((檢查項目!$A$2:$A$500=A222)*(檢查項目!$B$2:$B$500&lt;&gt;""))+SUMPRODUCT((數值欄位!$A$2:$A$500=A222)*(數值欄位!$B$2:$B$500&lt;&gt;"")))</f>
        <v/>
      </c>
      <c r="M222" s="2">
        <f>IF(A222="","",IF(TRIM(IF(COUNTIF($A$2:$A$500,A222)&gt;1,"⚠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",""))="","✓",TRIM(IF(COUNTIF($A$2:$A$500,A222)&gt;1,"⚠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",""))))</f>
        <v/>
      </c>
    </row>
    <row r="223">
      <c r="I223" s="2">
        <f>IF(A223="","",IF(TRIM(D223)="","（分項工程層）",IF(TRIM(D223)="全部",_xlfn.TEXTJOIN("、",TRUE,單元!$A$2:$A$500),SUBSTITUTE(SUBSTITUTE(SUBSTITUTE(TRIM(D223),"，","、"),",","、")," ",""))))</f>
        <v/>
      </c>
      <c r="J223" s="2">
        <f>IF(A223="","",IF(TRIM(H223)="","施工前、施工中、施工後",SUBSTITUTE(SUBSTITUTE(SUBSTITUTE(TRIM(H223),"，","、"),",","、")," ","")))</f>
        <v/>
      </c>
      <c r="K223" s="2">
        <f>IF(A223="","",SUMPRODUCT((檢查項目!$A$2:$A$500=A223)*(檢查項目!$B$2:$B$500="")))</f>
        <v/>
      </c>
      <c r="L223" s="2">
        <f>IF(A223="","",SUMPRODUCT((檢查項目!$A$2:$A$500=A223)*(檢查項目!$B$2:$B$500&lt;&gt;""))+SUMPRODUCT((數值欄位!$A$2:$A$500=A223)*(數值欄位!$B$2:$B$500&lt;&gt;"")))</f>
        <v/>
      </c>
      <c r="M223" s="2">
        <f>IF(A223="","",IF(TRIM(IF(COUNTIF($A$2:$A$500,A223)&gt;1,"⚠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",""))="","✓",TRIM(IF(COUNTIF($A$2:$A$500,A223)&gt;1,"⚠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",""))))</f>
        <v/>
      </c>
    </row>
    <row r="224">
      <c r="I224" s="2">
        <f>IF(A224="","",IF(TRIM(D224)="","（分項工程層）",IF(TRIM(D224)="全部",_xlfn.TEXTJOIN("、",TRUE,單元!$A$2:$A$500),SUBSTITUTE(SUBSTITUTE(SUBSTITUTE(TRIM(D224),"，","、"),",","、")," ",""))))</f>
        <v/>
      </c>
      <c r="J224" s="2">
        <f>IF(A224="","",IF(TRIM(H224)="","施工前、施工中、施工後",SUBSTITUTE(SUBSTITUTE(SUBSTITUTE(TRIM(H224),"，","、"),",","、")," ","")))</f>
        <v/>
      </c>
      <c r="K224" s="2">
        <f>IF(A224="","",SUMPRODUCT((檢查項目!$A$2:$A$500=A224)*(檢查項目!$B$2:$B$500="")))</f>
        <v/>
      </c>
      <c r="L224" s="2">
        <f>IF(A224="","",SUMPRODUCT((檢查項目!$A$2:$A$500=A224)*(檢查項目!$B$2:$B$500&lt;&gt;""))+SUMPRODUCT((數值欄位!$A$2:$A$500=A224)*(數值欄位!$B$2:$B$500&lt;&gt;"")))</f>
        <v/>
      </c>
      <c r="M224" s="2">
        <f>IF(A224="","",IF(TRIM(IF(COUNTIF($A$2:$A$500,A224)&gt;1,"⚠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",""))="","✓",TRIM(IF(COUNTIF($A$2:$A$500,A224)&gt;1,"⚠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",""))))</f>
        <v/>
      </c>
    </row>
    <row r="225">
      <c r="I225" s="2">
        <f>IF(A225="","",IF(TRIM(D225)="","（分項工程層）",IF(TRIM(D225)="全部",_xlfn.TEXTJOIN("、",TRUE,單元!$A$2:$A$500),SUBSTITUTE(SUBSTITUTE(SUBSTITUTE(TRIM(D225),"，","、"),",","、")," ",""))))</f>
        <v/>
      </c>
      <c r="J225" s="2">
        <f>IF(A225="","",IF(TRIM(H225)="","施工前、施工中、施工後",SUBSTITUTE(SUBSTITUTE(SUBSTITUTE(TRIM(H225),"，","、"),",","、")," ","")))</f>
        <v/>
      </c>
      <c r="K225" s="2">
        <f>IF(A225="","",SUMPRODUCT((檢查項目!$A$2:$A$500=A225)*(檢查項目!$B$2:$B$500="")))</f>
        <v/>
      </c>
      <c r="L225" s="2">
        <f>IF(A225="","",SUMPRODUCT((檢查項目!$A$2:$A$500=A225)*(檢查項目!$B$2:$B$500&lt;&gt;""))+SUMPRODUCT((數值欄位!$A$2:$A$500=A225)*(數值欄位!$B$2:$B$500&lt;&gt;"")))</f>
        <v/>
      </c>
      <c r="M225" s="2">
        <f>IF(A225="","",IF(TRIM(IF(COUNTIF($A$2:$A$500,A225)&gt;1,"⚠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",""))="","✓",TRIM(IF(COUNTIF($A$2:$A$500,A225)&gt;1,"⚠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",""))))</f>
        <v/>
      </c>
    </row>
    <row r="226">
      <c r="I226" s="2">
        <f>IF(A226="","",IF(TRIM(D226)="","（分項工程層）",IF(TRIM(D226)="全部",_xlfn.TEXTJOIN("、",TRUE,單元!$A$2:$A$500),SUBSTITUTE(SUBSTITUTE(SUBSTITUTE(TRIM(D226),"，","、"),",","、")," ",""))))</f>
        <v/>
      </c>
      <c r="J226" s="2">
        <f>IF(A226="","",IF(TRIM(H226)="","施工前、施工中、施工後",SUBSTITUTE(SUBSTITUTE(SUBSTITUTE(TRIM(H226),"，","、"),",","、")," ","")))</f>
        <v/>
      </c>
      <c r="K226" s="2">
        <f>IF(A226="","",SUMPRODUCT((檢查項目!$A$2:$A$500=A226)*(檢查項目!$B$2:$B$500="")))</f>
        <v/>
      </c>
      <c r="L226" s="2">
        <f>IF(A226="","",SUMPRODUCT((檢查項目!$A$2:$A$500=A226)*(檢查項目!$B$2:$B$500&lt;&gt;""))+SUMPRODUCT((數值欄位!$A$2:$A$500=A226)*(數值欄位!$B$2:$B$500&lt;&gt;"")))</f>
        <v/>
      </c>
      <c r="M226" s="2">
        <f>IF(A226="","",IF(TRIM(IF(COUNTIF($A$2:$A$500,A226)&gt;1,"⚠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",""))="","✓",TRIM(IF(COUNTIF($A$2:$A$500,A226)&gt;1,"⚠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",""))))</f>
        <v/>
      </c>
    </row>
    <row r="227">
      <c r="I227" s="2">
        <f>IF(A227="","",IF(TRIM(D227)="","（分項工程層）",IF(TRIM(D227)="全部",_xlfn.TEXTJOIN("、",TRUE,單元!$A$2:$A$500),SUBSTITUTE(SUBSTITUTE(SUBSTITUTE(TRIM(D227),"，","、"),",","、")," ",""))))</f>
        <v/>
      </c>
      <c r="J227" s="2">
        <f>IF(A227="","",IF(TRIM(H227)="","施工前、施工中、施工後",SUBSTITUTE(SUBSTITUTE(SUBSTITUTE(TRIM(H227),"，","、"),",","、")," ","")))</f>
        <v/>
      </c>
      <c r="K227" s="2">
        <f>IF(A227="","",SUMPRODUCT((檢查項目!$A$2:$A$500=A227)*(檢查項目!$B$2:$B$500="")))</f>
        <v/>
      </c>
      <c r="L227" s="2">
        <f>IF(A227="","",SUMPRODUCT((檢查項目!$A$2:$A$500=A227)*(檢查項目!$B$2:$B$500&lt;&gt;""))+SUMPRODUCT((數值欄位!$A$2:$A$500=A227)*(數值欄位!$B$2:$B$500&lt;&gt;"")))</f>
        <v/>
      </c>
      <c r="M227" s="2">
        <f>IF(A227="","",IF(TRIM(IF(COUNTIF($A$2:$A$500,A227)&gt;1,"⚠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",""))="","✓",TRIM(IF(COUNTIF($A$2:$A$500,A227)&gt;1,"⚠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",""))))</f>
        <v/>
      </c>
    </row>
    <row r="228">
      <c r="I228" s="2">
        <f>IF(A228="","",IF(TRIM(D228)="","（分項工程層）",IF(TRIM(D228)="全部",_xlfn.TEXTJOIN("、",TRUE,單元!$A$2:$A$500),SUBSTITUTE(SUBSTITUTE(SUBSTITUTE(TRIM(D228),"，","、"),",","、")," ",""))))</f>
        <v/>
      </c>
      <c r="J228" s="2">
        <f>IF(A228="","",IF(TRIM(H228)="","施工前、施工中、施工後",SUBSTITUTE(SUBSTITUTE(SUBSTITUTE(TRIM(H228),"，","、"),",","、")," ","")))</f>
        <v/>
      </c>
      <c r="K228" s="2">
        <f>IF(A228="","",SUMPRODUCT((檢查項目!$A$2:$A$500=A228)*(檢查項目!$B$2:$B$500="")))</f>
        <v/>
      </c>
      <c r="L228" s="2">
        <f>IF(A228="","",SUMPRODUCT((檢查項目!$A$2:$A$500=A228)*(檢查項目!$B$2:$B$500&lt;&gt;""))+SUMPRODUCT((數值欄位!$A$2:$A$500=A228)*(數值欄位!$B$2:$B$500&lt;&gt;"")))</f>
        <v/>
      </c>
      <c r="M228" s="2">
        <f>IF(A228="","",IF(TRIM(IF(COUNTIF($A$2:$A$500,A228)&gt;1,"⚠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",""))="","✓",TRIM(IF(COUNTIF($A$2:$A$500,A228)&gt;1,"⚠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",""))))</f>
        <v/>
      </c>
    </row>
    <row r="229">
      <c r="I229" s="2">
        <f>IF(A229="","",IF(TRIM(D229)="","（分項工程層）",IF(TRIM(D229)="全部",_xlfn.TEXTJOIN("、",TRUE,單元!$A$2:$A$500),SUBSTITUTE(SUBSTITUTE(SUBSTITUTE(TRIM(D229),"，","、"),",","、")," ",""))))</f>
        <v/>
      </c>
      <c r="J229" s="2">
        <f>IF(A229="","",IF(TRIM(H229)="","施工前、施工中、施工後",SUBSTITUTE(SUBSTITUTE(SUBSTITUTE(TRIM(H229),"，","、"),",","、")," ","")))</f>
        <v/>
      </c>
      <c r="K229" s="2">
        <f>IF(A229="","",SUMPRODUCT((檢查項目!$A$2:$A$500=A229)*(檢查項目!$B$2:$B$500="")))</f>
        <v/>
      </c>
      <c r="L229" s="2">
        <f>IF(A229="","",SUMPRODUCT((檢查項目!$A$2:$A$500=A229)*(檢查項目!$B$2:$B$500&lt;&gt;""))+SUMPRODUCT((數值欄位!$A$2:$A$500=A229)*(數值欄位!$B$2:$B$500&lt;&gt;"")))</f>
        <v/>
      </c>
      <c r="M229" s="2">
        <f>IF(A229="","",IF(TRIM(IF(COUNTIF($A$2:$A$500,A229)&gt;1,"⚠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",""))="","✓",TRIM(IF(COUNTIF($A$2:$A$500,A229)&gt;1,"⚠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",""))))</f>
        <v/>
      </c>
    </row>
    <row r="230">
      <c r="I230" s="2">
        <f>IF(A230="","",IF(TRIM(D230)="","（分項工程層）",IF(TRIM(D230)="全部",_xlfn.TEXTJOIN("、",TRUE,單元!$A$2:$A$500),SUBSTITUTE(SUBSTITUTE(SUBSTITUTE(TRIM(D230),"，","、"),",","、")," ",""))))</f>
        <v/>
      </c>
      <c r="J230" s="2">
        <f>IF(A230="","",IF(TRIM(H230)="","施工前、施工中、施工後",SUBSTITUTE(SUBSTITUTE(SUBSTITUTE(TRIM(H230),"，","、"),",","、")," ","")))</f>
        <v/>
      </c>
      <c r="K230" s="2">
        <f>IF(A230="","",SUMPRODUCT((檢查項目!$A$2:$A$500=A230)*(檢查項目!$B$2:$B$500="")))</f>
        <v/>
      </c>
      <c r="L230" s="2">
        <f>IF(A230="","",SUMPRODUCT((檢查項目!$A$2:$A$500=A230)*(檢查項目!$B$2:$B$500&lt;&gt;""))+SUMPRODUCT((數值欄位!$A$2:$A$500=A230)*(數值欄位!$B$2:$B$500&lt;&gt;"")))</f>
        <v/>
      </c>
      <c r="M230" s="2">
        <f>IF(A230="","",IF(TRIM(IF(COUNTIF($A$2:$A$500,A230)&gt;1,"⚠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",""))="","✓",TRIM(IF(COUNTIF($A$2:$A$500,A230)&gt;1,"⚠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",""))))</f>
        <v/>
      </c>
    </row>
    <row r="231">
      <c r="I231" s="2">
        <f>IF(A231="","",IF(TRIM(D231)="","（分項工程層）",IF(TRIM(D231)="全部",_xlfn.TEXTJOIN("、",TRUE,單元!$A$2:$A$500),SUBSTITUTE(SUBSTITUTE(SUBSTITUTE(TRIM(D231),"，","、"),",","、")," ",""))))</f>
        <v/>
      </c>
      <c r="J231" s="2">
        <f>IF(A231="","",IF(TRIM(H231)="","施工前、施工中、施工後",SUBSTITUTE(SUBSTITUTE(SUBSTITUTE(TRIM(H231),"，","、"),",","、")," ","")))</f>
        <v/>
      </c>
      <c r="K231" s="2">
        <f>IF(A231="","",SUMPRODUCT((檢查項目!$A$2:$A$500=A231)*(檢查項目!$B$2:$B$500="")))</f>
        <v/>
      </c>
      <c r="L231" s="2">
        <f>IF(A231="","",SUMPRODUCT((檢查項目!$A$2:$A$500=A231)*(檢查項目!$B$2:$B$500&lt;&gt;""))+SUMPRODUCT((數值欄位!$A$2:$A$500=A231)*(數值欄位!$B$2:$B$500&lt;&gt;"")))</f>
        <v/>
      </c>
      <c r="M231" s="2">
        <f>IF(A231="","",IF(TRIM(IF(COUNTIF($A$2:$A$500,A231)&gt;1,"⚠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",""))="","✓",TRIM(IF(COUNTIF($A$2:$A$500,A231)&gt;1,"⚠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",""))))</f>
        <v/>
      </c>
    </row>
    <row r="232">
      <c r="I232" s="2">
        <f>IF(A232="","",IF(TRIM(D232)="","（分項工程層）",IF(TRIM(D232)="全部",_xlfn.TEXTJOIN("、",TRUE,單元!$A$2:$A$500),SUBSTITUTE(SUBSTITUTE(SUBSTITUTE(TRIM(D232),"，","、"),",","、")," ",""))))</f>
        <v/>
      </c>
      <c r="J232" s="2">
        <f>IF(A232="","",IF(TRIM(H232)="","施工前、施工中、施工後",SUBSTITUTE(SUBSTITUTE(SUBSTITUTE(TRIM(H232),"，","、"),",","、")," ","")))</f>
        <v/>
      </c>
      <c r="K232" s="2">
        <f>IF(A232="","",SUMPRODUCT((檢查項目!$A$2:$A$500=A232)*(檢查項目!$B$2:$B$500="")))</f>
        <v/>
      </c>
      <c r="L232" s="2">
        <f>IF(A232="","",SUMPRODUCT((檢查項目!$A$2:$A$500=A232)*(檢查項目!$B$2:$B$500&lt;&gt;""))+SUMPRODUCT((數值欄位!$A$2:$A$500=A232)*(數值欄位!$B$2:$B$500&lt;&gt;"")))</f>
        <v/>
      </c>
      <c r="M232" s="2">
        <f>IF(A232="","",IF(TRIM(IF(COUNTIF($A$2:$A$500,A232)&gt;1,"⚠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",""))="","✓",TRIM(IF(COUNTIF($A$2:$A$500,A232)&gt;1,"⚠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",""))))</f>
        <v/>
      </c>
    </row>
    <row r="233">
      <c r="I233" s="2">
        <f>IF(A233="","",IF(TRIM(D233)="","（分項工程層）",IF(TRIM(D233)="全部",_xlfn.TEXTJOIN("、",TRUE,單元!$A$2:$A$500),SUBSTITUTE(SUBSTITUTE(SUBSTITUTE(TRIM(D233),"，","、"),",","、")," ",""))))</f>
        <v/>
      </c>
      <c r="J233" s="2">
        <f>IF(A233="","",IF(TRIM(H233)="","施工前、施工中、施工後",SUBSTITUTE(SUBSTITUTE(SUBSTITUTE(TRIM(H233),"，","、"),",","、")," ","")))</f>
        <v/>
      </c>
      <c r="K233" s="2">
        <f>IF(A233="","",SUMPRODUCT((檢查項目!$A$2:$A$500=A233)*(檢查項目!$B$2:$B$500="")))</f>
        <v/>
      </c>
      <c r="L233" s="2">
        <f>IF(A233="","",SUMPRODUCT((檢查項目!$A$2:$A$500=A233)*(檢查項目!$B$2:$B$500&lt;&gt;""))+SUMPRODUCT((數值欄位!$A$2:$A$500=A233)*(數值欄位!$B$2:$B$500&lt;&gt;"")))</f>
        <v/>
      </c>
      <c r="M233" s="2">
        <f>IF(A233="","",IF(TRIM(IF(COUNTIF($A$2:$A$500,A233)&gt;1,"⚠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",""))="","✓",TRIM(IF(COUNTIF($A$2:$A$500,A233)&gt;1,"⚠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",""))))</f>
        <v/>
      </c>
    </row>
    <row r="234">
      <c r="I234" s="2">
        <f>IF(A234="","",IF(TRIM(D234)="","（分項工程層）",IF(TRIM(D234)="全部",_xlfn.TEXTJOIN("、",TRUE,單元!$A$2:$A$500),SUBSTITUTE(SUBSTITUTE(SUBSTITUTE(TRIM(D234),"，","、"),",","、")," ",""))))</f>
        <v/>
      </c>
      <c r="J234" s="2">
        <f>IF(A234="","",IF(TRIM(H234)="","施工前、施工中、施工後",SUBSTITUTE(SUBSTITUTE(SUBSTITUTE(TRIM(H234),"，","、"),",","、")," ","")))</f>
        <v/>
      </c>
      <c r="K234" s="2">
        <f>IF(A234="","",SUMPRODUCT((檢查項目!$A$2:$A$500=A234)*(檢查項目!$B$2:$B$500="")))</f>
        <v/>
      </c>
      <c r="L234" s="2">
        <f>IF(A234="","",SUMPRODUCT((檢查項目!$A$2:$A$500=A234)*(檢查項目!$B$2:$B$500&lt;&gt;""))+SUMPRODUCT((數值欄位!$A$2:$A$500=A234)*(數值欄位!$B$2:$B$500&lt;&gt;"")))</f>
        <v/>
      </c>
      <c r="M234" s="2">
        <f>IF(A234="","",IF(TRIM(IF(COUNTIF($A$2:$A$500,A234)&gt;1,"⚠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",""))="","✓",TRIM(IF(COUNTIF($A$2:$A$500,A234)&gt;1,"⚠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",""))))</f>
        <v/>
      </c>
    </row>
    <row r="235">
      <c r="I235" s="2">
        <f>IF(A235="","",IF(TRIM(D235)="","（分項工程層）",IF(TRIM(D235)="全部",_xlfn.TEXTJOIN("、",TRUE,單元!$A$2:$A$500),SUBSTITUTE(SUBSTITUTE(SUBSTITUTE(TRIM(D235),"，","、"),",","、")," ",""))))</f>
        <v/>
      </c>
      <c r="J235" s="2">
        <f>IF(A235="","",IF(TRIM(H235)="","施工前、施工中、施工後",SUBSTITUTE(SUBSTITUTE(SUBSTITUTE(TRIM(H235),"，","、"),",","、")," ","")))</f>
        <v/>
      </c>
      <c r="K235" s="2">
        <f>IF(A235="","",SUMPRODUCT((檢查項目!$A$2:$A$500=A235)*(檢查項目!$B$2:$B$500="")))</f>
        <v/>
      </c>
      <c r="L235" s="2">
        <f>IF(A235="","",SUMPRODUCT((檢查項目!$A$2:$A$500=A235)*(檢查項目!$B$2:$B$500&lt;&gt;""))+SUMPRODUCT((數值欄位!$A$2:$A$500=A235)*(數值欄位!$B$2:$B$500&lt;&gt;"")))</f>
        <v/>
      </c>
      <c r="M235" s="2">
        <f>IF(A235="","",IF(TRIM(IF(COUNTIF($A$2:$A$500,A235)&gt;1,"⚠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",""))="","✓",TRIM(IF(COUNTIF($A$2:$A$500,A235)&gt;1,"⚠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",""))))</f>
        <v/>
      </c>
    </row>
    <row r="236">
      <c r="I236" s="2">
        <f>IF(A236="","",IF(TRIM(D236)="","（分項工程層）",IF(TRIM(D236)="全部",_xlfn.TEXTJOIN("、",TRUE,單元!$A$2:$A$500),SUBSTITUTE(SUBSTITUTE(SUBSTITUTE(TRIM(D236),"，","、"),",","、")," ",""))))</f>
        <v/>
      </c>
      <c r="J236" s="2">
        <f>IF(A236="","",IF(TRIM(H236)="","施工前、施工中、施工後",SUBSTITUTE(SUBSTITUTE(SUBSTITUTE(TRIM(H236),"，","、"),",","、")," ","")))</f>
        <v/>
      </c>
      <c r="K236" s="2">
        <f>IF(A236="","",SUMPRODUCT((檢查項目!$A$2:$A$500=A236)*(檢查項目!$B$2:$B$500="")))</f>
        <v/>
      </c>
      <c r="L236" s="2">
        <f>IF(A236="","",SUMPRODUCT((檢查項目!$A$2:$A$500=A236)*(檢查項目!$B$2:$B$500&lt;&gt;""))+SUMPRODUCT((數值欄位!$A$2:$A$500=A236)*(數值欄位!$B$2:$B$500&lt;&gt;"")))</f>
        <v/>
      </c>
      <c r="M236" s="2">
        <f>IF(A236="","",IF(TRIM(IF(COUNTIF($A$2:$A$500,A236)&gt;1,"⚠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",""))="","✓",TRIM(IF(COUNTIF($A$2:$A$500,A236)&gt;1,"⚠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",""))))</f>
        <v/>
      </c>
    </row>
    <row r="237">
      <c r="I237" s="2">
        <f>IF(A237="","",IF(TRIM(D237)="","（分項工程層）",IF(TRIM(D237)="全部",_xlfn.TEXTJOIN("、",TRUE,單元!$A$2:$A$500),SUBSTITUTE(SUBSTITUTE(SUBSTITUTE(TRIM(D237),"，","、"),",","、")," ",""))))</f>
        <v/>
      </c>
      <c r="J237" s="2">
        <f>IF(A237="","",IF(TRIM(H237)="","施工前、施工中、施工後",SUBSTITUTE(SUBSTITUTE(SUBSTITUTE(TRIM(H237),"，","、"),",","、")," ","")))</f>
        <v/>
      </c>
      <c r="K237" s="2">
        <f>IF(A237="","",SUMPRODUCT((檢查項目!$A$2:$A$500=A237)*(檢查項目!$B$2:$B$500="")))</f>
        <v/>
      </c>
      <c r="L237" s="2">
        <f>IF(A237="","",SUMPRODUCT((檢查項目!$A$2:$A$500=A237)*(檢查項目!$B$2:$B$500&lt;&gt;""))+SUMPRODUCT((數值欄位!$A$2:$A$500=A237)*(數值欄位!$B$2:$B$500&lt;&gt;"")))</f>
        <v/>
      </c>
      <c r="M237" s="2">
        <f>IF(A237="","",IF(TRIM(IF(COUNTIF($A$2:$A$500,A237)&gt;1,"⚠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",""))="","✓",TRIM(IF(COUNTIF($A$2:$A$500,A237)&gt;1,"⚠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",""))))</f>
        <v/>
      </c>
    </row>
    <row r="238">
      <c r="I238" s="2">
        <f>IF(A238="","",IF(TRIM(D238)="","（分項工程層）",IF(TRIM(D238)="全部",_xlfn.TEXTJOIN("、",TRUE,單元!$A$2:$A$500),SUBSTITUTE(SUBSTITUTE(SUBSTITUTE(TRIM(D238),"，","、"),",","、")," ",""))))</f>
        <v/>
      </c>
      <c r="J238" s="2">
        <f>IF(A238="","",IF(TRIM(H238)="","施工前、施工中、施工後",SUBSTITUTE(SUBSTITUTE(SUBSTITUTE(TRIM(H238),"，","、"),",","、")," ","")))</f>
        <v/>
      </c>
      <c r="K238" s="2">
        <f>IF(A238="","",SUMPRODUCT((檢查項目!$A$2:$A$500=A238)*(檢查項目!$B$2:$B$500="")))</f>
        <v/>
      </c>
      <c r="L238" s="2">
        <f>IF(A238="","",SUMPRODUCT((檢查項目!$A$2:$A$500=A238)*(檢查項目!$B$2:$B$500&lt;&gt;""))+SUMPRODUCT((數值欄位!$A$2:$A$500=A238)*(數值欄位!$B$2:$B$500&lt;&gt;"")))</f>
        <v/>
      </c>
      <c r="M238" s="2">
        <f>IF(A238="","",IF(TRIM(IF(COUNTIF($A$2:$A$500,A238)&gt;1,"⚠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",""))="","✓",TRIM(IF(COUNTIF($A$2:$A$500,A238)&gt;1,"⚠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",""))))</f>
        <v/>
      </c>
    </row>
    <row r="239">
      <c r="I239" s="2">
        <f>IF(A239="","",IF(TRIM(D239)="","（分項工程層）",IF(TRIM(D239)="全部",_xlfn.TEXTJOIN("、",TRUE,單元!$A$2:$A$500),SUBSTITUTE(SUBSTITUTE(SUBSTITUTE(TRIM(D239),"，","、"),",","、")," ",""))))</f>
        <v/>
      </c>
      <c r="J239" s="2">
        <f>IF(A239="","",IF(TRIM(H239)="","施工前、施工中、施工後",SUBSTITUTE(SUBSTITUTE(SUBSTITUTE(TRIM(H239),"，","、"),",","、")," ","")))</f>
        <v/>
      </c>
      <c r="K239" s="2">
        <f>IF(A239="","",SUMPRODUCT((檢查項目!$A$2:$A$500=A239)*(檢查項目!$B$2:$B$500="")))</f>
        <v/>
      </c>
      <c r="L239" s="2">
        <f>IF(A239="","",SUMPRODUCT((檢查項目!$A$2:$A$500=A239)*(檢查項目!$B$2:$B$500&lt;&gt;""))+SUMPRODUCT((數值欄位!$A$2:$A$500=A239)*(數值欄位!$B$2:$B$500&lt;&gt;"")))</f>
        <v/>
      </c>
      <c r="M239" s="2">
        <f>IF(A239="","",IF(TRIM(IF(COUNTIF($A$2:$A$500,A239)&gt;1,"⚠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",""))="","✓",TRIM(IF(COUNTIF($A$2:$A$500,A239)&gt;1,"⚠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",""))))</f>
        <v/>
      </c>
    </row>
    <row r="240">
      <c r="I240" s="2">
        <f>IF(A240="","",IF(TRIM(D240)="","（分項工程層）",IF(TRIM(D240)="全部",_xlfn.TEXTJOIN("、",TRUE,單元!$A$2:$A$500),SUBSTITUTE(SUBSTITUTE(SUBSTITUTE(TRIM(D240),"，","、"),",","、")," ",""))))</f>
        <v/>
      </c>
      <c r="J240" s="2">
        <f>IF(A240="","",IF(TRIM(H240)="","施工前、施工中、施工後",SUBSTITUTE(SUBSTITUTE(SUBSTITUTE(TRIM(H240),"，","、"),",","、")," ","")))</f>
        <v/>
      </c>
      <c r="K240" s="2">
        <f>IF(A240="","",SUMPRODUCT((檢查項目!$A$2:$A$500=A240)*(檢查項目!$B$2:$B$500="")))</f>
        <v/>
      </c>
      <c r="L240" s="2">
        <f>IF(A240="","",SUMPRODUCT((檢查項目!$A$2:$A$500=A240)*(檢查項目!$B$2:$B$500&lt;&gt;""))+SUMPRODUCT((數值欄位!$A$2:$A$500=A240)*(數值欄位!$B$2:$B$500&lt;&gt;"")))</f>
        <v/>
      </c>
      <c r="M240" s="2">
        <f>IF(A240="","",IF(TRIM(IF(COUNTIF($A$2:$A$500,A240)&gt;1,"⚠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",""))="","✓",TRIM(IF(COUNTIF($A$2:$A$500,A240)&gt;1,"⚠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",""))))</f>
        <v/>
      </c>
    </row>
    <row r="241">
      <c r="I241" s="2">
        <f>IF(A241="","",IF(TRIM(D241)="","（分項工程層）",IF(TRIM(D241)="全部",_xlfn.TEXTJOIN("、",TRUE,單元!$A$2:$A$500),SUBSTITUTE(SUBSTITUTE(SUBSTITUTE(TRIM(D241),"，","、"),",","、")," ",""))))</f>
        <v/>
      </c>
      <c r="J241" s="2">
        <f>IF(A241="","",IF(TRIM(H241)="","施工前、施工中、施工後",SUBSTITUTE(SUBSTITUTE(SUBSTITUTE(TRIM(H241),"，","、"),",","、")," ","")))</f>
        <v/>
      </c>
      <c r="K241" s="2">
        <f>IF(A241="","",SUMPRODUCT((檢查項目!$A$2:$A$500=A241)*(檢查項目!$B$2:$B$500="")))</f>
        <v/>
      </c>
      <c r="L241" s="2">
        <f>IF(A241="","",SUMPRODUCT((檢查項目!$A$2:$A$500=A241)*(檢查項目!$B$2:$B$500&lt;&gt;""))+SUMPRODUCT((數值欄位!$A$2:$A$500=A241)*(數值欄位!$B$2:$B$500&lt;&gt;"")))</f>
        <v/>
      </c>
      <c r="M241" s="2">
        <f>IF(A241="","",IF(TRIM(IF(COUNTIF($A$2:$A$500,A241)&gt;1,"⚠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",""))="","✓",TRIM(IF(COUNTIF($A$2:$A$500,A241)&gt;1,"⚠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",""))))</f>
        <v/>
      </c>
    </row>
    <row r="242">
      <c r="I242" s="2">
        <f>IF(A242="","",IF(TRIM(D242)="","（分項工程層）",IF(TRIM(D242)="全部",_xlfn.TEXTJOIN("、",TRUE,單元!$A$2:$A$500),SUBSTITUTE(SUBSTITUTE(SUBSTITUTE(TRIM(D242),"，","、"),",","、")," ",""))))</f>
        <v/>
      </c>
      <c r="J242" s="2">
        <f>IF(A242="","",IF(TRIM(H242)="","施工前、施工中、施工後",SUBSTITUTE(SUBSTITUTE(SUBSTITUTE(TRIM(H242),"，","、"),",","、")," ","")))</f>
        <v/>
      </c>
      <c r="K242" s="2">
        <f>IF(A242="","",SUMPRODUCT((檢查項目!$A$2:$A$500=A242)*(檢查項目!$B$2:$B$500="")))</f>
        <v/>
      </c>
      <c r="L242" s="2">
        <f>IF(A242="","",SUMPRODUCT((檢查項目!$A$2:$A$500=A242)*(檢查項目!$B$2:$B$500&lt;&gt;""))+SUMPRODUCT((數值欄位!$A$2:$A$500=A242)*(數值欄位!$B$2:$B$500&lt;&gt;"")))</f>
        <v/>
      </c>
      <c r="M242" s="2">
        <f>IF(A242="","",IF(TRIM(IF(COUNTIF($A$2:$A$500,A242)&gt;1,"⚠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",""))="","✓",TRIM(IF(COUNTIF($A$2:$A$500,A242)&gt;1,"⚠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",""))))</f>
        <v/>
      </c>
    </row>
    <row r="243">
      <c r="I243" s="2">
        <f>IF(A243="","",IF(TRIM(D243)="","（分項工程層）",IF(TRIM(D243)="全部",_xlfn.TEXTJOIN("、",TRUE,單元!$A$2:$A$500),SUBSTITUTE(SUBSTITUTE(SUBSTITUTE(TRIM(D243),"，","、"),",","、")," ",""))))</f>
        <v/>
      </c>
      <c r="J243" s="2">
        <f>IF(A243="","",IF(TRIM(H243)="","施工前、施工中、施工後",SUBSTITUTE(SUBSTITUTE(SUBSTITUTE(TRIM(H243),"，","、"),",","、")," ","")))</f>
        <v/>
      </c>
      <c r="K243" s="2">
        <f>IF(A243="","",SUMPRODUCT((檢查項目!$A$2:$A$500=A243)*(檢查項目!$B$2:$B$500="")))</f>
        <v/>
      </c>
      <c r="L243" s="2">
        <f>IF(A243="","",SUMPRODUCT((檢查項目!$A$2:$A$500=A243)*(檢查項目!$B$2:$B$500&lt;&gt;""))+SUMPRODUCT((數值欄位!$A$2:$A$500=A243)*(數值欄位!$B$2:$B$500&lt;&gt;"")))</f>
        <v/>
      </c>
      <c r="M243" s="2">
        <f>IF(A243="","",IF(TRIM(IF(COUNTIF($A$2:$A$500,A243)&gt;1,"⚠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",""))="","✓",TRIM(IF(COUNTIF($A$2:$A$500,A243)&gt;1,"⚠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",""))))</f>
        <v/>
      </c>
    </row>
    <row r="244">
      <c r="I244" s="2">
        <f>IF(A244="","",IF(TRIM(D244)="","（分項工程層）",IF(TRIM(D244)="全部",_xlfn.TEXTJOIN("、",TRUE,單元!$A$2:$A$500),SUBSTITUTE(SUBSTITUTE(SUBSTITUTE(TRIM(D244),"，","、"),",","、")," ",""))))</f>
        <v/>
      </c>
      <c r="J244" s="2">
        <f>IF(A244="","",IF(TRIM(H244)="","施工前、施工中、施工後",SUBSTITUTE(SUBSTITUTE(SUBSTITUTE(TRIM(H244),"，","、"),",","、")," ","")))</f>
        <v/>
      </c>
      <c r="K244" s="2">
        <f>IF(A244="","",SUMPRODUCT((檢查項目!$A$2:$A$500=A244)*(檢查項目!$B$2:$B$500="")))</f>
        <v/>
      </c>
      <c r="L244" s="2">
        <f>IF(A244="","",SUMPRODUCT((檢查項目!$A$2:$A$500=A244)*(檢查項目!$B$2:$B$500&lt;&gt;""))+SUMPRODUCT((數值欄位!$A$2:$A$500=A244)*(數值欄位!$B$2:$B$500&lt;&gt;"")))</f>
        <v/>
      </c>
      <c r="M244" s="2">
        <f>IF(A244="","",IF(TRIM(IF(COUNTIF($A$2:$A$500,A244)&gt;1,"⚠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",""))="","✓",TRIM(IF(COUNTIF($A$2:$A$500,A244)&gt;1,"⚠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",""))))</f>
        <v/>
      </c>
    </row>
    <row r="245">
      <c r="I245" s="2">
        <f>IF(A245="","",IF(TRIM(D245)="","（分項工程層）",IF(TRIM(D245)="全部",_xlfn.TEXTJOIN("、",TRUE,單元!$A$2:$A$500),SUBSTITUTE(SUBSTITUTE(SUBSTITUTE(TRIM(D245),"，","、"),",","、")," ",""))))</f>
        <v/>
      </c>
      <c r="J245" s="2">
        <f>IF(A245="","",IF(TRIM(H245)="","施工前、施工中、施工後",SUBSTITUTE(SUBSTITUTE(SUBSTITUTE(TRIM(H245),"，","、"),",","、")," ","")))</f>
        <v/>
      </c>
      <c r="K245" s="2">
        <f>IF(A245="","",SUMPRODUCT((檢查項目!$A$2:$A$500=A245)*(檢查項目!$B$2:$B$500="")))</f>
        <v/>
      </c>
      <c r="L245" s="2">
        <f>IF(A245="","",SUMPRODUCT((檢查項目!$A$2:$A$500=A245)*(檢查項目!$B$2:$B$500&lt;&gt;""))+SUMPRODUCT((數值欄位!$A$2:$A$500=A245)*(數值欄位!$B$2:$B$500&lt;&gt;"")))</f>
        <v/>
      </c>
      <c r="M245" s="2">
        <f>IF(A245="","",IF(TRIM(IF(COUNTIF($A$2:$A$500,A245)&gt;1,"⚠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",""))="","✓",TRIM(IF(COUNTIF($A$2:$A$500,A245)&gt;1,"⚠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",""))))</f>
        <v/>
      </c>
    </row>
    <row r="246">
      <c r="I246" s="2">
        <f>IF(A246="","",IF(TRIM(D246)="","（分項工程層）",IF(TRIM(D246)="全部",_xlfn.TEXTJOIN("、",TRUE,單元!$A$2:$A$500),SUBSTITUTE(SUBSTITUTE(SUBSTITUTE(TRIM(D246),"，","、"),",","、")," ",""))))</f>
        <v/>
      </c>
      <c r="J246" s="2">
        <f>IF(A246="","",IF(TRIM(H246)="","施工前、施工中、施工後",SUBSTITUTE(SUBSTITUTE(SUBSTITUTE(TRIM(H246),"，","、"),",","、")," ","")))</f>
        <v/>
      </c>
      <c r="K246" s="2">
        <f>IF(A246="","",SUMPRODUCT((檢查項目!$A$2:$A$500=A246)*(檢查項目!$B$2:$B$500="")))</f>
        <v/>
      </c>
      <c r="L246" s="2">
        <f>IF(A246="","",SUMPRODUCT((檢查項目!$A$2:$A$500=A246)*(檢查項目!$B$2:$B$500&lt;&gt;""))+SUMPRODUCT((數值欄位!$A$2:$A$500=A246)*(數值欄位!$B$2:$B$500&lt;&gt;"")))</f>
        <v/>
      </c>
      <c r="M246" s="2">
        <f>IF(A246="","",IF(TRIM(IF(COUNTIF($A$2:$A$500,A246)&gt;1,"⚠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",""))="","✓",TRIM(IF(COUNTIF($A$2:$A$500,A246)&gt;1,"⚠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",""))))</f>
        <v/>
      </c>
    </row>
    <row r="247">
      <c r="I247" s="2">
        <f>IF(A247="","",IF(TRIM(D247)="","（分項工程層）",IF(TRIM(D247)="全部",_xlfn.TEXTJOIN("、",TRUE,單元!$A$2:$A$500),SUBSTITUTE(SUBSTITUTE(SUBSTITUTE(TRIM(D247),"，","、"),",","、")," ",""))))</f>
        <v/>
      </c>
      <c r="J247" s="2">
        <f>IF(A247="","",IF(TRIM(H247)="","施工前、施工中、施工後",SUBSTITUTE(SUBSTITUTE(SUBSTITUTE(TRIM(H247),"，","、"),",","、")," ","")))</f>
        <v/>
      </c>
      <c r="K247" s="2">
        <f>IF(A247="","",SUMPRODUCT((檢查項目!$A$2:$A$500=A247)*(檢查項目!$B$2:$B$500="")))</f>
        <v/>
      </c>
      <c r="L247" s="2">
        <f>IF(A247="","",SUMPRODUCT((檢查項目!$A$2:$A$500=A247)*(檢查項目!$B$2:$B$500&lt;&gt;""))+SUMPRODUCT((數值欄位!$A$2:$A$500=A247)*(數值欄位!$B$2:$B$500&lt;&gt;"")))</f>
        <v/>
      </c>
      <c r="M247" s="2">
        <f>IF(A247="","",IF(TRIM(IF(COUNTIF($A$2:$A$500,A247)&gt;1,"⚠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",""))="","✓",TRIM(IF(COUNTIF($A$2:$A$500,A247)&gt;1,"⚠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",""))))</f>
        <v/>
      </c>
    </row>
    <row r="248">
      <c r="I248" s="2">
        <f>IF(A248="","",IF(TRIM(D248)="","（分項工程層）",IF(TRIM(D248)="全部",_xlfn.TEXTJOIN("、",TRUE,單元!$A$2:$A$500),SUBSTITUTE(SUBSTITUTE(SUBSTITUTE(TRIM(D248),"，","、"),",","、")," ",""))))</f>
        <v/>
      </c>
      <c r="J248" s="2">
        <f>IF(A248="","",IF(TRIM(H248)="","施工前、施工中、施工後",SUBSTITUTE(SUBSTITUTE(SUBSTITUTE(TRIM(H248),"，","、"),",","、")," ","")))</f>
        <v/>
      </c>
      <c r="K248" s="2">
        <f>IF(A248="","",SUMPRODUCT((檢查項目!$A$2:$A$500=A248)*(檢查項目!$B$2:$B$500="")))</f>
        <v/>
      </c>
      <c r="L248" s="2">
        <f>IF(A248="","",SUMPRODUCT((檢查項目!$A$2:$A$500=A248)*(檢查項目!$B$2:$B$500&lt;&gt;""))+SUMPRODUCT((數值欄位!$A$2:$A$500=A248)*(數值欄位!$B$2:$B$500&lt;&gt;"")))</f>
        <v/>
      </c>
      <c r="M248" s="2">
        <f>IF(A248="","",IF(TRIM(IF(COUNTIF($A$2:$A$500,A248)&gt;1,"⚠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",""))="","✓",TRIM(IF(COUNTIF($A$2:$A$500,A248)&gt;1,"⚠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",""))))</f>
        <v/>
      </c>
    </row>
    <row r="249">
      <c r="I249" s="2">
        <f>IF(A249="","",IF(TRIM(D249)="","（分項工程層）",IF(TRIM(D249)="全部",_xlfn.TEXTJOIN("、",TRUE,單元!$A$2:$A$500),SUBSTITUTE(SUBSTITUTE(SUBSTITUTE(TRIM(D249),"，","、"),",","、")," ",""))))</f>
        <v/>
      </c>
      <c r="J249" s="2">
        <f>IF(A249="","",IF(TRIM(H249)="","施工前、施工中、施工後",SUBSTITUTE(SUBSTITUTE(SUBSTITUTE(TRIM(H249),"，","、"),",","、")," ","")))</f>
        <v/>
      </c>
      <c r="K249" s="2">
        <f>IF(A249="","",SUMPRODUCT((檢查項目!$A$2:$A$500=A249)*(檢查項目!$B$2:$B$500="")))</f>
        <v/>
      </c>
      <c r="L249" s="2">
        <f>IF(A249="","",SUMPRODUCT((檢查項目!$A$2:$A$500=A249)*(檢查項目!$B$2:$B$500&lt;&gt;""))+SUMPRODUCT((數值欄位!$A$2:$A$500=A249)*(數值欄位!$B$2:$B$500&lt;&gt;"")))</f>
        <v/>
      </c>
      <c r="M249" s="2">
        <f>IF(A249="","",IF(TRIM(IF(COUNTIF($A$2:$A$500,A249)&gt;1,"⚠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",""))="","✓",TRIM(IF(COUNTIF($A$2:$A$500,A249)&gt;1,"⚠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",""))))</f>
        <v/>
      </c>
    </row>
    <row r="250">
      <c r="I250" s="2">
        <f>IF(A250="","",IF(TRIM(D250)="","（分項工程層）",IF(TRIM(D250)="全部",_xlfn.TEXTJOIN("、",TRUE,單元!$A$2:$A$500),SUBSTITUTE(SUBSTITUTE(SUBSTITUTE(TRIM(D250),"，","、"),",","、")," ",""))))</f>
        <v/>
      </c>
      <c r="J250" s="2">
        <f>IF(A250="","",IF(TRIM(H250)="","施工前、施工中、施工後",SUBSTITUTE(SUBSTITUTE(SUBSTITUTE(TRIM(H250),"，","、"),",","、")," ","")))</f>
        <v/>
      </c>
      <c r="K250" s="2">
        <f>IF(A250="","",SUMPRODUCT((檢查項目!$A$2:$A$500=A250)*(檢查項目!$B$2:$B$500="")))</f>
        <v/>
      </c>
      <c r="L250" s="2">
        <f>IF(A250="","",SUMPRODUCT((檢查項目!$A$2:$A$500=A250)*(檢查項目!$B$2:$B$500&lt;&gt;""))+SUMPRODUCT((數值欄位!$A$2:$A$500=A250)*(數值欄位!$B$2:$B$500&lt;&gt;"")))</f>
        <v/>
      </c>
      <c r="M250" s="2">
        <f>IF(A250="","",IF(TRIM(IF(COUNTIF($A$2:$A$500,A250)&gt;1,"⚠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",""))="","✓",TRIM(IF(COUNTIF($A$2:$A$500,A250)&gt;1,"⚠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",""))))</f>
        <v/>
      </c>
    </row>
    <row r="251">
      <c r="I251" s="2">
        <f>IF(A251="","",IF(TRIM(D251)="","（分項工程層）",IF(TRIM(D251)="全部",_xlfn.TEXTJOIN("、",TRUE,單元!$A$2:$A$500),SUBSTITUTE(SUBSTITUTE(SUBSTITUTE(TRIM(D251),"，","、"),",","、")," ",""))))</f>
        <v/>
      </c>
      <c r="J251" s="2">
        <f>IF(A251="","",IF(TRIM(H251)="","施工前、施工中、施工後",SUBSTITUTE(SUBSTITUTE(SUBSTITUTE(TRIM(H251),"，","、"),",","、")," ","")))</f>
        <v/>
      </c>
      <c r="K251" s="2">
        <f>IF(A251="","",SUMPRODUCT((檢查項目!$A$2:$A$500=A251)*(檢查項目!$B$2:$B$500="")))</f>
        <v/>
      </c>
      <c r="L251" s="2">
        <f>IF(A251="","",SUMPRODUCT((檢查項目!$A$2:$A$500=A251)*(檢查項目!$B$2:$B$500&lt;&gt;""))+SUMPRODUCT((數值欄位!$A$2:$A$500=A251)*(數值欄位!$B$2:$B$500&lt;&gt;"")))</f>
        <v/>
      </c>
      <c r="M251" s="2">
        <f>IF(A251="","",IF(TRIM(IF(COUNTIF($A$2:$A$500,A251)&gt;1,"⚠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",""))="","✓",TRIM(IF(COUNTIF($A$2:$A$500,A251)&gt;1,"⚠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",""))))</f>
        <v/>
      </c>
    </row>
    <row r="252">
      <c r="I252" s="2">
        <f>IF(A252="","",IF(TRIM(D252)="","（分項工程層）",IF(TRIM(D252)="全部",_xlfn.TEXTJOIN("、",TRUE,單元!$A$2:$A$500),SUBSTITUTE(SUBSTITUTE(SUBSTITUTE(TRIM(D252),"，","、"),",","、")," ",""))))</f>
        <v/>
      </c>
      <c r="J252" s="2">
        <f>IF(A252="","",IF(TRIM(H252)="","施工前、施工中、施工後",SUBSTITUTE(SUBSTITUTE(SUBSTITUTE(TRIM(H252),"，","、"),",","、")," ","")))</f>
        <v/>
      </c>
      <c r="K252" s="2">
        <f>IF(A252="","",SUMPRODUCT((檢查項目!$A$2:$A$500=A252)*(檢查項目!$B$2:$B$500="")))</f>
        <v/>
      </c>
      <c r="L252" s="2">
        <f>IF(A252="","",SUMPRODUCT((檢查項目!$A$2:$A$500=A252)*(檢查項目!$B$2:$B$500&lt;&gt;""))+SUMPRODUCT((數值欄位!$A$2:$A$500=A252)*(數值欄位!$B$2:$B$500&lt;&gt;"")))</f>
        <v/>
      </c>
      <c r="M252" s="2">
        <f>IF(A252="","",IF(TRIM(IF(COUNTIF($A$2:$A$500,A252)&gt;1,"⚠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",""))="","✓",TRIM(IF(COUNTIF($A$2:$A$500,A252)&gt;1,"⚠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",""))))</f>
        <v/>
      </c>
    </row>
    <row r="253">
      <c r="I253" s="2">
        <f>IF(A253="","",IF(TRIM(D253)="","（分項工程層）",IF(TRIM(D253)="全部",_xlfn.TEXTJOIN("、",TRUE,單元!$A$2:$A$500),SUBSTITUTE(SUBSTITUTE(SUBSTITUTE(TRIM(D253),"，","、"),",","、")," ",""))))</f>
        <v/>
      </c>
      <c r="J253" s="2">
        <f>IF(A253="","",IF(TRIM(H253)="","施工前、施工中、施工後",SUBSTITUTE(SUBSTITUTE(SUBSTITUTE(TRIM(H253),"，","、"),",","、")," ","")))</f>
        <v/>
      </c>
      <c r="K253" s="2">
        <f>IF(A253="","",SUMPRODUCT((檢查項目!$A$2:$A$500=A253)*(檢查項目!$B$2:$B$500="")))</f>
        <v/>
      </c>
      <c r="L253" s="2">
        <f>IF(A253="","",SUMPRODUCT((檢查項目!$A$2:$A$500=A253)*(檢查項目!$B$2:$B$500&lt;&gt;""))+SUMPRODUCT((數值欄位!$A$2:$A$500=A253)*(數值欄位!$B$2:$B$500&lt;&gt;"")))</f>
        <v/>
      </c>
      <c r="M253" s="2">
        <f>IF(A253="","",IF(TRIM(IF(COUNTIF($A$2:$A$500,A253)&gt;1,"⚠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",""))="","✓",TRIM(IF(COUNTIF($A$2:$A$500,A253)&gt;1,"⚠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",""))))</f>
        <v/>
      </c>
    </row>
    <row r="254">
      <c r="I254" s="2">
        <f>IF(A254="","",IF(TRIM(D254)="","（分項工程層）",IF(TRIM(D254)="全部",_xlfn.TEXTJOIN("、",TRUE,單元!$A$2:$A$500),SUBSTITUTE(SUBSTITUTE(SUBSTITUTE(TRIM(D254),"，","、"),",","、")," ",""))))</f>
        <v/>
      </c>
      <c r="J254" s="2">
        <f>IF(A254="","",IF(TRIM(H254)="","施工前、施工中、施工後",SUBSTITUTE(SUBSTITUTE(SUBSTITUTE(TRIM(H254),"，","、"),",","、")," ","")))</f>
        <v/>
      </c>
      <c r="K254" s="2">
        <f>IF(A254="","",SUMPRODUCT((檢查項目!$A$2:$A$500=A254)*(檢查項目!$B$2:$B$500="")))</f>
        <v/>
      </c>
      <c r="L254" s="2">
        <f>IF(A254="","",SUMPRODUCT((檢查項目!$A$2:$A$500=A254)*(檢查項目!$B$2:$B$500&lt;&gt;""))+SUMPRODUCT((數值欄位!$A$2:$A$500=A254)*(數值欄位!$B$2:$B$500&lt;&gt;"")))</f>
        <v/>
      </c>
      <c r="M254" s="2">
        <f>IF(A254="","",IF(TRIM(IF(COUNTIF($A$2:$A$500,A254)&gt;1,"⚠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",""))="","✓",TRIM(IF(COUNTIF($A$2:$A$500,A254)&gt;1,"⚠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",""))))</f>
        <v/>
      </c>
    </row>
    <row r="255">
      <c r="I255" s="2">
        <f>IF(A255="","",IF(TRIM(D255)="","（分項工程層）",IF(TRIM(D255)="全部",_xlfn.TEXTJOIN("、",TRUE,單元!$A$2:$A$500),SUBSTITUTE(SUBSTITUTE(SUBSTITUTE(TRIM(D255),"，","、"),",","、")," ",""))))</f>
        <v/>
      </c>
      <c r="J255" s="2">
        <f>IF(A255="","",IF(TRIM(H255)="","施工前、施工中、施工後",SUBSTITUTE(SUBSTITUTE(SUBSTITUTE(TRIM(H255),"，","、"),",","、")," ","")))</f>
        <v/>
      </c>
      <c r="K255" s="2">
        <f>IF(A255="","",SUMPRODUCT((檢查項目!$A$2:$A$500=A255)*(檢查項目!$B$2:$B$500="")))</f>
        <v/>
      </c>
      <c r="L255" s="2">
        <f>IF(A255="","",SUMPRODUCT((檢查項目!$A$2:$A$500=A255)*(檢查項目!$B$2:$B$500&lt;&gt;""))+SUMPRODUCT((數值欄位!$A$2:$A$500=A255)*(數值欄位!$B$2:$B$500&lt;&gt;"")))</f>
        <v/>
      </c>
      <c r="M255" s="2">
        <f>IF(A255="","",IF(TRIM(IF(COUNTIF($A$2:$A$500,A255)&gt;1,"⚠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",""))="","✓",TRIM(IF(COUNTIF($A$2:$A$500,A255)&gt;1,"⚠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",""))))</f>
        <v/>
      </c>
    </row>
    <row r="256">
      <c r="I256" s="2">
        <f>IF(A256="","",IF(TRIM(D256)="","（分項工程層）",IF(TRIM(D256)="全部",_xlfn.TEXTJOIN("、",TRUE,單元!$A$2:$A$500),SUBSTITUTE(SUBSTITUTE(SUBSTITUTE(TRIM(D256),"，","、"),",","、")," ",""))))</f>
        <v/>
      </c>
      <c r="J256" s="2">
        <f>IF(A256="","",IF(TRIM(H256)="","施工前、施工中、施工後",SUBSTITUTE(SUBSTITUTE(SUBSTITUTE(TRIM(H256),"，","、"),",","、")," ","")))</f>
        <v/>
      </c>
      <c r="K256" s="2">
        <f>IF(A256="","",SUMPRODUCT((檢查項目!$A$2:$A$500=A256)*(檢查項目!$B$2:$B$500="")))</f>
        <v/>
      </c>
      <c r="L256" s="2">
        <f>IF(A256="","",SUMPRODUCT((檢查項目!$A$2:$A$500=A256)*(檢查項目!$B$2:$B$500&lt;&gt;""))+SUMPRODUCT((數值欄位!$A$2:$A$500=A256)*(數值欄位!$B$2:$B$500&lt;&gt;"")))</f>
        <v/>
      </c>
      <c r="M256" s="2">
        <f>IF(A256="","",IF(TRIM(IF(COUNTIF($A$2:$A$500,A256)&gt;1,"⚠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",""))="","✓",TRIM(IF(COUNTIF($A$2:$A$500,A256)&gt;1,"⚠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",""))))</f>
        <v/>
      </c>
    </row>
    <row r="257">
      <c r="I257" s="2">
        <f>IF(A257="","",IF(TRIM(D257)="","（分項工程層）",IF(TRIM(D257)="全部",_xlfn.TEXTJOIN("、",TRUE,單元!$A$2:$A$500),SUBSTITUTE(SUBSTITUTE(SUBSTITUTE(TRIM(D257),"，","、"),",","、")," ",""))))</f>
        <v/>
      </c>
      <c r="J257" s="2">
        <f>IF(A257="","",IF(TRIM(H257)="","施工前、施工中、施工後",SUBSTITUTE(SUBSTITUTE(SUBSTITUTE(TRIM(H257),"，","、"),",","、")," ","")))</f>
        <v/>
      </c>
      <c r="K257" s="2">
        <f>IF(A257="","",SUMPRODUCT((檢查項目!$A$2:$A$500=A257)*(檢查項目!$B$2:$B$500="")))</f>
        <v/>
      </c>
      <c r="L257" s="2">
        <f>IF(A257="","",SUMPRODUCT((檢查項目!$A$2:$A$500=A257)*(檢查項目!$B$2:$B$500&lt;&gt;""))+SUMPRODUCT((數值欄位!$A$2:$A$500=A257)*(數值欄位!$B$2:$B$500&lt;&gt;"")))</f>
        <v/>
      </c>
      <c r="M257" s="2">
        <f>IF(A257="","",IF(TRIM(IF(COUNTIF($A$2:$A$500,A257)&gt;1,"⚠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",""))="","✓",TRIM(IF(COUNTIF($A$2:$A$500,A257)&gt;1,"⚠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",""))))</f>
        <v/>
      </c>
    </row>
    <row r="258">
      <c r="I258" s="2">
        <f>IF(A258="","",IF(TRIM(D258)="","（分項工程層）",IF(TRIM(D258)="全部",_xlfn.TEXTJOIN("、",TRUE,單元!$A$2:$A$500),SUBSTITUTE(SUBSTITUTE(SUBSTITUTE(TRIM(D258),"，","、"),",","、")," ",""))))</f>
        <v/>
      </c>
      <c r="J258" s="2">
        <f>IF(A258="","",IF(TRIM(H258)="","施工前、施工中、施工後",SUBSTITUTE(SUBSTITUTE(SUBSTITUTE(TRIM(H258),"，","、"),",","、")," ","")))</f>
        <v/>
      </c>
      <c r="K258" s="2">
        <f>IF(A258="","",SUMPRODUCT((檢查項目!$A$2:$A$500=A258)*(檢查項目!$B$2:$B$500="")))</f>
        <v/>
      </c>
      <c r="L258" s="2">
        <f>IF(A258="","",SUMPRODUCT((檢查項目!$A$2:$A$500=A258)*(檢查項目!$B$2:$B$500&lt;&gt;""))+SUMPRODUCT((數值欄位!$A$2:$A$500=A258)*(數值欄位!$B$2:$B$500&lt;&gt;"")))</f>
        <v/>
      </c>
      <c r="M258" s="2">
        <f>IF(A258="","",IF(TRIM(IF(COUNTIF($A$2:$A$500,A258)&gt;1,"⚠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",""))="","✓",TRIM(IF(COUNTIF($A$2:$A$500,A258)&gt;1,"⚠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",""))))</f>
        <v/>
      </c>
    </row>
    <row r="259">
      <c r="I259" s="2">
        <f>IF(A259="","",IF(TRIM(D259)="","（分項工程層）",IF(TRIM(D259)="全部",_xlfn.TEXTJOIN("、",TRUE,單元!$A$2:$A$500),SUBSTITUTE(SUBSTITUTE(SUBSTITUTE(TRIM(D259),"，","、"),",","、")," ",""))))</f>
        <v/>
      </c>
      <c r="J259" s="2">
        <f>IF(A259="","",IF(TRIM(H259)="","施工前、施工中、施工後",SUBSTITUTE(SUBSTITUTE(SUBSTITUTE(TRIM(H259),"，","、"),",","、")," ","")))</f>
        <v/>
      </c>
      <c r="K259" s="2">
        <f>IF(A259="","",SUMPRODUCT((檢查項目!$A$2:$A$500=A259)*(檢查項目!$B$2:$B$500="")))</f>
        <v/>
      </c>
      <c r="L259" s="2">
        <f>IF(A259="","",SUMPRODUCT((檢查項目!$A$2:$A$500=A259)*(檢查項目!$B$2:$B$500&lt;&gt;""))+SUMPRODUCT((數值欄位!$A$2:$A$500=A259)*(數值欄位!$B$2:$B$500&lt;&gt;"")))</f>
        <v/>
      </c>
      <c r="M259" s="2">
        <f>IF(A259="","",IF(TRIM(IF(COUNTIF($A$2:$A$500,A259)&gt;1,"⚠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",""))="","✓",TRIM(IF(COUNTIF($A$2:$A$500,A259)&gt;1,"⚠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",""))))</f>
        <v/>
      </c>
    </row>
    <row r="260">
      <c r="I260" s="2">
        <f>IF(A260="","",IF(TRIM(D260)="","（分項工程層）",IF(TRIM(D260)="全部",_xlfn.TEXTJOIN("、",TRUE,單元!$A$2:$A$500),SUBSTITUTE(SUBSTITUTE(SUBSTITUTE(TRIM(D260),"，","、"),",","、")," ",""))))</f>
        <v/>
      </c>
      <c r="J260" s="2">
        <f>IF(A260="","",IF(TRIM(H260)="","施工前、施工中、施工後",SUBSTITUTE(SUBSTITUTE(SUBSTITUTE(TRIM(H260),"，","、"),",","、")," ","")))</f>
        <v/>
      </c>
      <c r="K260" s="2">
        <f>IF(A260="","",SUMPRODUCT((檢查項目!$A$2:$A$500=A260)*(檢查項目!$B$2:$B$500="")))</f>
        <v/>
      </c>
      <c r="L260" s="2">
        <f>IF(A260="","",SUMPRODUCT((檢查項目!$A$2:$A$500=A260)*(檢查項目!$B$2:$B$500&lt;&gt;""))+SUMPRODUCT((數值欄位!$A$2:$A$500=A260)*(數值欄位!$B$2:$B$500&lt;&gt;"")))</f>
        <v/>
      </c>
      <c r="M260" s="2">
        <f>IF(A260="","",IF(TRIM(IF(COUNTIF($A$2:$A$500,A260)&gt;1,"⚠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",""))="","✓",TRIM(IF(COUNTIF($A$2:$A$500,A260)&gt;1,"⚠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",""))))</f>
        <v/>
      </c>
    </row>
    <row r="261">
      <c r="I261" s="2">
        <f>IF(A261="","",IF(TRIM(D261)="","（分項工程層）",IF(TRIM(D261)="全部",_xlfn.TEXTJOIN("、",TRUE,單元!$A$2:$A$500),SUBSTITUTE(SUBSTITUTE(SUBSTITUTE(TRIM(D261),"，","、"),",","、")," ",""))))</f>
        <v/>
      </c>
      <c r="J261" s="2">
        <f>IF(A261="","",IF(TRIM(H261)="","施工前、施工中、施工後",SUBSTITUTE(SUBSTITUTE(SUBSTITUTE(TRIM(H261),"，","、"),",","、")," ","")))</f>
        <v/>
      </c>
      <c r="K261" s="2">
        <f>IF(A261="","",SUMPRODUCT((檢查項目!$A$2:$A$500=A261)*(檢查項目!$B$2:$B$500="")))</f>
        <v/>
      </c>
      <c r="L261" s="2">
        <f>IF(A261="","",SUMPRODUCT((檢查項目!$A$2:$A$500=A261)*(檢查項目!$B$2:$B$500&lt;&gt;""))+SUMPRODUCT((數值欄位!$A$2:$A$500=A261)*(數值欄位!$B$2:$B$500&lt;&gt;"")))</f>
        <v/>
      </c>
      <c r="M261" s="2">
        <f>IF(A261="","",IF(TRIM(IF(COUNTIF($A$2:$A$500,A261)&gt;1,"⚠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",""))="","✓",TRIM(IF(COUNTIF($A$2:$A$500,A261)&gt;1,"⚠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",""))))</f>
        <v/>
      </c>
    </row>
    <row r="262">
      <c r="I262" s="2">
        <f>IF(A262="","",IF(TRIM(D262)="","（分項工程層）",IF(TRIM(D262)="全部",_xlfn.TEXTJOIN("、",TRUE,單元!$A$2:$A$500),SUBSTITUTE(SUBSTITUTE(SUBSTITUTE(TRIM(D262),"，","、"),",","、")," ",""))))</f>
        <v/>
      </c>
      <c r="J262" s="2">
        <f>IF(A262="","",IF(TRIM(H262)="","施工前、施工中、施工後",SUBSTITUTE(SUBSTITUTE(SUBSTITUTE(TRIM(H262),"，","、"),",","、")," ","")))</f>
        <v/>
      </c>
      <c r="K262" s="2">
        <f>IF(A262="","",SUMPRODUCT((檢查項目!$A$2:$A$500=A262)*(檢查項目!$B$2:$B$500="")))</f>
        <v/>
      </c>
      <c r="L262" s="2">
        <f>IF(A262="","",SUMPRODUCT((檢查項目!$A$2:$A$500=A262)*(檢查項目!$B$2:$B$500&lt;&gt;""))+SUMPRODUCT((數值欄位!$A$2:$A$500=A262)*(數值欄位!$B$2:$B$500&lt;&gt;"")))</f>
        <v/>
      </c>
      <c r="M262" s="2">
        <f>IF(A262="","",IF(TRIM(IF(COUNTIF($A$2:$A$500,A262)&gt;1,"⚠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",""))="","✓",TRIM(IF(COUNTIF($A$2:$A$500,A262)&gt;1,"⚠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",""))))</f>
        <v/>
      </c>
    </row>
    <row r="263">
      <c r="I263" s="2">
        <f>IF(A263="","",IF(TRIM(D263)="","（分項工程層）",IF(TRIM(D263)="全部",_xlfn.TEXTJOIN("、",TRUE,單元!$A$2:$A$500),SUBSTITUTE(SUBSTITUTE(SUBSTITUTE(TRIM(D263),"，","、"),",","、")," ",""))))</f>
        <v/>
      </c>
      <c r="J263" s="2">
        <f>IF(A263="","",IF(TRIM(H263)="","施工前、施工中、施工後",SUBSTITUTE(SUBSTITUTE(SUBSTITUTE(TRIM(H263),"，","、"),",","、")," ","")))</f>
        <v/>
      </c>
      <c r="K263" s="2">
        <f>IF(A263="","",SUMPRODUCT((檢查項目!$A$2:$A$500=A263)*(檢查項目!$B$2:$B$500="")))</f>
        <v/>
      </c>
      <c r="L263" s="2">
        <f>IF(A263="","",SUMPRODUCT((檢查項目!$A$2:$A$500=A263)*(檢查項目!$B$2:$B$500&lt;&gt;""))+SUMPRODUCT((數值欄位!$A$2:$A$500=A263)*(數值欄位!$B$2:$B$500&lt;&gt;"")))</f>
        <v/>
      </c>
      <c r="M263" s="2">
        <f>IF(A263="","",IF(TRIM(IF(COUNTIF($A$2:$A$500,A263)&gt;1,"⚠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",""))="","✓",TRIM(IF(COUNTIF($A$2:$A$500,A263)&gt;1,"⚠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",""))))</f>
        <v/>
      </c>
    </row>
    <row r="264">
      <c r="I264" s="2">
        <f>IF(A264="","",IF(TRIM(D264)="","（分項工程層）",IF(TRIM(D264)="全部",_xlfn.TEXTJOIN("、",TRUE,單元!$A$2:$A$500),SUBSTITUTE(SUBSTITUTE(SUBSTITUTE(TRIM(D264),"，","、"),",","、")," ",""))))</f>
        <v/>
      </c>
      <c r="J264" s="2">
        <f>IF(A264="","",IF(TRIM(H264)="","施工前、施工中、施工後",SUBSTITUTE(SUBSTITUTE(SUBSTITUTE(TRIM(H264),"，","、"),",","、")," ","")))</f>
        <v/>
      </c>
      <c r="K264" s="2">
        <f>IF(A264="","",SUMPRODUCT((檢查項目!$A$2:$A$500=A264)*(檢查項目!$B$2:$B$500="")))</f>
        <v/>
      </c>
      <c r="L264" s="2">
        <f>IF(A264="","",SUMPRODUCT((檢查項目!$A$2:$A$500=A264)*(檢查項目!$B$2:$B$500&lt;&gt;""))+SUMPRODUCT((數值欄位!$A$2:$A$500=A264)*(數值欄位!$B$2:$B$500&lt;&gt;"")))</f>
        <v/>
      </c>
      <c r="M264" s="2">
        <f>IF(A264="","",IF(TRIM(IF(COUNTIF($A$2:$A$500,A264)&gt;1,"⚠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",""))="","✓",TRIM(IF(COUNTIF($A$2:$A$500,A264)&gt;1,"⚠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",""))))</f>
        <v/>
      </c>
    </row>
    <row r="265">
      <c r="I265" s="2">
        <f>IF(A265="","",IF(TRIM(D265)="","（分項工程層）",IF(TRIM(D265)="全部",_xlfn.TEXTJOIN("、",TRUE,單元!$A$2:$A$500),SUBSTITUTE(SUBSTITUTE(SUBSTITUTE(TRIM(D265),"，","、"),",","、")," ",""))))</f>
        <v/>
      </c>
      <c r="J265" s="2">
        <f>IF(A265="","",IF(TRIM(H265)="","施工前、施工中、施工後",SUBSTITUTE(SUBSTITUTE(SUBSTITUTE(TRIM(H265),"，","、"),",","、")," ","")))</f>
        <v/>
      </c>
      <c r="K265" s="2">
        <f>IF(A265="","",SUMPRODUCT((檢查項目!$A$2:$A$500=A265)*(檢查項目!$B$2:$B$500="")))</f>
        <v/>
      </c>
      <c r="L265" s="2">
        <f>IF(A265="","",SUMPRODUCT((檢查項目!$A$2:$A$500=A265)*(檢查項目!$B$2:$B$500&lt;&gt;""))+SUMPRODUCT((數值欄位!$A$2:$A$500=A265)*(數值欄位!$B$2:$B$500&lt;&gt;"")))</f>
        <v/>
      </c>
      <c r="M265" s="2">
        <f>IF(A265="","",IF(TRIM(IF(COUNTIF($A$2:$A$500,A265)&gt;1,"⚠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",""))="","✓",TRIM(IF(COUNTIF($A$2:$A$500,A265)&gt;1,"⚠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",""))))</f>
        <v/>
      </c>
    </row>
    <row r="266">
      <c r="I266" s="2">
        <f>IF(A266="","",IF(TRIM(D266)="","（分項工程層）",IF(TRIM(D266)="全部",_xlfn.TEXTJOIN("、",TRUE,單元!$A$2:$A$500),SUBSTITUTE(SUBSTITUTE(SUBSTITUTE(TRIM(D266),"，","、"),",","、")," ",""))))</f>
        <v/>
      </c>
      <c r="J266" s="2">
        <f>IF(A266="","",IF(TRIM(H266)="","施工前、施工中、施工後",SUBSTITUTE(SUBSTITUTE(SUBSTITUTE(TRIM(H266),"，","、"),",","、")," ","")))</f>
        <v/>
      </c>
      <c r="K266" s="2">
        <f>IF(A266="","",SUMPRODUCT((檢查項目!$A$2:$A$500=A266)*(檢查項目!$B$2:$B$500="")))</f>
        <v/>
      </c>
      <c r="L266" s="2">
        <f>IF(A266="","",SUMPRODUCT((檢查項目!$A$2:$A$500=A266)*(檢查項目!$B$2:$B$500&lt;&gt;""))+SUMPRODUCT((數值欄位!$A$2:$A$500=A266)*(數值欄位!$B$2:$B$500&lt;&gt;"")))</f>
        <v/>
      </c>
      <c r="M266" s="2">
        <f>IF(A266="","",IF(TRIM(IF(COUNTIF($A$2:$A$500,A266)&gt;1,"⚠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",""))="","✓",TRIM(IF(COUNTIF($A$2:$A$500,A266)&gt;1,"⚠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",""))))</f>
        <v/>
      </c>
    </row>
    <row r="267">
      <c r="I267" s="2">
        <f>IF(A267="","",IF(TRIM(D267)="","（分項工程層）",IF(TRIM(D267)="全部",_xlfn.TEXTJOIN("、",TRUE,單元!$A$2:$A$500),SUBSTITUTE(SUBSTITUTE(SUBSTITUTE(TRIM(D267),"，","、"),",","、")," ",""))))</f>
        <v/>
      </c>
      <c r="J267" s="2">
        <f>IF(A267="","",IF(TRIM(H267)="","施工前、施工中、施工後",SUBSTITUTE(SUBSTITUTE(SUBSTITUTE(TRIM(H267),"，","、"),",","、")," ","")))</f>
        <v/>
      </c>
      <c r="K267" s="2">
        <f>IF(A267="","",SUMPRODUCT((檢查項目!$A$2:$A$500=A267)*(檢查項目!$B$2:$B$500="")))</f>
        <v/>
      </c>
      <c r="L267" s="2">
        <f>IF(A267="","",SUMPRODUCT((檢查項目!$A$2:$A$500=A267)*(檢查項目!$B$2:$B$500&lt;&gt;""))+SUMPRODUCT((數值欄位!$A$2:$A$500=A267)*(數值欄位!$B$2:$B$500&lt;&gt;"")))</f>
        <v/>
      </c>
      <c r="M267" s="2">
        <f>IF(A267="","",IF(TRIM(IF(COUNTIF($A$2:$A$500,A267)&gt;1,"⚠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",""))="","✓",TRIM(IF(COUNTIF($A$2:$A$500,A267)&gt;1,"⚠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",""))))</f>
        <v/>
      </c>
    </row>
    <row r="268">
      <c r="I268" s="2">
        <f>IF(A268="","",IF(TRIM(D268)="","（分項工程層）",IF(TRIM(D268)="全部",_xlfn.TEXTJOIN("、",TRUE,單元!$A$2:$A$500),SUBSTITUTE(SUBSTITUTE(SUBSTITUTE(TRIM(D268),"，","、"),",","、")," ",""))))</f>
        <v/>
      </c>
      <c r="J268" s="2">
        <f>IF(A268="","",IF(TRIM(H268)="","施工前、施工中、施工後",SUBSTITUTE(SUBSTITUTE(SUBSTITUTE(TRIM(H268),"，","、"),",","、")," ","")))</f>
        <v/>
      </c>
      <c r="K268" s="2">
        <f>IF(A268="","",SUMPRODUCT((檢查項目!$A$2:$A$500=A268)*(檢查項目!$B$2:$B$500="")))</f>
        <v/>
      </c>
      <c r="L268" s="2">
        <f>IF(A268="","",SUMPRODUCT((檢查項目!$A$2:$A$500=A268)*(檢查項目!$B$2:$B$500&lt;&gt;""))+SUMPRODUCT((數值欄位!$A$2:$A$500=A268)*(數值欄位!$B$2:$B$500&lt;&gt;"")))</f>
        <v/>
      </c>
      <c r="M268" s="2">
        <f>IF(A268="","",IF(TRIM(IF(COUNTIF($A$2:$A$500,A268)&gt;1,"⚠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",""))="","✓",TRIM(IF(COUNTIF($A$2:$A$500,A268)&gt;1,"⚠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",""))))</f>
        <v/>
      </c>
    </row>
    <row r="269">
      <c r="I269" s="2">
        <f>IF(A269="","",IF(TRIM(D269)="","（分項工程層）",IF(TRIM(D269)="全部",_xlfn.TEXTJOIN("、",TRUE,單元!$A$2:$A$500),SUBSTITUTE(SUBSTITUTE(SUBSTITUTE(TRIM(D269),"，","、"),",","、")," ",""))))</f>
        <v/>
      </c>
      <c r="J269" s="2">
        <f>IF(A269="","",IF(TRIM(H269)="","施工前、施工中、施工後",SUBSTITUTE(SUBSTITUTE(SUBSTITUTE(TRIM(H269),"，","、"),",","、")," ","")))</f>
        <v/>
      </c>
      <c r="K269" s="2">
        <f>IF(A269="","",SUMPRODUCT((檢查項目!$A$2:$A$500=A269)*(檢查項目!$B$2:$B$500="")))</f>
        <v/>
      </c>
      <c r="L269" s="2">
        <f>IF(A269="","",SUMPRODUCT((檢查項目!$A$2:$A$500=A269)*(檢查項目!$B$2:$B$500&lt;&gt;""))+SUMPRODUCT((數值欄位!$A$2:$A$500=A269)*(數值欄位!$B$2:$B$500&lt;&gt;"")))</f>
        <v/>
      </c>
      <c r="M269" s="2">
        <f>IF(A269="","",IF(TRIM(IF(COUNTIF($A$2:$A$500,A269)&gt;1,"⚠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",""))="","✓",TRIM(IF(COUNTIF($A$2:$A$500,A269)&gt;1,"⚠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",""))))</f>
        <v/>
      </c>
    </row>
    <row r="270">
      <c r="I270" s="2">
        <f>IF(A270="","",IF(TRIM(D270)="","（分項工程層）",IF(TRIM(D270)="全部",_xlfn.TEXTJOIN("、",TRUE,單元!$A$2:$A$500),SUBSTITUTE(SUBSTITUTE(SUBSTITUTE(TRIM(D270),"，","、"),",","、")," ",""))))</f>
        <v/>
      </c>
      <c r="J270" s="2">
        <f>IF(A270="","",IF(TRIM(H270)="","施工前、施工中、施工後",SUBSTITUTE(SUBSTITUTE(SUBSTITUTE(TRIM(H270),"，","、"),",","、")," ","")))</f>
        <v/>
      </c>
      <c r="K270" s="2">
        <f>IF(A270="","",SUMPRODUCT((檢查項目!$A$2:$A$500=A270)*(檢查項目!$B$2:$B$500="")))</f>
        <v/>
      </c>
      <c r="L270" s="2">
        <f>IF(A270="","",SUMPRODUCT((檢查項目!$A$2:$A$500=A270)*(檢查項目!$B$2:$B$500&lt;&gt;""))+SUMPRODUCT((數值欄位!$A$2:$A$500=A270)*(數值欄位!$B$2:$B$500&lt;&gt;"")))</f>
        <v/>
      </c>
      <c r="M270" s="2">
        <f>IF(A270="","",IF(TRIM(IF(COUNTIF($A$2:$A$500,A270)&gt;1,"⚠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",""))="","✓",TRIM(IF(COUNTIF($A$2:$A$500,A270)&gt;1,"⚠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",""))))</f>
        <v/>
      </c>
    </row>
    <row r="271">
      <c r="I271" s="2">
        <f>IF(A271="","",IF(TRIM(D271)="","（分項工程層）",IF(TRIM(D271)="全部",_xlfn.TEXTJOIN("、",TRUE,單元!$A$2:$A$500),SUBSTITUTE(SUBSTITUTE(SUBSTITUTE(TRIM(D271),"，","、"),",","、")," ",""))))</f>
        <v/>
      </c>
      <c r="J271" s="2">
        <f>IF(A271="","",IF(TRIM(H271)="","施工前、施工中、施工後",SUBSTITUTE(SUBSTITUTE(SUBSTITUTE(TRIM(H271),"，","、"),",","、")," ","")))</f>
        <v/>
      </c>
      <c r="K271" s="2">
        <f>IF(A271="","",SUMPRODUCT((檢查項目!$A$2:$A$500=A271)*(檢查項目!$B$2:$B$500="")))</f>
        <v/>
      </c>
      <c r="L271" s="2">
        <f>IF(A271="","",SUMPRODUCT((檢查項目!$A$2:$A$500=A271)*(檢查項目!$B$2:$B$500&lt;&gt;""))+SUMPRODUCT((數值欄位!$A$2:$A$500=A271)*(數值欄位!$B$2:$B$500&lt;&gt;"")))</f>
        <v/>
      </c>
      <c r="M271" s="2">
        <f>IF(A271="","",IF(TRIM(IF(COUNTIF($A$2:$A$500,A271)&gt;1,"⚠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",""))="","✓",TRIM(IF(COUNTIF($A$2:$A$500,A271)&gt;1,"⚠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",""))))</f>
        <v/>
      </c>
    </row>
    <row r="272">
      <c r="I272" s="2">
        <f>IF(A272="","",IF(TRIM(D272)="","（分項工程層）",IF(TRIM(D272)="全部",_xlfn.TEXTJOIN("、",TRUE,單元!$A$2:$A$500),SUBSTITUTE(SUBSTITUTE(SUBSTITUTE(TRIM(D272),"，","、"),",","、")," ",""))))</f>
        <v/>
      </c>
      <c r="J272" s="2">
        <f>IF(A272="","",IF(TRIM(H272)="","施工前、施工中、施工後",SUBSTITUTE(SUBSTITUTE(SUBSTITUTE(TRIM(H272),"，","、"),",","、")," ","")))</f>
        <v/>
      </c>
      <c r="K272" s="2">
        <f>IF(A272="","",SUMPRODUCT((檢查項目!$A$2:$A$500=A272)*(檢查項目!$B$2:$B$500="")))</f>
        <v/>
      </c>
      <c r="L272" s="2">
        <f>IF(A272="","",SUMPRODUCT((檢查項目!$A$2:$A$500=A272)*(檢查項目!$B$2:$B$500&lt;&gt;""))+SUMPRODUCT((數值欄位!$A$2:$A$500=A272)*(數值欄位!$B$2:$B$500&lt;&gt;"")))</f>
        <v/>
      </c>
      <c r="M272" s="2">
        <f>IF(A272="","",IF(TRIM(IF(COUNTIF($A$2:$A$500,A272)&gt;1,"⚠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",""))="","✓",TRIM(IF(COUNTIF($A$2:$A$500,A272)&gt;1,"⚠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",""))))</f>
        <v/>
      </c>
    </row>
    <row r="273">
      <c r="I273" s="2">
        <f>IF(A273="","",IF(TRIM(D273)="","（分項工程層）",IF(TRIM(D273)="全部",_xlfn.TEXTJOIN("、",TRUE,單元!$A$2:$A$500),SUBSTITUTE(SUBSTITUTE(SUBSTITUTE(TRIM(D273),"，","、"),",","、")," ",""))))</f>
        <v/>
      </c>
      <c r="J273" s="2">
        <f>IF(A273="","",IF(TRIM(H273)="","施工前、施工中、施工後",SUBSTITUTE(SUBSTITUTE(SUBSTITUTE(TRIM(H273),"，","、"),",","、")," ","")))</f>
        <v/>
      </c>
      <c r="K273" s="2">
        <f>IF(A273="","",SUMPRODUCT((檢查項目!$A$2:$A$500=A273)*(檢查項目!$B$2:$B$500="")))</f>
        <v/>
      </c>
      <c r="L273" s="2">
        <f>IF(A273="","",SUMPRODUCT((檢查項目!$A$2:$A$500=A273)*(檢查項目!$B$2:$B$500&lt;&gt;""))+SUMPRODUCT((數值欄位!$A$2:$A$500=A273)*(數值欄位!$B$2:$B$500&lt;&gt;"")))</f>
        <v/>
      </c>
      <c r="M273" s="2">
        <f>IF(A273="","",IF(TRIM(IF(COUNTIF($A$2:$A$500,A273)&gt;1,"⚠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",""))="","✓",TRIM(IF(COUNTIF($A$2:$A$500,A273)&gt;1,"⚠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",""))))</f>
        <v/>
      </c>
    </row>
    <row r="274">
      <c r="I274" s="2">
        <f>IF(A274="","",IF(TRIM(D274)="","（分項工程層）",IF(TRIM(D274)="全部",_xlfn.TEXTJOIN("、",TRUE,單元!$A$2:$A$500),SUBSTITUTE(SUBSTITUTE(SUBSTITUTE(TRIM(D274),"，","、"),",","、")," ",""))))</f>
        <v/>
      </c>
      <c r="J274" s="2">
        <f>IF(A274="","",IF(TRIM(H274)="","施工前、施工中、施工後",SUBSTITUTE(SUBSTITUTE(SUBSTITUTE(TRIM(H274),"，","、"),",","、")," ","")))</f>
        <v/>
      </c>
      <c r="K274" s="2">
        <f>IF(A274="","",SUMPRODUCT((檢查項目!$A$2:$A$500=A274)*(檢查項目!$B$2:$B$500="")))</f>
        <v/>
      </c>
      <c r="L274" s="2">
        <f>IF(A274="","",SUMPRODUCT((檢查項目!$A$2:$A$500=A274)*(檢查項目!$B$2:$B$500&lt;&gt;""))+SUMPRODUCT((數值欄位!$A$2:$A$500=A274)*(數值欄位!$B$2:$B$500&lt;&gt;"")))</f>
        <v/>
      </c>
      <c r="M274" s="2">
        <f>IF(A274="","",IF(TRIM(IF(COUNTIF($A$2:$A$500,A274)&gt;1,"⚠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",""))="","✓",TRIM(IF(COUNTIF($A$2:$A$500,A274)&gt;1,"⚠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",""))))</f>
        <v/>
      </c>
    </row>
    <row r="275">
      <c r="I275" s="2">
        <f>IF(A275="","",IF(TRIM(D275)="","（分項工程層）",IF(TRIM(D275)="全部",_xlfn.TEXTJOIN("、",TRUE,單元!$A$2:$A$500),SUBSTITUTE(SUBSTITUTE(SUBSTITUTE(TRIM(D275),"，","、"),",","、")," ",""))))</f>
        <v/>
      </c>
      <c r="J275" s="2">
        <f>IF(A275="","",IF(TRIM(H275)="","施工前、施工中、施工後",SUBSTITUTE(SUBSTITUTE(SUBSTITUTE(TRIM(H275),"，","、"),",","、")," ","")))</f>
        <v/>
      </c>
      <c r="K275" s="2">
        <f>IF(A275="","",SUMPRODUCT((檢查項目!$A$2:$A$500=A275)*(檢查項目!$B$2:$B$500="")))</f>
        <v/>
      </c>
      <c r="L275" s="2">
        <f>IF(A275="","",SUMPRODUCT((檢查項目!$A$2:$A$500=A275)*(檢查項目!$B$2:$B$500&lt;&gt;""))+SUMPRODUCT((數值欄位!$A$2:$A$500=A275)*(數值欄位!$B$2:$B$500&lt;&gt;"")))</f>
        <v/>
      </c>
      <c r="M275" s="2">
        <f>IF(A275="","",IF(TRIM(IF(COUNTIF($A$2:$A$500,A275)&gt;1,"⚠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",""))="","✓",TRIM(IF(COUNTIF($A$2:$A$500,A275)&gt;1,"⚠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",""))))</f>
        <v/>
      </c>
    </row>
    <row r="276">
      <c r="I276" s="2">
        <f>IF(A276="","",IF(TRIM(D276)="","（分項工程層）",IF(TRIM(D276)="全部",_xlfn.TEXTJOIN("、",TRUE,單元!$A$2:$A$500),SUBSTITUTE(SUBSTITUTE(SUBSTITUTE(TRIM(D276),"，","、"),",","、")," ",""))))</f>
        <v/>
      </c>
      <c r="J276" s="2">
        <f>IF(A276="","",IF(TRIM(H276)="","施工前、施工中、施工後",SUBSTITUTE(SUBSTITUTE(SUBSTITUTE(TRIM(H276),"，","、"),",","、")," ","")))</f>
        <v/>
      </c>
      <c r="K276" s="2">
        <f>IF(A276="","",SUMPRODUCT((檢查項目!$A$2:$A$500=A276)*(檢查項目!$B$2:$B$500="")))</f>
        <v/>
      </c>
      <c r="L276" s="2">
        <f>IF(A276="","",SUMPRODUCT((檢查項目!$A$2:$A$500=A276)*(檢查項目!$B$2:$B$500&lt;&gt;""))+SUMPRODUCT((數值欄位!$A$2:$A$500=A276)*(數值欄位!$B$2:$B$500&lt;&gt;"")))</f>
        <v/>
      </c>
      <c r="M276" s="2">
        <f>IF(A276="","",IF(TRIM(IF(COUNTIF($A$2:$A$500,A276)&gt;1,"⚠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",""))="","✓",TRIM(IF(COUNTIF($A$2:$A$500,A276)&gt;1,"⚠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",""))))</f>
        <v/>
      </c>
    </row>
    <row r="277">
      <c r="I277" s="2">
        <f>IF(A277="","",IF(TRIM(D277)="","（分項工程層）",IF(TRIM(D277)="全部",_xlfn.TEXTJOIN("、",TRUE,單元!$A$2:$A$500),SUBSTITUTE(SUBSTITUTE(SUBSTITUTE(TRIM(D277),"，","、"),",","、")," ",""))))</f>
        <v/>
      </c>
      <c r="J277" s="2">
        <f>IF(A277="","",IF(TRIM(H277)="","施工前、施工中、施工後",SUBSTITUTE(SUBSTITUTE(SUBSTITUTE(TRIM(H277),"，","、"),",","、")," ","")))</f>
        <v/>
      </c>
      <c r="K277" s="2">
        <f>IF(A277="","",SUMPRODUCT((檢查項目!$A$2:$A$500=A277)*(檢查項目!$B$2:$B$500="")))</f>
        <v/>
      </c>
      <c r="L277" s="2">
        <f>IF(A277="","",SUMPRODUCT((檢查項目!$A$2:$A$500=A277)*(檢查項目!$B$2:$B$500&lt;&gt;""))+SUMPRODUCT((數值欄位!$A$2:$A$500=A277)*(數值欄位!$B$2:$B$500&lt;&gt;"")))</f>
        <v/>
      </c>
      <c r="M277" s="2">
        <f>IF(A277="","",IF(TRIM(IF(COUNTIF($A$2:$A$500,A277)&gt;1,"⚠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",""))="","✓",TRIM(IF(COUNTIF($A$2:$A$500,A277)&gt;1,"⚠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",""))))</f>
        <v/>
      </c>
    </row>
    <row r="278">
      <c r="I278" s="2">
        <f>IF(A278="","",IF(TRIM(D278)="","（分項工程層）",IF(TRIM(D278)="全部",_xlfn.TEXTJOIN("、",TRUE,單元!$A$2:$A$500),SUBSTITUTE(SUBSTITUTE(SUBSTITUTE(TRIM(D278),"，","、"),",","、")," ",""))))</f>
        <v/>
      </c>
      <c r="J278" s="2">
        <f>IF(A278="","",IF(TRIM(H278)="","施工前、施工中、施工後",SUBSTITUTE(SUBSTITUTE(SUBSTITUTE(TRIM(H278),"，","、"),",","、")," ","")))</f>
        <v/>
      </c>
      <c r="K278" s="2">
        <f>IF(A278="","",SUMPRODUCT((檢查項目!$A$2:$A$500=A278)*(檢查項目!$B$2:$B$500="")))</f>
        <v/>
      </c>
      <c r="L278" s="2">
        <f>IF(A278="","",SUMPRODUCT((檢查項目!$A$2:$A$500=A278)*(檢查項目!$B$2:$B$500&lt;&gt;""))+SUMPRODUCT((數值欄位!$A$2:$A$500=A278)*(數值欄位!$B$2:$B$500&lt;&gt;"")))</f>
        <v/>
      </c>
      <c r="M278" s="2">
        <f>IF(A278="","",IF(TRIM(IF(COUNTIF($A$2:$A$500,A278)&gt;1,"⚠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",""))="","✓",TRIM(IF(COUNTIF($A$2:$A$500,A278)&gt;1,"⚠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",""))))</f>
        <v/>
      </c>
    </row>
    <row r="279">
      <c r="I279" s="2">
        <f>IF(A279="","",IF(TRIM(D279)="","（分項工程層）",IF(TRIM(D279)="全部",_xlfn.TEXTJOIN("、",TRUE,單元!$A$2:$A$500),SUBSTITUTE(SUBSTITUTE(SUBSTITUTE(TRIM(D279),"，","、"),",","、")," ",""))))</f>
        <v/>
      </c>
      <c r="J279" s="2">
        <f>IF(A279="","",IF(TRIM(H279)="","施工前、施工中、施工後",SUBSTITUTE(SUBSTITUTE(SUBSTITUTE(TRIM(H279),"，","、"),",","、")," ","")))</f>
        <v/>
      </c>
      <c r="K279" s="2">
        <f>IF(A279="","",SUMPRODUCT((檢查項目!$A$2:$A$500=A279)*(檢查項目!$B$2:$B$500="")))</f>
        <v/>
      </c>
      <c r="L279" s="2">
        <f>IF(A279="","",SUMPRODUCT((檢查項目!$A$2:$A$500=A279)*(檢查項目!$B$2:$B$500&lt;&gt;""))+SUMPRODUCT((數值欄位!$A$2:$A$500=A279)*(數值欄位!$B$2:$B$500&lt;&gt;"")))</f>
        <v/>
      </c>
      <c r="M279" s="2">
        <f>IF(A279="","",IF(TRIM(IF(COUNTIF($A$2:$A$500,A279)&gt;1,"⚠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",""))="","✓",TRIM(IF(COUNTIF($A$2:$A$500,A279)&gt;1,"⚠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",""))))</f>
        <v/>
      </c>
    </row>
    <row r="280">
      <c r="I280" s="2">
        <f>IF(A280="","",IF(TRIM(D280)="","（分項工程層）",IF(TRIM(D280)="全部",_xlfn.TEXTJOIN("、",TRUE,單元!$A$2:$A$500),SUBSTITUTE(SUBSTITUTE(SUBSTITUTE(TRIM(D280),"，","、"),",","、")," ",""))))</f>
        <v/>
      </c>
      <c r="J280" s="2">
        <f>IF(A280="","",IF(TRIM(H280)="","施工前、施工中、施工後",SUBSTITUTE(SUBSTITUTE(SUBSTITUTE(TRIM(H280),"，","、"),",","、")," ","")))</f>
        <v/>
      </c>
      <c r="K280" s="2">
        <f>IF(A280="","",SUMPRODUCT((檢查項目!$A$2:$A$500=A280)*(檢查項目!$B$2:$B$500="")))</f>
        <v/>
      </c>
      <c r="L280" s="2">
        <f>IF(A280="","",SUMPRODUCT((檢查項目!$A$2:$A$500=A280)*(檢查項目!$B$2:$B$500&lt;&gt;""))+SUMPRODUCT((數值欄位!$A$2:$A$500=A280)*(數值欄位!$B$2:$B$500&lt;&gt;"")))</f>
        <v/>
      </c>
      <c r="M280" s="2">
        <f>IF(A280="","",IF(TRIM(IF(COUNTIF($A$2:$A$500,A280)&gt;1,"⚠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",""))="","✓",TRIM(IF(COUNTIF($A$2:$A$500,A280)&gt;1,"⚠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",""))))</f>
        <v/>
      </c>
    </row>
    <row r="281">
      <c r="I281" s="2">
        <f>IF(A281="","",IF(TRIM(D281)="","（分項工程層）",IF(TRIM(D281)="全部",_xlfn.TEXTJOIN("、",TRUE,單元!$A$2:$A$500),SUBSTITUTE(SUBSTITUTE(SUBSTITUTE(TRIM(D281),"，","、"),",","、")," ",""))))</f>
        <v/>
      </c>
      <c r="J281" s="2">
        <f>IF(A281="","",IF(TRIM(H281)="","施工前、施工中、施工後",SUBSTITUTE(SUBSTITUTE(SUBSTITUTE(TRIM(H281),"，","、"),",","、")," ","")))</f>
        <v/>
      </c>
      <c r="K281" s="2">
        <f>IF(A281="","",SUMPRODUCT((檢查項目!$A$2:$A$500=A281)*(檢查項目!$B$2:$B$500="")))</f>
        <v/>
      </c>
      <c r="L281" s="2">
        <f>IF(A281="","",SUMPRODUCT((檢查項目!$A$2:$A$500=A281)*(檢查項目!$B$2:$B$500&lt;&gt;""))+SUMPRODUCT((數值欄位!$A$2:$A$500=A281)*(數值欄位!$B$2:$B$500&lt;&gt;"")))</f>
        <v/>
      </c>
      <c r="M281" s="2">
        <f>IF(A281="","",IF(TRIM(IF(COUNTIF($A$2:$A$500,A281)&gt;1,"⚠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",""))="","✓",TRIM(IF(COUNTIF($A$2:$A$500,A281)&gt;1,"⚠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",""))))</f>
        <v/>
      </c>
    </row>
    <row r="282">
      <c r="I282" s="2">
        <f>IF(A282="","",IF(TRIM(D282)="","（分項工程層）",IF(TRIM(D282)="全部",_xlfn.TEXTJOIN("、",TRUE,單元!$A$2:$A$500),SUBSTITUTE(SUBSTITUTE(SUBSTITUTE(TRIM(D282),"，","、"),",","、")," ",""))))</f>
        <v/>
      </c>
      <c r="J282" s="2">
        <f>IF(A282="","",IF(TRIM(H282)="","施工前、施工中、施工後",SUBSTITUTE(SUBSTITUTE(SUBSTITUTE(TRIM(H282),"，","、"),",","、")," ","")))</f>
        <v/>
      </c>
      <c r="K282" s="2">
        <f>IF(A282="","",SUMPRODUCT((檢查項目!$A$2:$A$500=A282)*(檢查項目!$B$2:$B$500="")))</f>
        <v/>
      </c>
      <c r="L282" s="2">
        <f>IF(A282="","",SUMPRODUCT((檢查項目!$A$2:$A$500=A282)*(檢查項目!$B$2:$B$500&lt;&gt;""))+SUMPRODUCT((數值欄位!$A$2:$A$500=A282)*(數值欄位!$B$2:$B$500&lt;&gt;"")))</f>
        <v/>
      </c>
      <c r="M282" s="2">
        <f>IF(A282="","",IF(TRIM(IF(COUNTIF($A$2:$A$500,A282)&gt;1,"⚠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",""))="","✓",TRIM(IF(COUNTIF($A$2:$A$500,A282)&gt;1,"⚠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",""))))</f>
        <v/>
      </c>
    </row>
    <row r="283">
      <c r="I283" s="2">
        <f>IF(A283="","",IF(TRIM(D283)="","（分項工程層）",IF(TRIM(D283)="全部",_xlfn.TEXTJOIN("、",TRUE,單元!$A$2:$A$500),SUBSTITUTE(SUBSTITUTE(SUBSTITUTE(TRIM(D283),"，","、"),",","、")," ",""))))</f>
        <v/>
      </c>
      <c r="J283" s="2">
        <f>IF(A283="","",IF(TRIM(H283)="","施工前、施工中、施工後",SUBSTITUTE(SUBSTITUTE(SUBSTITUTE(TRIM(H283),"，","、"),",","、")," ","")))</f>
        <v/>
      </c>
      <c r="K283" s="2">
        <f>IF(A283="","",SUMPRODUCT((檢查項目!$A$2:$A$500=A283)*(檢查項目!$B$2:$B$500="")))</f>
        <v/>
      </c>
      <c r="L283" s="2">
        <f>IF(A283="","",SUMPRODUCT((檢查項目!$A$2:$A$500=A283)*(檢查項目!$B$2:$B$500&lt;&gt;""))+SUMPRODUCT((數值欄位!$A$2:$A$500=A283)*(數值欄位!$B$2:$B$500&lt;&gt;"")))</f>
        <v/>
      </c>
      <c r="M283" s="2">
        <f>IF(A283="","",IF(TRIM(IF(COUNTIF($A$2:$A$500,A283)&gt;1,"⚠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",""))="","✓",TRIM(IF(COUNTIF($A$2:$A$500,A283)&gt;1,"⚠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",""))))</f>
        <v/>
      </c>
    </row>
    <row r="284">
      <c r="I284" s="2">
        <f>IF(A284="","",IF(TRIM(D284)="","（分項工程層）",IF(TRIM(D284)="全部",_xlfn.TEXTJOIN("、",TRUE,單元!$A$2:$A$500),SUBSTITUTE(SUBSTITUTE(SUBSTITUTE(TRIM(D284),"，","、"),",","、")," ",""))))</f>
        <v/>
      </c>
      <c r="J284" s="2">
        <f>IF(A284="","",IF(TRIM(H284)="","施工前、施工中、施工後",SUBSTITUTE(SUBSTITUTE(SUBSTITUTE(TRIM(H284),"，","、"),",","、")," ","")))</f>
        <v/>
      </c>
      <c r="K284" s="2">
        <f>IF(A284="","",SUMPRODUCT((檢查項目!$A$2:$A$500=A284)*(檢查項目!$B$2:$B$500="")))</f>
        <v/>
      </c>
      <c r="L284" s="2">
        <f>IF(A284="","",SUMPRODUCT((檢查項目!$A$2:$A$500=A284)*(檢查項目!$B$2:$B$500&lt;&gt;""))+SUMPRODUCT((數值欄位!$A$2:$A$500=A284)*(數值欄位!$B$2:$B$500&lt;&gt;"")))</f>
        <v/>
      </c>
      <c r="M284" s="2">
        <f>IF(A284="","",IF(TRIM(IF(COUNTIF($A$2:$A$500,A284)&gt;1,"⚠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",""))="","✓",TRIM(IF(COUNTIF($A$2:$A$500,A284)&gt;1,"⚠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",""))))</f>
        <v/>
      </c>
    </row>
    <row r="285">
      <c r="I285" s="2">
        <f>IF(A285="","",IF(TRIM(D285)="","（分項工程層）",IF(TRIM(D285)="全部",_xlfn.TEXTJOIN("、",TRUE,單元!$A$2:$A$500),SUBSTITUTE(SUBSTITUTE(SUBSTITUTE(TRIM(D285),"，","、"),",","、")," ",""))))</f>
        <v/>
      </c>
      <c r="J285" s="2">
        <f>IF(A285="","",IF(TRIM(H285)="","施工前、施工中、施工後",SUBSTITUTE(SUBSTITUTE(SUBSTITUTE(TRIM(H285),"，","、"),",","、")," ","")))</f>
        <v/>
      </c>
      <c r="K285" s="2">
        <f>IF(A285="","",SUMPRODUCT((檢查項目!$A$2:$A$500=A285)*(檢查項目!$B$2:$B$500="")))</f>
        <v/>
      </c>
      <c r="L285" s="2">
        <f>IF(A285="","",SUMPRODUCT((檢查項目!$A$2:$A$500=A285)*(檢查項目!$B$2:$B$500&lt;&gt;""))+SUMPRODUCT((數值欄位!$A$2:$A$500=A285)*(數值欄位!$B$2:$B$500&lt;&gt;"")))</f>
        <v/>
      </c>
      <c r="M285" s="2">
        <f>IF(A285="","",IF(TRIM(IF(COUNTIF($A$2:$A$500,A285)&gt;1,"⚠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",""))="","✓",TRIM(IF(COUNTIF($A$2:$A$500,A285)&gt;1,"⚠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",""))))</f>
        <v/>
      </c>
    </row>
    <row r="286">
      <c r="I286" s="2">
        <f>IF(A286="","",IF(TRIM(D286)="","（分項工程層）",IF(TRIM(D286)="全部",_xlfn.TEXTJOIN("、",TRUE,單元!$A$2:$A$500),SUBSTITUTE(SUBSTITUTE(SUBSTITUTE(TRIM(D286),"，","、"),",","、")," ",""))))</f>
        <v/>
      </c>
      <c r="J286" s="2">
        <f>IF(A286="","",IF(TRIM(H286)="","施工前、施工中、施工後",SUBSTITUTE(SUBSTITUTE(SUBSTITUTE(TRIM(H286),"，","、"),",","、")," ","")))</f>
        <v/>
      </c>
      <c r="K286" s="2">
        <f>IF(A286="","",SUMPRODUCT((檢查項目!$A$2:$A$500=A286)*(檢查項目!$B$2:$B$500="")))</f>
        <v/>
      </c>
      <c r="L286" s="2">
        <f>IF(A286="","",SUMPRODUCT((檢查項目!$A$2:$A$500=A286)*(檢查項目!$B$2:$B$500&lt;&gt;""))+SUMPRODUCT((數值欄位!$A$2:$A$500=A286)*(數值欄位!$B$2:$B$500&lt;&gt;"")))</f>
        <v/>
      </c>
      <c r="M286" s="2">
        <f>IF(A286="","",IF(TRIM(IF(COUNTIF($A$2:$A$500,A286)&gt;1,"⚠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",""))="","✓",TRIM(IF(COUNTIF($A$2:$A$500,A286)&gt;1,"⚠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",""))))</f>
        <v/>
      </c>
    </row>
    <row r="287">
      <c r="I287" s="2">
        <f>IF(A287="","",IF(TRIM(D287)="","（分項工程層）",IF(TRIM(D287)="全部",_xlfn.TEXTJOIN("、",TRUE,單元!$A$2:$A$500),SUBSTITUTE(SUBSTITUTE(SUBSTITUTE(TRIM(D287),"，","、"),",","、")," ",""))))</f>
        <v/>
      </c>
      <c r="J287" s="2">
        <f>IF(A287="","",IF(TRIM(H287)="","施工前、施工中、施工後",SUBSTITUTE(SUBSTITUTE(SUBSTITUTE(TRIM(H287),"，","、"),",","、")," ","")))</f>
        <v/>
      </c>
      <c r="K287" s="2">
        <f>IF(A287="","",SUMPRODUCT((檢查項目!$A$2:$A$500=A287)*(檢查項目!$B$2:$B$500="")))</f>
        <v/>
      </c>
      <c r="L287" s="2">
        <f>IF(A287="","",SUMPRODUCT((檢查項目!$A$2:$A$500=A287)*(檢查項目!$B$2:$B$500&lt;&gt;""))+SUMPRODUCT((數值欄位!$A$2:$A$500=A287)*(數值欄位!$B$2:$B$500&lt;&gt;"")))</f>
        <v/>
      </c>
      <c r="M287" s="2">
        <f>IF(A287="","",IF(TRIM(IF(COUNTIF($A$2:$A$500,A287)&gt;1,"⚠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",""))="","✓",TRIM(IF(COUNTIF($A$2:$A$500,A287)&gt;1,"⚠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",""))))</f>
        <v/>
      </c>
    </row>
    <row r="288">
      <c r="I288" s="2">
        <f>IF(A288="","",IF(TRIM(D288)="","（分項工程層）",IF(TRIM(D288)="全部",_xlfn.TEXTJOIN("、",TRUE,單元!$A$2:$A$500),SUBSTITUTE(SUBSTITUTE(SUBSTITUTE(TRIM(D288),"，","、"),",","、")," ",""))))</f>
        <v/>
      </c>
      <c r="J288" s="2">
        <f>IF(A288="","",IF(TRIM(H288)="","施工前、施工中、施工後",SUBSTITUTE(SUBSTITUTE(SUBSTITUTE(TRIM(H288),"，","、"),",","、")," ","")))</f>
        <v/>
      </c>
      <c r="K288" s="2">
        <f>IF(A288="","",SUMPRODUCT((檢查項目!$A$2:$A$500=A288)*(檢查項目!$B$2:$B$500="")))</f>
        <v/>
      </c>
      <c r="L288" s="2">
        <f>IF(A288="","",SUMPRODUCT((檢查項目!$A$2:$A$500=A288)*(檢查項目!$B$2:$B$500&lt;&gt;""))+SUMPRODUCT((數值欄位!$A$2:$A$500=A288)*(數值欄位!$B$2:$B$500&lt;&gt;"")))</f>
        <v/>
      </c>
      <c r="M288" s="2">
        <f>IF(A288="","",IF(TRIM(IF(COUNTIF($A$2:$A$500,A288)&gt;1,"⚠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",""))="","✓",TRIM(IF(COUNTIF($A$2:$A$500,A288)&gt;1,"⚠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",""))))</f>
        <v/>
      </c>
    </row>
    <row r="289">
      <c r="I289" s="2">
        <f>IF(A289="","",IF(TRIM(D289)="","（分項工程層）",IF(TRIM(D289)="全部",_xlfn.TEXTJOIN("、",TRUE,單元!$A$2:$A$500),SUBSTITUTE(SUBSTITUTE(SUBSTITUTE(TRIM(D289),"，","、"),",","、")," ",""))))</f>
        <v/>
      </c>
      <c r="J289" s="2">
        <f>IF(A289="","",IF(TRIM(H289)="","施工前、施工中、施工後",SUBSTITUTE(SUBSTITUTE(SUBSTITUTE(TRIM(H289),"，","、"),",","、")," ","")))</f>
        <v/>
      </c>
      <c r="K289" s="2">
        <f>IF(A289="","",SUMPRODUCT((檢查項目!$A$2:$A$500=A289)*(檢查項目!$B$2:$B$500="")))</f>
        <v/>
      </c>
      <c r="L289" s="2">
        <f>IF(A289="","",SUMPRODUCT((檢查項目!$A$2:$A$500=A289)*(檢查項目!$B$2:$B$500&lt;&gt;""))+SUMPRODUCT((數值欄位!$A$2:$A$500=A289)*(數值欄位!$B$2:$B$500&lt;&gt;"")))</f>
        <v/>
      </c>
      <c r="M289" s="2">
        <f>IF(A289="","",IF(TRIM(IF(COUNTIF($A$2:$A$500,A289)&gt;1,"⚠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",""))="","✓",TRIM(IF(COUNTIF($A$2:$A$500,A289)&gt;1,"⚠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",""))))</f>
        <v/>
      </c>
    </row>
    <row r="290">
      <c r="I290" s="2">
        <f>IF(A290="","",IF(TRIM(D290)="","（分項工程層）",IF(TRIM(D290)="全部",_xlfn.TEXTJOIN("、",TRUE,單元!$A$2:$A$500),SUBSTITUTE(SUBSTITUTE(SUBSTITUTE(TRIM(D290),"，","、"),",","、")," ",""))))</f>
        <v/>
      </c>
      <c r="J290" s="2">
        <f>IF(A290="","",IF(TRIM(H290)="","施工前、施工中、施工後",SUBSTITUTE(SUBSTITUTE(SUBSTITUTE(TRIM(H290),"，","、"),",","、")," ","")))</f>
        <v/>
      </c>
      <c r="K290" s="2">
        <f>IF(A290="","",SUMPRODUCT((檢查項目!$A$2:$A$500=A290)*(檢查項目!$B$2:$B$500="")))</f>
        <v/>
      </c>
      <c r="L290" s="2">
        <f>IF(A290="","",SUMPRODUCT((檢查項目!$A$2:$A$500=A290)*(檢查項目!$B$2:$B$500&lt;&gt;""))+SUMPRODUCT((數值欄位!$A$2:$A$500=A290)*(數值欄位!$B$2:$B$500&lt;&gt;"")))</f>
        <v/>
      </c>
      <c r="M290" s="2">
        <f>IF(A290="","",IF(TRIM(IF(COUNTIF($A$2:$A$500,A290)&gt;1,"⚠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",""))="","✓",TRIM(IF(COUNTIF($A$2:$A$500,A290)&gt;1,"⚠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",""))))</f>
        <v/>
      </c>
    </row>
    <row r="291">
      <c r="I291" s="2">
        <f>IF(A291="","",IF(TRIM(D291)="","（分項工程層）",IF(TRIM(D291)="全部",_xlfn.TEXTJOIN("、",TRUE,單元!$A$2:$A$500),SUBSTITUTE(SUBSTITUTE(SUBSTITUTE(TRIM(D291),"，","、"),",","、")," ",""))))</f>
        <v/>
      </c>
      <c r="J291" s="2">
        <f>IF(A291="","",IF(TRIM(H291)="","施工前、施工中、施工後",SUBSTITUTE(SUBSTITUTE(SUBSTITUTE(TRIM(H291),"，","、"),",","、")," ","")))</f>
        <v/>
      </c>
      <c r="K291" s="2">
        <f>IF(A291="","",SUMPRODUCT((檢查項目!$A$2:$A$500=A291)*(檢查項目!$B$2:$B$500="")))</f>
        <v/>
      </c>
      <c r="L291" s="2">
        <f>IF(A291="","",SUMPRODUCT((檢查項目!$A$2:$A$500=A291)*(檢查項目!$B$2:$B$500&lt;&gt;""))+SUMPRODUCT((數值欄位!$A$2:$A$500=A291)*(數值欄位!$B$2:$B$500&lt;&gt;"")))</f>
        <v/>
      </c>
      <c r="M291" s="2">
        <f>IF(A291="","",IF(TRIM(IF(COUNTIF($A$2:$A$500,A291)&gt;1,"⚠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",""))="","✓",TRIM(IF(COUNTIF($A$2:$A$500,A291)&gt;1,"⚠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",""))))</f>
        <v/>
      </c>
    </row>
    <row r="292">
      <c r="I292" s="2">
        <f>IF(A292="","",IF(TRIM(D292)="","（分項工程層）",IF(TRIM(D292)="全部",_xlfn.TEXTJOIN("、",TRUE,單元!$A$2:$A$500),SUBSTITUTE(SUBSTITUTE(SUBSTITUTE(TRIM(D292),"，","、"),",","、")," ",""))))</f>
        <v/>
      </c>
      <c r="J292" s="2">
        <f>IF(A292="","",IF(TRIM(H292)="","施工前、施工中、施工後",SUBSTITUTE(SUBSTITUTE(SUBSTITUTE(TRIM(H292),"，","、"),",","、")," ","")))</f>
        <v/>
      </c>
      <c r="K292" s="2">
        <f>IF(A292="","",SUMPRODUCT((檢查項目!$A$2:$A$500=A292)*(檢查項目!$B$2:$B$500="")))</f>
        <v/>
      </c>
      <c r="L292" s="2">
        <f>IF(A292="","",SUMPRODUCT((檢查項目!$A$2:$A$500=A292)*(檢查項目!$B$2:$B$500&lt;&gt;""))+SUMPRODUCT((數值欄位!$A$2:$A$500=A292)*(數值欄位!$B$2:$B$500&lt;&gt;"")))</f>
        <v/>
      </c>
      <c r="M292" s="2">
        <f>IF(A292="","",IF(TRIM(IF(COUNTIF($A$2:$A$500,A292)&gt;1,"⚠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",""))="","✓",TRIM(IF(COUNTIF($A$2:$A$500,A292)&gt;1,"⚠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",""))))</f>
        <v/>
      </c>
    </row>
    <row r="293">
      <c r="I293" s="2">
        <f>IF(A293="","",IF(TRIM(D293)="","（分項工程層）",IF(TRIM(D293)="全部",_xlfn.TEXTJOIN("、",TRUE,單元!$A$2:$A$500),SUBSTITUTE(SUBSTITUTE(SUBSTITUTE(TRIM(D293),"，","、"),",","、")," ",""))))</f>
        <v/>
      </c>
      <c r="J293" s="2">
        <f>IF(A293="","",IF(TRIM(H293)="","施工前、施工中、施工後",SUBSTITUTE(SUBSTITUTE(SUBSTITUTE(TRIM(H293),"，","、"),",","、")," ","")))</f>
        <v/>
      </c>
      <c r="K293" s="2">
        <f>IF(A293="","",SUMPRODUCT((檢查項目!$A$2:$A$500=A293)*(檢查項目!$B$2:$B$500="")))</f>
        <v/>
      </c>
      <c r="L293" s="2">
        <f>IF(A293="","",SUMPRODUCT((檢查項目!$A$2:$A$500=A293)*(檢查項目!$B$2:$B$500&lt;&gt;""))+SUMPRODUCT((數值欄位!$A$2:$A$500=A293)*(數值欄位!$B$2:$B$500&lt;&gt;"")))</f>
        <v/>
      </c>
      <c r="M293" s="2">
        <f>IF(A293="","",IF(TRIM(IF(COUNTIF($A$2:$A$500,A293)&gt;1,"⚠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",""))="","✓",TRIM(IF(COUNTIF($A$2:$A$500,A293)&gt;1,"⚠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",""))))</f>
        <v/>
      </c>
    </row>
    <row r="294">
      <c r="I294" s="2">
        <f>IF(A294="","",IF(TRIM(D294)="","（分項工程層）",IF(TRIM(D294)="全部",_xlfn.TEXTJOIN("、",TRUE,單元!$A$2:$A$500),SUBSTITUTE(SUBSTITUTE(SUBSTITUTE(TRIM(D294),"，","、"),",","、")," ",""))))</f>
        <v/>
      </c>
      <c r="J294" s="2">
        <f>IF(A294="","",IF(TRIM(H294)="","施工前、施工中、施工後",SUBSTITUTE(SUBSTITUTE(SUBSTITUTE(TRIM(H294),"，","、"),",","、")," ","")))</f>
        <v/>
      </c>
      <c r="K294" s="2">
        <f>IF(A294="","",SUMPRODUCT((檢查項目!$A$2:$A$500=A294)*(檢查項目!$B$2:$B$500="")))</f>
        <v/>
      </c>
      <c r="L294" s="2">
        <f>IF(A294="","",SUMPRODUCT((檢查項目!$A$2:$A$500=A294)*(檢查項目!$B$2:$B$500&lt;&gt;""))+SUMPRODUCT((數值欄位!$A$2:$A$500=A294)*(數值欄位!$B$2:$B$500&lt;&gt;"")))</f>
        <v/>
      </c>
      <c r="M294" s="2">
        <f>IF(A294="","",IF(TRIM(IF(COUNTIF($A$2:$A$500,A294)&gt;1,"⚠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",""))="","✓",TRIM(IF(COUNTIF($A$2:$A$500,A294)&gt;1,"⚠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",""))))</f>
        <v/>
      </c>
    </row>
    <row r="295">
      <c r="I295" s="2">
        <f>IF(A295="","",IF(TRIM(D295)="","（分項工程層）",IF(TRIM(D295)="全部",_xlfn.TEXTJOIN("、",TRUE,單元!$A$2:$A$500),SUBSTITUTE(SUBSTITUTE(SUBSTITUTE(TRIM(D295),"，","、"),",","、")," ",""))))</f>
        <v/>
      </c>
      <c r="J295" s="2">
        <f>IF(A295="","",IF(TRIM(H295)="","施工前、施工中、施工後",SUBSTITUTE(SUBSTITUTE(SUBSTITUTE(TRIM(H295),"，","、"),",","、")," ","")))</f>
        <v/>
      </c>
      <c r="K295" s="2">
        <f>IF(A295="","",SUMPRODUCT((檢查項目!$A$2:$A$500=A295)*(檢查項目!$B$2:$B$500="")))</f>
        <v/>
      </c>
      <c r="L295" s="2">
        <f>IF(A295="","",SUMPRODUCT((檢查項目!$A$2:$A$500=A295)*(檢查項目!$B$2:$B$500&lt;&gt;""))+SUMPRODUCT((數值欄位!$A$2:$A$500=A295)*(數值欄位!$B$2:$B$500&lt;&gt;"")))</f>
        <v/>
      </c>
      <c r="M295" s="2">
        <f>IF(A295="","",IF(TRIM(IF(COUNTIF($A$2:$A$500,A295)&gt;1,"⚠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",""))="","✓",TRIM(IF(COUNTIF($A$2:$A$500,A295)&gt;1,"⚠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",""))))</f>
        <v/>
      </c>
    </row>
    <row r="296">
      <c r="I296" s="2">
        <f>IF(A296="","",IF(TRIM(D296)="","（分項工程層）",IF(TRIM(D296)="全部",_xlfn.TEXTJOIN("、",TRUE,單元!$A$2:$A$500),SUBSTITUTE(SUBSTITUTE(SUBSTITUTE(TRIM(D296),"，","、"),",","、")," ",""))))</f>
        <v/>
      </c>
      <c r="J296" s="2">
        <f>IF(A296="","",IF(TRIM(H296)="","施工前、施工中、施工後",SUBSTITUTE(SUBSTITUTE(SUBSTITUTE(TRIM(H296),"，","、"),",","、")," ","")))</f>
        <v/>
      </c>
      <c r="K296" s="2">
        <f>IF(A296="","",SUMPRODUCT((檢查項目!$A$2:$A$500=A296)*(檢查項目!$B$2:$B$500="")))</f>
        <v/>
      </c>
      <c r="L296" s="2">
        <f>IF(A296="","",SUMPRODUCT((檢查項目!$A$2:$A$500=A296)*(檢查項目!$B$2:$B$500&lt;&gt;""))+SUMPRODUCT((數值欄位!$A$2:$A$500=A296)*(數值欄位!$B$2:$B$500&lt;&gt;"")))</f>
        <v/>
      </c>
      <c r="M296" s="2">
        <f>IF(A296="","",IF(TRIM(IF(COUNTIF($A$2:$A$500,A296)&gt;1,"⚠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",""))="","✓",TRIM(IF(COUNTIF($A$2:$A$500,A296)&gt;1,"⚠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",""))))</f>
        <v/>
      </c>
    </row>
    <row r="297">
      <c r="I297" s="2">
        <f>IF(A297="","",IF(TRIM(D297)="","（分項工程層）",IF(TRIM(D297)="全部",_xlfn.TEXTJOIN("、",TRUE,單元!$A$2:$A$500),SUBSTITUTE(SUBSTITUTE(SUBSTITUTE(TRIM(D297),"，","、"),",","、")," ",""))))</f>
        <v/>
      </c>
      <c r="J297" s="2">
        <f>IF(A297="","",IF(TRIM(H297)="","施工前、施工中、施工後",SUBSTITUTE(SUBSTITUTE(SUBSTITUTE(TRIM(H297),"，","、"),",","、")," ","")))</f>
        <v/>
      </c>
      <c r="K297" s="2">
        <f>IF(A297="","",SUMPRODUCT((檢查項目!$A$2:$A$500=A297)*(檢查項目!$B$2:$B$500="")))</f>
        <v/>
      </c>
      <c r="L297" s="2">
        <f>IF(A297="","",SUMPRODUCT((檢查項目!$A$2:$A$500=A297)*(檢查項目!$B$2:$B$500&lt;&gt;""))+SUMPRODUCT((數值欄位!$A$2:$A$500=A297)*(數值欄位!$B$2:$B$500&lt;&gt;"")))</f>
        <v/>
      </c>
      <c r="M297" s="2">
        <f>IF(A297="","",IF(TRIM(IF(COUNTIF($A$2:$A$500,A297)&gt;1,"⚠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",""))="","✓",TRIM(IF(COUNTIF($A$2:$A$500,A297)&gt;1,"⚠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",""))))</f>
        <v/>
      </c>
    </row>
    <row r="298">
      <c r="I298" s="2">
        <f>IF(A298="","",IF(TRIM(D298)="","（分項工程層）",IF(TRIM(D298)="全部",_xlfn.TEXTJOIN("、",TRUE,單元!$A$2:$A$500),SUBSTITUTE(SUBSTITUTE(SUBSTITUTE(TRIM(D298),"，","、"),",","、")," ",""))))</f>
        <v/>
      </c>
      <c r="J298" s="2">
        <f>IF(A298="","",IF(TRIM(H298)="","施工前、施工中、施工後",SUBSTITUTE(SUBSTITUTE(SUBSTITUTE(TRIM(H298),"，","、"),",","、")," ","")))</f>
        <v/>
      </c>
      <c r="K298" s="2">
        <f>IF(A298="","",SUMPRODUCT((檢查項目!$A$2:$A$500=A298)*(檢查項目!$B$2:$B$500="")))</f>
        <v/>
      </c>
      <c r="L298" s="2">
        <f>IF(A298="","",SUMPRODUCT((檢查項目!$A$2:$A$500=A298)*(檢查項目!$B$2:$B$500&lt;&gt;""))+SUMPRODUCT((數值欄位!$A$2:$A$500=A298)*(數值欄位!$B$2:$B$500&lt;&gt;"")))</f>
        <v/>
      </c>
      <c r="M298" s="2">
        <f>IF(A298="","",IF(TRIM(IF(COUNTIF($A$2:$A$500,A298)&gt;1,"⚠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",""))="","✓",TRIM(IF(COUNTIF($A$2:$A$500,A298)&gt;1,"⚠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",""))))</f>
        <v/>
      </c>
    </row>
    <row r="299">
      <c r="I299" s="2">
        <f>IF(A299="","",IF(TRIM(D299)="","（分項工程層）",IF(TRIM(D299)="全部",_xlfn.TEXTJOIN("、",TRUE,單元!$A$2:$A$500),SUBSTITUTE(SUBSTITUTE(SUBSTITUTE(TRIM(D299),"，","、"),",","、")," ",""))))</f>
        <v/>
      </c>
      <c r="J299" s="2">
        <f>IF(A299="","",IF(TRIM(H299)="","施工前、施工中、施工後",SUBSTITUTE(SUBSTITUTE(SUBSTITUTE(TRIM(H299),"，","、"),",","、")," ","")))</f>
        <v/>
      </c>
      <c r="K299" s="2">
        <f>IF(A299="","",SUMPRODUCT((檢查項目!$A$2:$A$500=A299)*(檢查項目!$B$2:$B$500="")))</f>
        <v/>
      </c>
      <c r="L299" s="2">
        <f>IF(A299="","",SUMPRODUCT((檢查項目!$A$2:$A$500=A299)*(檢查項目!$B$2:$B$500&lt;&gt;""))+SUMPRODUCT((數值欄位!$A$2:$A$500=A299)*(數值欄位!$B$2:$B$500&lt;&gt;"")))</f>
        <v/>
      </c>
      <c r="M299" s="2">
        <f>IF(A299="","",IF(TRIM(IF(COUNTIF($A$2:$A$500,A299)&gt;1,"⚠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",""))="","✓",TRIM(IF(COUNTIF($A$2:$A$500,A299)&gt;1,"⚠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",""))))</f>
        <v/>
      </c>
    </row>
    <row r="300">
      <c r="I300" s="2">
        <f>IF(A300="","",IF(TRIM(D300)="","（分項工程層）",IF(TRIM(D300)="全部",_xlfn.TEXTJOIN("、",TRUE,單元!$A$2:$A$500),SUBSTITUTE(SUBSTITUTE(SUBSTITUTE(TRIM(D300),"，","、"),",","、")," ",""))))</f>
        <v/>
      </c>
      <c r="J300" s="2">
        <f>IF(A300="","",IF(TRIM(H300)="","施工前、施工中、施工後",SUBSTITUTE(SUBSTITUTE(SUBSTITUTE(TRIM(H300),"，","、"),",","、")," ","")))</f>
        <v/>
      </c>
      <c r="K300" s="2">
        <f>IF(A300="","",SUMPRODUCT((檢查項目!$A$2:$A$500=A300)*(檢查項目!$B$2:$B$500="")))</f>
        <v/>
      </c>
      <c r="L300" s="2">
        <f>IF(A300="","",SUMPRODUCT((檢查項目!$A$2:$A$500=A300)*(檢查項目!$B$2:$B$500&lt;&gt;""))+SUMPRODUCT((數值欄位!$A$2:$A$500=A300)*(數值欄位!$B$2:$B$500&lt;&gt;"")))</f>
        <v/>
      </c>
      <c r="M300" s="2">
        <f>IF(A300="","",IF(TRIM(IF(COUNTIF($A$2:$A$500,A300)&gt;1,"⚠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",""))="","✓",TRIM(IF(COUNTIF($A$2:$A$500,A300)&gt;1,"⚠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",""))))</f>
        <v/>
      </c>
    </row>
  </sheetData>
  <autoFilter ref="A1:M300"/>
  <dataValidations count="2">
    <dataValidation sqref="C2:C500" showDropDown="0" showInputMessage="0" showErrorMessage="1" allowBlank="1" errorTitle="表單類型" error="請從下拉選單選擇" type="list">
      <formula1>'代碼表'!$A$2:$A$3</formula1>
    </dataValidation>
    <dataValidation sqref="F2:F500" showDropDown="0" showInputMessage="0" showErrorMessage="1" allowBlank="1" errorTitle="配對自主檢查表號" error="請從下拉選單選擇本分項的自主檢查表（見「可連結表單」工作表）" type="list">
      <formula1>OFFSET('可連結表單'!$J$2,0,0,MAX(1,SUMPRODUCT(--(LEN('可連結表單'!$J$2:$J$501)&gt;0))),1)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O300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6" customWidth="1" min="3" max="3"/>
    <col width="8" customWidth="1" min="4" max="4"/>
    <col width="24" customWidth="1" min="5" max="5"/>
    <col width="36" customWidth="1" min="6" max="6"/>
    <col width="10" customWidth="1" min="7" max="7"/>
    <col width="7" customWidth="1" min="8" max="8"/>
    <col width="7" customWidth="1" min="9" max="9"/>
    <col width="15" customWidth="1" min="10" max="10"/>
    <col width="9" customWidth="1" min="11" max="11"/>
    <col width="6" customWidth="1" min="12" max="12"/>
    <col width="16" customWidth="1" min="13" max="13"/>
    <col width="8" customWidth="1" min="14" max="14"/>
    <col width="24" customWidth="1" min="15" max="15"/>
  </cols>
  <sheetData>
    <row r="1" ht="32" customHeight="1">
      <c r="A1" s="12" t="inlineStr">
        <is>
          <t>表號 *</t>
        </is>
      </c>
      <c r="B1" s="13" t="inlineStr">
        <is>
          <t>單元編號</t>
        </is>
      </c>
      <c r="C1" s="12" t="inlineStr">
        <is>
          <t>項次 *</t>
        </is>
      </c>
      <c r="D1" s="12" t="inlineStr">
        <is>
          <t>階段 *</t>
        </is>
      </c>
      <c r="E1" s="12" t="inlineStr">
        <is>
          <t>檢查項目 *</t>
        </is>
      </c>
      <c r="F1" s="13" t="inlineStr">
        <is>
          <t>檢查標準</t>
        </is>
      </c>
      <c r="G1" s="12" t="inlineStr">
        <is>
          <t>判定類型 *</t>
        </is>
      </c>
      <c r="H1" s="13" t="inlineStr">
        <is>
          <t>停留點</t>
        </is>
      </c>
      <c r="I1" s="13" t="inlineStr">
        <is>
          <t>必拍照</t>
        </is>
      </c>
      <c r="J1" s="13" t="inlineStr">
        <is>
          <t>引用文件編號</t>
        </is>
      </c>
      <c r="K1" s="13" t="inlineStr">
        <is>
          <t>連結表號</t>
        </is>
      </c>
      <c r="L1" s="13" t="inlineStr">
        <is>
          <t>排除</t>
        </is>
      </c>
      <c r="M1" s="14" t="inlineStr">
        <is>
          <t>套用方式</t>
        </is>
      </c>
      <c r="N1" s="14" t="inlineStr">
        <is>
          <t>數值欄位數</t>
        </is>
      </c>
      <c r="O1" s="14" t="inlineStr">
        <is>
          <t>檢查</t>
        </is>
      </c>
    </row>
    <row r="2">
      <c r="M2" s="2">
        <f>IF(A2="","",IF(B2="","共用",IF(L2="Y","排除（"&amp;B2&amp;"）",IF(SUMPRODUCT(($A$2:$A$500=A2)*($C$2:$C$500=C2)*($B$2:$B$500=""))&gt;0,"覆蓋共用（"&amp;B2&amp;"）","單元新增（"&amp;B2&amp;"）"))))</f>
        <v/>
      </c>
      <c r="N2" s="2">
        <f>IF(A2="","",COUNTIFS(數值欄位!$A$2:$A$500,A2,數值欄位!$C$2:$C$500,C2))</f>
        <v/>
      </c>
      <c r="O2" s="2">
        <f>IF(A2="","",IF(TRIM(IF(COUNTIF(表單!$A$2:$A$500,A2)=0,"⚠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","")&amp;IF(AND(L2&lt;&gt;"Y",G2="數值",N2=0),"⚠ 數值需設定欄位 ","")&amp;IF(AND(L2&lt;&gt;"Y",G2="連結表單",K2=""),"⚠ 缺連結表號 ","")&amp;IF(AND(K2&lt;&gt;"",COUNTIF(可連結表單!$J$2:$J$501,K2)=0),"⚠ 連結表號不存在（需為本分項的自主檢查表） ",""))="","✓",TRIM(IF(COUNTIF(表單!$A$2:$A$500,A2)=0,"⚠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","")&amp;IF(AND(L2&lt;&gt;"Y",G2="數值",N2=0),"⚠ 數值需設定欄位 ","")&amp;IF(AND(L2&lt;&gt;"Y",G2="連結表單",K2=""),"⚠ 缺連結表號 ","")&amp;IF(AND(K2&lt;&gt;"",COUNTIF(可連結表單!$J$2:$J$501,K2)=0),"⚠ 連結表號不存在（需為本分項的自主檢查表） ",""))))</f>
        <v/>
      </c>
    </row>
    <row r="3">
      <c r="M3" s="2">
        <f>IF(A3="","",IF(B3="","共用",IF(L3="Y","排除（"&amp;B3&amp;"）",IF(SUMPRODUCT(($A$2:$A$500=A3)*($C$2:$C$500=C3)*($B$2:$B$500=""))&gt;0,"覆蓋共用（"&amp;B3&amp;"）","單元新增（"&amp;B3&amp;"）"))))</f>
        <v/>
      </c>
      <c r="N3" s="2">
        <f>IF(A3="","",COUNTIFS(數值欄位!$A$2:$A$500,A3,數值欄位!$C$2:$C$500,C3))</f>
        <v/>
      </c>
      <c r="O3" s="2">
        <f>IF(A3="","",IF(TRIM(IF(COUNTIF(表單!$A$2:$A$500,A3)=0,"⚠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","")&amp;IF(AND(L3&lt;&gt;"Y",G3="數值",N3=0),"⚠ 數值需設定欄位 ","")&amp;IF(AND(L3&lt;&gt;"Y",G3="連結表單",K3=""),"⚠ 缺連結表號 ","")&amp;IF(AND(K3&lt;&gt;"",COUNTIF(可連結表單!$J$2:$J$501,K3)=0),"⚠ 連結表號不存在（需為本分項的自主檢查表） ",""))="","✓",TRIM(IF(COUNTIF(表單!$A$2:$A$500,A3)=0,"⚠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","")&amp;IF(AND(L3&lt;&gt;"Y",G3="數值",N3=0),"⚠ 數值需設定欄位 ","")&amp;IF(AND(L3&lt;&gt;"Y",G3="連結表單",K3=""),"⚠ 缺連結表號 ","")&amp;IF(AND(K3&lt;&gt;"",COUNTIF(可連結表單!$J$2:$J$501,K3)=0),"⚠ 連結表號不存在（需為本分項的自主檢查表） ",""))))</f>
        <v/>
      </c>
    </row>
    <row r="4">
      <c r="M4" s="2">
        <f>IF(A4="","",IF(B4="","共用",IF(L4="Y","排除（"&amp;B4&amp;"）",IF(SUMPRODUCT(($A$2:$A$500=A4)*($C$2:$C$500=C4)*($B$2:$B$500=""))&gt;0,"覆蓋共用（"&amp;B4&amp;"）","單元新增（"&amp;B4&amp;"）"))))</f>
        <v/>
      </c>
      <c r="N4" s="2">
        <f>IF(A4="","",COUNTIFS(數值欄位!$A$2:$A$500,A4,數值欄位!$C$2:$C$500,C4))</f>
        <v/>
      </c>
      <c r="O4" s="2">
        <f>IF(A4="","",IF(TRIM(IF(COUNTIF(表單!$A$2:$A$500,A4)=0,"⚠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","")&amp;IF(AND(L4&lt;&gt;"Y",G4="數值",N4=0),"⚠ 數值需設定欄位 ","")&amp;IF(AND(L4&lt;&gt;"Y",G4="連結表單",K4=""),"⚠ 缺連結表號 ","")&amp;IF(AND(K4&lt;&gt;"",COUNTIF(可連結表單!$J$2:$J$501,K4)=0),"⚠ 連結表號不存在（需為本分項的自主檢查表） ",""))="","✓",TRIM(IF(COUNTIF(表單!$A$2:$A$500,A4)=0,"⚠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","")&amp;IF(AND(L4&lt;&gt;"Y",G4="數值",N4=0),"⚠ 數值需設定欄位 ","")&amp;IF(AND(L4&lt;&gt;"Y",G4="連結表單",K4=""),"⚠ 缺連結表號 ","")&amp;IF(AND(K4&lt;&gt;"",COUNTIF(可連結表單!$J$2:$J$501,K4)=0),"⚠ 連結表號不存在（需為本分項的自主檢查表） ",""))))</f>
        <v/>
      </c>
    </row>
    <row r="5">
      <c r="M5" s="2">
        <f>IF(A5="","",IF(B5="","共用",IF(L5="Y","排除（"&amp;B5&amp;"）",IF(SUMPRODUCT(($A$2:$A$500=A5)*($C$2:$C$500=C5)*($B$2:$B$500=""))&gt;0,"覆蓋共用（"&amp;B5&amp;"）","單元新增（"&amp;B5&amp;"）"))))</f>
        <v/>
      </c>
      <c r="N5" s="2">
        <f>IF(A5="","",COUNTIFS(數值欄位!$A$2:$A$500,A5,數值欄位!$C$2:$C$500,C5))</f>
        <v/>
      </c>
      <c r="O5" s="2">
        <f>IF(A5="","",IF(TRIM(IF(COUNTIF(表單!$A$2:$A$500,A5)=0,"⚠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","")&amp;IF(AND(L5&lt;&gt;"Y",G5="數值",N5=0),"⚠ 數值需設定欄位 ","")&amp;IF(AND(L5&lt;&gt;"Y",G5="連結表單",K5=""),"⚠ 缺連結表號 ","")&amp;IF(AND(K5&lt;&gt;"",COUNTIF(可連結表單!$J$2:$J$501,K5)=0),"⚠ 連結表號不存在（需為本分項的自主檢查表） ",""))="","✓",TRIM(IF(COUNTIF(表單!$A$2:$A$500,A5)=0,"⚠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","")&amp;IF(AND(L5&lt;&gt;"Y",G5="數值",N5=0),"⚠ 數值需設定欄位 ","")&amp;IF(AND(L5&lt;&gt;"Y",G5="連結表單",K5=""),"⚠ 缺連結表號 ","")&amp;IF(AND(K5&lt;&gt;"",COUNTIF(可連結表單!$J$2:$J$501,K5)=0),"⚠ 連結表號不存在（需為本分項的自主檢查表） ",""))))</f>
        <v/>
      </c>
    </row>
    <row r="6">
      <c r="M6" s="2">
        <f>IF(A6="","",IF(B6="","共用",IF(L6="Y","排除（"&amp;B6&amp;"）",IF(SUMPRODUCT(($A$2:$A$500=A6)*($C$2:$C$500=C6)*($B$2:$B$500=""))&gt;0,"覆蓋共用（"&amp;B6&amp;"）","單元新增（"&amp;B6&amp;"）"))))</f>
        <v/>
      </c>
      <c r="N6" s="2">
        <f>IF(A6="","",COUNTIFS(數值欄位!$A$2:$A$500,A6,數值欄位!$C$2:$C$500,C6))</f>
        <v/>
      </c>
      <c r="O6" s="2">
        <f>IF(A6="","",IF(TRIM(IF(COUNTIF(表單!$A$2:$A$500,A6)=0,"⚠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","")&amp;IF(AND(L6&lt;&gt;"Y",G6="數值",N6=0),"⚠ 數值需設定欄位 ","")&amp;IF(AND(L6&lt;&gt;"Y",G6="連結表單",K6=""),"⚠ 缺連結表號 ","")&amp;IF(AND(K6&lt;&gt;"",COUNTIF(可連結表單!$J$2:$J$501,K6)=0),"⚠ 連結表號不存在（需為本分項的自主檢查表） ",""))="","✓",TRIM(IF(COUNTIF(表單!$A$2:$A$500,A6)=0,"⚠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","")&amp;IF(AND(L6&lt;&gt;"Y",G6="數值",N6=0),"⚠ 數值需設定欄位 ","")&amp;IF(AND(L6&lt;&gt;"Y",G6="連結表單",K6=""),"⚠ 缺連結表號 ","")&amp;IF(AND(K6&lt;&gt;"",COUNTIF(可連結表單!$J$2:$J$501,K6)=0),"⚠ 連結表號不存在（需為本分項的自主檢查表） ",""))))</f>
        <v/>
      </c>
    </row>
    <row r="7">
      <c r="M7" s="2">
        <f>IF(A7="","",IF(B7="","共用",IF(L7="Y","排除（"&amp;B7&amp;"）",IF(SUMPRODUCT(($A$2:$A$500=A7)*($C$2:$C$500=C7)*($B$2:$B$500=""))&gt;0,"覆蓋共用（"&amp;B7&amp;"）","單元新增（"&amp;B7&amp;"）"))))</f>
        <v/>
      </c>
      <c r="N7" s="2">
        <f>IF(A7="","",COUNTIFS(數值欄位!$A$2:$A$500,A7,數值欄位!$C$2:$C$500,C7))</f>
        <v/>
      </c>
      <c r="O7" s="2">
        <f>IF(A7="","",IF(TRIM(IF(COUNTIF(表單!$A$2:$A$500,A7)=0,"⚠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","")&amp;IF(AND(L7&lt;&gt;"Y",G7="數值",N7=0),"⚠ 數值需設定欄位 ","")&amp;IF(AND(L7&lt;&gt;"Y",G7="連結表單",K7=""),"⚠ 缺連結表號 ","")&amp;IF(AND(K7&lt;&gt;"",COUNTIF(可連結表單!$J$2:$J$501,K7)=0),"⚠ 連結表號不存在（需為本分項的自主檢查表） ",""))="","✓",TRIM(IF(COUNTIF(表單!$A$2:$A$500,A7)=0,"⚠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","")&amp;IF(AND(L7&lt;&gt;"Y",G7="數值",N7=0),"⚠ 數值需設定欄位 ","")&amp;IF(AND(L7&lt;&gt;"Y",G7="連結表單",K7=""),"⚠ 缺連結表號 ","")&amp;IF(AND(K7&lt;&gt;"",COUNTIF(可連結表單!$J$2:$J$501,K7)=0),"⚠ 連結表號不存在（需為本分項的自主檢查表） ",""))))</f>
        <v/>
      </c>
    </row>
    <row r="8">
      <c r="M8" s="2">
        <f>IF(A8="","",IF(B8="","共用",IF(L8="Y","排除（"&amp;B8&amp;"）",IF(SUMPRODUCT(($A$2:$A$500=A8)*($C$2:$C$500=C8)*($B$2:$B$500=""))&gt;0,"覆蓋共用（"&amp;B8&amp;"）","單元新增（"&amp;B8&amp;"）"))))</f>
        <v/>
      </c>
      <c r="N8" s="2">
        <f>IF(A8="","",COUNTIFS(數值欄位!$A$2:$A$500,A8,數值欄位!$C$2:$C$500,C8))</f>
        <v/>
      </c>
      <c r="O8" s="2">
        <f>IF(A8="","",IF(TRIM(IF(COUNTIF(表單!$A$2:$A$500,A8)=0,"⚠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","")&amp;IF(AND(L8&lt;&gt;"Y",G8="數值",N8=0),"⚠ 數值需設定欄位 ","")&amp;IF(AND(L8&lt;&gt;"Y",G8="連結表單",K8=""),"⚠ 缺連結表號 ","")&amp;IF(AND(K8&lt;&gt;"",COUNTIF(可連結表單!$J$2:$J$501,K8)=0),"⚠ 連結表號不存在（需為本分項的自主檢查表） ",""))="","✓",TRIM(IF(COUNTIF(表單!$A$2:$A$500,A8)=0,"⚠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","")&amp;IF(AND(L8&lt;&gt;"Y",G8="數值",N8=0),"⚠ 數值需設定欄位 ","")&amp;IF(AND(L8&lt;&gt;"Y",G8="連結表單",K8=""),"⚠ 缺連結表號 ","")&amp;IF(AND(K8&lt;&gt;"",COUNTIF(可連結表單!$J$2:$J$501,K8)=0),"⚠ 連結表號不存在（需為本分項的自主檢查表） ",""))))</f>
        <v/>
      </c>
    </row>
    <row r="9">
      <c r="M9" s="2">
        <f>IF(A9="","",IF(B9="","共用",IF(L9="Y","排除（"&amp;B9&amp;"）",IF(SUMPRODUCT(($A$2:$A$500=A9)*($C$2:$C$500=C9)*($B$2:$B$500=""))&gt;0,"覆蓋共用（"&amp;B9&amp;"）","單元新增（"&amp;B9&amp;"）"))))</f>
        <v/>
      </c>
      <c r="N9" s="2">
        <f>IF(A9="","",COUNTIFS(數值欄位!$A$2:$A$500,A9,數值欄位!$C$2:$C$500,C9))</f>
        <v/>
      </c>
      <c r="O9" s="2">
        <f>IF(A9="","",IF(TRIM(IF(COUNTIF(表單!$A$2:$A$500,A9)=0,"⚠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","")&amp;IF(AND(L9&lt;&gt;"Y",G9="數值",N9=0),"⚠ 數值需設定欄位 ","")&amp;IF(AND(L9&lt;&gt;"Y",G9="連結表單",K9=""),"⚠ 缺連結表號 ","")&amp;IF(AND(K9&lt;&gt;"",COUNTIF(可連結表單!$J$2:$J$501,K9)=0),"⚠ 連結表號不存在（需為本分項的自主檢查表） ",""))="","✓",TRIM(IF(COUNTIF(表單!$A$2:$A$500,A9)=0,"⚠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","")&amp;IF(AND(L9&lt;&gt;"Y",G9="數值",N9=0),"⚠ 數值需設定欄位 ","")&amp;IF(AND(L9&lt;&gt;"Y",G9="連結表單",K9=""),"⚠ 缺連結表號 ","")&amp;IF(AND(K9&lt;&gt;"",COUNTIF(可連結表單!$J$2:$J$501,K9)=0),"⚠ 連結表號不存在（需為本分項的自主檢查表） ",""))))</f>
        <v/>
      </c>
    </row>
    <row r="10">
      <c r="M10" s="2">
        <f>IF(A10="","",IF(B10="","共用",IF(L10="Y","排除（"&amp;B10&amp;"）",IF(SUMPRODUCT(($A$2:$A$500=A10)*($C$2:$C$500=C10)*($B$2:$B$500=""))&gt;0,"覆蓋共用（"&amp;B10&amp;"）","單元新增（"&amp;B10&amp;"）"))))</f>
        <v/>
      </c>
      <c r="N10" s="2">
        <f>IF(A10="","",COUNTIFS(數值欄位!$A$2:$A$500,A10,數值欄位!$C$2:$C$500,C10))</f>
        <v/>
      </c>
      <c r="O10" s="2">
        <f>IF(A10="","",IF(TRIM(IF(COUNTIF(表單!$A$2:$A$500,A10)=0,"⚠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","")&amp;IF(AND(L10&lt;&gt;"Y",G10="數值",N10=0),"⚠ 數值需設定欄位 ","")&amp;IF(AND(L10&lt;&gt;"Y",G10="連結表單",K10=""),"⚠ 缺連結表號 ","")&amp;IF(AND(K10&lt;&gt;"",COUNTIF(可連結表單!$J$2:$J$501,K10)=0),"⚠ 連結表號不存在（需為本分項的自主檢查表） ",""))="","✓",TRIM(IF(COUNTIF(表單!$A$2:$A$500,A10)=0,"⚠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","")&amp;IF(AND(L10&lt;&gt;"Y",G10="數值",N10=0),"⚠ 數值需設定欄位 ","")&amp;IF(AND(L10&lt;&gt;"Y",G10="連結表單",K10=""),"⚠ 缺連結表號 ","")&amp;IF(AND(K10&lt;&gt;"",COUNTIF(可連結表單!$J$2:$J$501,K10)=0),"⚠ 連結表號不存在（需為本分項的自主檢查表） ",""))))</f>
        <v/>
      </c>
    </row>
    <row r="11">
      <c r="M11" s="2">
        <f>IF(A11="","",IF(B11="","共用",IF(L11="Y","排除（"&amp;B11&amp;"）",IF(SUMPRODUCT(($A$2:$A$500=A11)*($C$2:$C$500=C11)*($B$2:$B$500=""))&gt;0,"覆蓋共用（"&amp;B11&amp;"）","單元新增（"&amp;B11&amp;"）"))))</f>
        <v/>
      </c>
      <c r="N11" s="2">
        <f>IF(A11="","",COUNTIFS(數值欄位!$A$2:$A$500,A11,數值欄位!$C$2:$C$500,C11))</f>
        <v/>
      </c>
      <c r="O11" s="2">
        <f>IF(A11="","",IF(TRIM(IF(COUNTIF(表單!$A$2:$A$500,A11)=0,"⚠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","")&amp;IF(AND(L11&lt;&gt;"Y",G11="數值",N11=0),"⚠ 數值需設定欄位 ","")&amp;IF(AND(L11&lt;&gt;"Y",G11="連結表單",K11=""),"⚠ 缺連結表號 ","")&amp;IF(AND(K11&lt;&gt;"",COUNTIF(可連結表單!$J$2:$J$501,K11)=0),"⚠ 連結表號不存在（需為本分項的自主檢查表） ",""))="","✓",TRIM(IF(COUNTIF(表單!$A$2:$A$500,A11)=0,"⚠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","")&amp;IF(AND(L11&lt;&gt;"Y",G11="數值",N11=0),"⚠ 數值需設定欄位 ","")&amp;IF(AND(L11&lt;&gt;"Y",G11="連結表單",K11=""),"⚠ 缺連結表號 ","")&amp;IF(AND(K11&lt;&gt;"",COUNTIF(可連結表單!$J$2:$J$501,K11)=0),"⚠ 連結表號不存在（需為本分項的自主檢查表） ",""))))</f>
        <v/>
      </c>
    </row>
    <row r="12">
      <c r="M12" s="2">
        <f>IF(A12="","",IF(B12="","共用",IF(L12="Y","排除（"&amp;B12&amp;"）",IF(SUMPRODUCT(($A$2:$A$500=A12)*($C$2:$C$500=C12)*($B$2:$B$500=""))&gt;0,"覆蓋共用（"&amp;B12&amp;"）","單元新增（"&amp;B12&amp;"）"))))</f>
        <v/>
      </c>
      <c r="N12" s="2">
        <f>IF(A12="","",COUNTIFS(數值欄位!$A$2:$A$500,A12,數值欄位!$C$2:$C$500,C12))</f>
        <v/>
      </c>
      <c r="O12" s="2">
        <f>IF(A12="","",IF(TRIM(IF(COUNTIF(表單!$A$2:$A$500,A12)=0,"⚠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","")&amp;IF(AND(L12&lt;&gt;"Y",G12="數值",N12=0),"⚠ 數值需設定欄位 ","")&amp;IF(AND(L12&lt;&gt;"Y",G12="連結表單",K12=""),"⚠ 缺連結表號 ","")&amp;IF(AND(K12&lt;&gt;"",COUNTIF(可連結表單!$J$2:$J$501,K12)=0),"⚠ 連結表號不存在（需為本分項的自主檢查表） ",""))="","✓",TRIM(IF(COUNTIF(表單!$A$2:$A$500,A12)=0,"⚠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","")&amp;IF(AND(L12&lt;&gt;"Y",G12="數值",N12=0),"⚠ 數值需設定欄位 ","")&amp;IF(AND(L12&lt;&gt;"Y",G12="連結表單",K12=""),"⚠ 缺連結表號 ","")&amp;IF(AND(K12&lt;&gt;"",COUNTIF(可連結表單!$J$2:$J$501,K12)=0),"⚠ 連結表號不存在（需為本分項的自主檢查表） ",""))))</f>
        <v/>
      </c>
    </row>
    <row r="13">
      <c r="M13" s="2">
        <f>IF(A13="","",IF(B13="","共用",IF(L13="Y","排除（"&amp;B13&amp;"）",IF(SUMPRODUCT(($A$2:$A$500=A13)*($C$2:$C$500=C13)*($B$2:$B$500=""))&gt;0,"覆蓋共用（"&amp;B13&amp;"）","單元新增（"&amp;B13&amp;"）"))))</f>
        <v/>
      </c>
      <c r="N13" s="2">
        <f>IF(A13="","",COUNTIFS(數值欄位!$A$2:$A$500,A13,數值欄位!$C$2:$C$500,C13))</f>
        <v/>
      </c>
      <c r="O13" s="2">
        <f>IF(A13="","",IF(TRIM(IF(COUNTIF(表單!$A$2:$A$500,A13)=0,"⚠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","")&amp;IF(AND(L13&lt;&gt;"Y",G13="數值",N13=0),"⚠ 數值需設定欄位 ","")&amp;IF(AND(L13&lt;&gt;"Y",G13="連結表單",K13=""),"⚠ 缺連結表號 ","")&amp;IF(AND(K13&lt;&gt;"",COUNTIF(可連結表單!$J$2:$J$501,K13)=0),"⚠ 連結表號不存在（需為本分項的自主檢查表） ",""))="","✓",TRIM(IF(COUNTIF(表單!$A$2:$A$500,A13)=0,"⚠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","")&amp;IF(AND(L13&lt;&gt;"Y",G13="數值",N13=0),"⚠ 數值需設定欄位 ","")&amp;IF(AND(L13&lt;&gt;"Y",G13="連結表單",K13=""),"⚠ 缺連結表號 ","")&amp;IF(AND(K13&lt;&gt;"",COUNTIF(可連結表單!$J$2:$J$501,K13)=0),"⚠ 連結表號不存在（需為本分項的自主檢查表） ",""))))</f>
        <v/>
      </c>
    </row>
    <row r="14">
      <c r="M14" s="2">
        <f>IF(A14="","",IF(B14="","共用",IF(L14="Y","排除（"&amp;B14&amp;"）",IF(SUMPRODUCT(($A$2:$A$500=A14)*($C$2:$C$500=C14)*($B$2:$B$500=""))&gt;0,"覆蓋共用（"&amp;B14&amp;"）","單元新增（"&amp;B14&amp;"）"))))</f>
        <v/>
      </c>
      <c r="N14" s="2">
        <f>IF(A14="","",COUNTIFS(數值欄位!$A$2:$A$500,A14,數值欄位!$C$2:$C$500,C14))</f>
        <v/>
      </c>
      <c r="O14" s="2">
        <f>IF(A14="","",IF(TRIM(IF(COUNTIF(表單!$A$2:$A$500,A14)=0,"⚠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","")&amp;IF(AND(L14&lt;&gt;"Y",G14="數值",N14=0),"⚠ 數值需設定欄位 ","")&amp;IF(AND(L14&lt;&gt;"Y",G14="連結表單",K14=""),"⚠ 缺連結表號 ","")&amp;IF(AND(K14&lt;&gt;"",COUNTIF(可連結表單!$J$2:$J$501,K14)=0),"⚠ 連結表號不存在（需為本分項的自主檢查表） ",""))="","✓",TRIM(IF(COUNTIF(表單!$A$2:$A$500,A14)=0,"⚠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","")&amp;IF(AND(L14&lt;&gt;"Y",G14="數值",N14=0),"⚠ 數值需設定欄位 ","")&amp;IF(AND(L14&lt;&gt;"Y",G14="連結表單",K14=""),"⚠ 缺連結表號 ","")&amp;IF(AND(K14&lt;&gt;"",COUNTIF(可連結表單!$J$2:$J$501,K14)=0),"⚠ 連結表號不存在（需為本分項的自主檢查表） ",""))))</f>
        <v/>
      </c>
    </row>
    <row r="15">
      <c r="M15" s="2">
        <f>IF(A15="","",IF(B15="","共用",IF(L15="Y","排除（"&amp;B15&amp;"）",IF(SUMPRODUCT(($A$2:$A$500=A15)*($C$2:$C$500=C15)*($B$2:$B$500=""))&gt;0,"覆蓋共用（"&amp;B15&amp;"）","單元新增（"&amp;B15&amp;"）"))))</f>
        <v/>
      </c>
      <c r="N15" s="2">
        <f>IF(A15="","",COUNTIFS(數值欄位!$A$2:$A$500,A15,數值欄位!$C$2:$C$500,C15))</f>
        <v/>
      </c>
      <c r="O15" s="2">
        <f>IF(A15="","",IF(TRIM(IF(COUNTIF(表單!$A$2:$A$500,A15)=0,"⚠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","")&amp;IF(AND(L15&lt;&gt;"Y",G15="數值",N15=0),"⚠ 數值需設定欄位 ","")&amp;IF(AND(L15&lt;&gt;"Y",G15="連結表單",K15=""),"⚠ 缺連結表號 ","")&amp;IF(AND(K15&lt;&gt;"",COUNTIF(可連結表單!$J$2:$J$501,K15)=0),"⚠ 連結表號不存在（需為本分項的自主檢查表） ",""))="","✓",TRIM(IF(COUNTIF(表單!$A$2:$A$500,A15)=0,"⚠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","")&amp;IF(AND(L15&lt;&gt;"Y",G15="數值",N15=0),"⚠ 數值需設定欄位 ","")&amp;IF(AND(L15&lt;&gt;"Y",G15="連結表單",K15=""),"⚠ 缺連結表號 ","")&amp;IF(AND(K15&lt;&gt;"",COUNTIF(可連結表單!$J$2:$J$501,K15)=0),"⚠ 連結表號不存在（需為本分項的自主檢查表） ",""))))</f>
        <v/>
      </c>
    </row>
    <row r="16">
      <c r="M16" s="2">
        <f>IF(A16="","",IF(B16="","共用",IF(L16="Y","排除（"&amp;B16&amp;"）",IF(SUMPRODUCT(($A$2:$A$500=A16)*($C$2:$C$500=C16)*($B$2:$B$500=""))&gt;0,"覆蓋共用（"&amp;B16&amp;"）","單元新增（"&amp;B16&amp;"）"))))</f>
        <v/>
      </c>
      <c r="N16" s="2">
        <f>IF(A16="","",COUNTIFS(數值欄位!$A$2:$A$500,A16,數值欄位!$C$2:$C$500,C16))</f>
        <v/>
      </c>
      <c r="O16" s="2">
        <f>IF(A16="","",IF(TRIM(IF(COUNTIF(表單!$A$2:$A$500,A16)=0,"⚠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","")&amp;IF(AND(L16&lt;&gt;"Y",G16="數值",N16=0),"⚠ 數值需設定欄位 ","")&amp;IF(AND(L16&lt;&gt;"Y",G16="連結表單",K16=""),"⚠ 缺連結表號 ","")&amp;IF(AND(K16&lt;&gt;"",COUNTIF(可連結表單!$J$2:$J$501,K16)=0),"⚠ 連結表號不存在（需為本分項的自主檢查表） ",""))="","✓",TRIM(IF(COUNTIF(表單!$A$2:$A$500,A16)=0,"⚠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","")&amp;IF(AND(L16&lt;&gt;"Y",G16="數值",N16=0),"⚠ 數值需設定欄位 ","")&amp;IF(AND(L16&lt;&gt;"Y",G16="連結表單",K16=""),"⚠ 缺連結表號 ","")&amp;IF(AND(K16&lt;&gt;"",COUNTIF(可連結表單!$J$2:$J$501,K16)=0),"⚠ 連結表號不存在（需為本分項的自主檢查表） ",""))))</f>
        <v/>
      </c>
    </row>
    <row r="17">
      <c r="M17" s="2">
        <f>IF(A17="","",IF(B17="","共用",IF(L17="Y","排除（"&amp;B17&amp;"）",IF(SUMPRODUCT(($A$2:$A$500=A17)*($C$2:$C$500=C17)*($B$2:$B$500=""))&gt;0,"覆蓋共用（"&amp;B17&amp;"）","單元新增（"&amp;B17&amp;"）"))))</f>
        <v/>
      </c>
      <c r="N17" s="2">
        <f>IF(A17="","",COUNTIFS(數值欄位!$A$2:$A$500,A17,數值欄位!$C$2:$C$500,C17))</f>
        <v/>
      </c>
      <c r="O17" s="2">
        <f>IF(A17="","",IF(TRIM(IF(COUNTIF(表單!$A$2:$A$500,A17)=0,"⚠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","")&amp;IF(AND(L17&lt;&gt;"Y",G17="數值",N17=0),"⚠ 數值需設定欄位 ","")&amp;IF(AND(L17&lt;&gt;"Y",G17="連結表單",K17=""),"⚠ 缺連結表號 ","")&amp;IF(AND(K17&lt;&gt;"",COUNTIF(可連結表單!$J$2:$J$501,K17)=0),"⚠ 連結表號不存在（需為本分項的自主檢查表） ",""))="","✓",TRIM(IF(COUNTIF(表單!$A$2:$A$500,A17)=0,"⚠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","")&amp;IF(AND(L17&lt;&gt;"Y",G17="數值",N17=0),"⚠ 數值需設定欄位 ","")&amp;IF(AND(L17&lt;&gt;"Y",G17="連結表單",K17=""),"⚠ 缺連結表號 ","")&amp;IF(AND(K17&lt;&gt;"",COUNTIF(可連結表單!$J$2:$J$501,K17)=0),"⚠ 連結表號不存在（需為本分項的自主檢查表） ",""))))</f>
        <v/>
      </c>
    </row>
    <row r="18">
      <c r="M18" s="2">
        <f>IF(A18="","",IF(B18="","共用",IF(L18="Y","排除（"&amp;B18&amp;"）",IF(SUMPRODUCT(($A$2:$A$500=A18)*($C$2:$C$500=C18)*($B$2:$B$500=""))&gt;0,"覆蓋共用（"&amp;B18&amp;"）","單元新增（"&amp;B18&amp;"）"))))</f>
        <v/>
      </c>
      <c r="N18" s="2">
        <f>IF(A18="","",COUNTIFS(數值欄位!$A$2:$A$500,A18,數值欄位!$C$2:$C$500,C18))</f>
        <v/>
      </c>
      <c r="O18" s="2">
        <f>IF(A18="","",IF(TRIM(IF(COUNTIF(表單!$A$2:$A$500,A18)=0,"⚠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","")&amp;IF(AND(L18&lt;&gt;"Y",G18="數值",N18=0),"⚠ 數值需設定欄位 ","")&amp;IF(AND(L18&lt;&gt;"Y",G18="連結表單",K18=""),"⚠ 缺連結表號 ","")&amp;IF(AND(K18&lt;&gt;"",COUNTIF(可連結表單!$J$2:$J$501,K18)=0),"⚠ 連結表號不存在（需為本分項的自主檢查表） ",""))="","✓",TRIM(IF(COUNTIF(表單!$A$2:$A$500,A18)=0,"⚠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","")&amp;IF(AND(L18&lt;&gt;"Y",G18="數值",N18=0),"⚠ 數值需設定欄位 ","")&amp;IF(AND(L18&lt;&gt;"Y",G18="連結表單",K18=""),"⚠ 缺連結表號 ","")&amp;IF(AND(K18&lt;&gt;"",COUNTIF(可連結表單!$J$2:$J$501,K18)=0),"⚠ 連結表號不存在（需為本分項的自主檢查表） ",""))))</f>
        <v/>
      </c>
    </row>
    <row r="19">
      <c r="M19" s="2">
        <f>IF(A19="","",IF(B19="","共用",IF(L19="Y","排除（"&amp;B19&amp;"）",IF(SUMPRODUCT(($A$2:$A$500=A19)*($C$2:$C$500=C19)*($B$2:$B$500=""))&gt;0,"覆蓋共用（"&amp;B19&amp;"）","單元新增（"&amp;B19&amp;"）"))))</f>
        <v/>
      </c>
      <c r="N19" s="2">
        <f>IF(A19="","",COUNTIFS(數值欄位!$A$2:$A$500,A19,數值欄位!$C$2:$C$500,C19))</f>
        <v/>
      </c>
      <c r="O19" s="2">
        <f>IF(A19="","",IF(TRIM(IF(COUNTIF(表單!$A$2:$A$500,A19)=0,"⚠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","")&amp;IF(AND(L19&lt;&gt;"Y",G19="數值",N19=0),"⚠ 數值需設定欄位 ","")&amp;IF(AND(L19&lt;&gt;"Y",G19="連結表單",K19=""),"⚠ 缺連結表號 ","")&amp;IF(AND(K19&lt;&gt;"",COUNTIF(可連結表單!$J$2:$J$501,K19)=0),"⚠ 連結表號不存在（需為本分項的自主檢查表） ",""))="","✓",TRIM(IF(COUNTIF(表單!$A$2:$A$500,A19)=0,"⚠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","")&amp;IF(AND(L19&lt;&gt;"Y",G19="數值",N19=0),"⚠ 數值需設定欄位 ","")&amp;IF(AND(L19&lt;&gt;"Y",G19="連結表單",K19=""),"⚠ 缺連結表號 ","")&amp;IF(AND(K19&lt;&gt;"",COUNTIF(可連結表單!$J$2:$J$501,K19)=0),"⚠ 連結表號不存在（需為本分項的自主檢查表） ",""))))</f>
        <v/>
      </c>
    </row>
    <row r="20">
      <c r="M20" s="2">
        <f>IF(A20="","",IF(B20="","共用",IF(L20="Y","排除（"&amp;B20&amp;"）",IF(SUMPRODUCT(($A$2:$A$500=A20)*($C$2:$C$500=C20)*($B$2:$B$500=""))&gt;0,"覆蓋共用（"&amp;B20&amp;"）","單元新增（"&amp;B20&amp;"）"))))</f>
        <v/>
      </c>
      <c r="N20" s="2">
        <f>IF(A20="","",COUNTIFS(數值欄位!$A$2:$A$500,A20,數值欄位!$C$2:$C$500,C20))</f>
        <v/>
      </c>
      <c r="O20" s="2">
        <f>IF(A20="","",IF(TRIM(IF(COUNTIF(表單!$A$2:$A$500,A20)=0,"⚠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","")&amp;IF(AND(L20&lt;&gt;"Y",G20="數值",N20=0),"⚠ 數值需設定欄位 ","")&amp;IF(AND(L20&lt;&gt;"Y",G20="連結表單",K20=""),"⚠ 缺連結表號 ","")&amp;IF(AND(K20&lt;&gt;"",COUNTIF(可連結表單!$J$2:$J$501,K20)=0),"⚠ 連結表號不存在（需為本分項的自主檢查表） ",""))="","✓",TRIM(IF(COUNTIF(表單!$A$2:$A$500,A20)=0,"⚠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","")&amp;IF(AND(L20&lt;&gt;"Y",G20="數值",N20=0),"⚠ 數值需設定欄位 ","")&amp;IF(AND(L20&lt;&gt;"Y",G20="連結表單",K20=""),"⚠ 缺連結表號 ","")&amp;IF(AND(K20&lt;&gt;"",COUNTIF(可連結表單!$J$2:$J$501,K20)=0),"⚠ 連結表號不存在（需為本分項的自主檢查表） ",""))))</f>
        <v/>
      </c>
    </row>
    <row r="21">
      <c r="M21" s="2">
        <f>IF(A21="","",IF(B21="","共用",IF(L21="Y","排除（"&amp;B21&amp;"）",IF(SUMPRODUCT(($A$2:$A$500=A21)*($C$2:$C$500=C21)*($B$2:$B$500=""))&gt;0,"覆蓋共用（"&amp;B21&amp;"）","單元新增（"&amp;B21&amp;"）"))))</f>
        <v/>
      </c>
      <c r="N21" s="2">
        <f>IF(A21="","",COUNTIFS(數值欄位!$A$2:$A$500,A21,數值欄位!$C$2:$C$500,C21))</f>
        <v/>
      </c>
      <c r="O21" s="2">
        <f>IF(A21="","",IF(TRIM(IF(COUNTIF(表單!$A$2:$A$500,A21)=0,"⚠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","")&amp;IF(AND(L21&lt;&gt;"Y",G21="數值",N21=0),"⚠ 數值需設定欄位 ","")&amp;IF(AND(L21&lt;&gt;"Y",G21="連結表單",K21=""),"⚠ 缺連結表號 ","")&amp;IF(AND(K21&lt;&gt;"",COUNTIF(可連結表單!$J$2:$J$501,K21)=0),"⚠ 連結表號不存在（需為本分項的自主檢查表） ",""))="","✓",TRIM(IF(COUNTIF(表單!$A$2:$A$500,A21)=0,"⚠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","")&amp;IF(AND(L21&lt;&gt;"Y",G21="數值",N21=0),"⚠ 數值需設定欄位 ","")&amp;IF(AND(L21&lt;&gt;"Y",G21="連結表單",K21=""),"⚠ 缺連結表號 ","")&amp;IF(AND(K21&lt;&gt;"",COUNTIF(可連結表單!$J$2:$J$501,K21)=0),"⚠ 連結表號不存在（需為本分項的自主檢查表） ",""))))</f>
        <v/>
      </c>
    </row>
    <row r="22">
      <c r="M22" s="2">
        <f>IF(A22="","",IF(B22="","共用",IF(L22="Y","排除（"&amp;B22&amp;"）",IF(SUMPRODUCT(($A$2:$A$500=A22)*($C$2:$C$500=C22)*($B$2:$B$500=""))&gt;0,"覆蓋共用（"&amp;B22&amp;"）","單元新增（"&amp;B22&amp;"）"))))</f>
        <v/>
      </c>
      <c r="N22" s="2">
        <f>IF(A22="","",COUNTIFS(數值欄位!$A$2:$A$500,A22,數值欄位!$C$2:$C$500,C22))</f>
        <v/>
      </c>
      <c r="O22" s="2">
        <f>IF(A22="","",IF(TRIM(IF(COUNTIF(表單!$A$2:$A$500,A22)=0,"⚠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","")&amp;IF(AND(L22&lt;&gt;"Y",G22="數值",N22=0),"⚠ 數值需設定欄位 ","")&amp;IF(AND(L22&lt;&gt;"Y",G22="連結表單",K22=""),"⚠ 缺連結表號 ","")&amp;IF(AND(K22&lt;&gt;"",COUNTIF(可連結表單!$J$2:$J$501,K22)=0),"⚠ 連結表號不存在（需為本分項的自主檢查表） ",""))="","✓",TRIM(IF(COUNTIF(表單!$A$2:$A$500,A22)=0,"⚠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","")&amp;IF(AND(L22&lt;&gt;"Y",G22="數值",N22=0),"⚠ 數值需設定欄位 ","")&amp;IF(AND(L22&lt;&gt;"Y",G22="連結表單",K22=""),"⚠ 缺連結表號 ","")&amp;IF(AND(K22&lt;&gt;"",COUNTIF(可連結表單!$J$2:$J$501,K22)=0),"⚠ 連結表號不存在（需為本分項的自主檢查表） ",""))))</f>
        <v/>
      </c>
    </row>
    <row r="23">
      <c r="M23" s="2">
        <f>IF(A23="","",IF(B23="","共用",IF(L23="Y","排除（"&amp;B23&amp;"）",IF(SUMPRODUCT(($A$2:$A$500=A23)*($C$2:$C$500=C23)*($B$2:$B$500=""))&gt;0,"覆蓋共用（"&amp;B23&amp;"）","單元新增（"&amp;B23&amp;"）"))))</f>
        <v/>
      </c>
      <c r="N23" s="2">
        <f>IF(A23="","",COUNTIFS(數值欄位!$A$2:$A$500,A23,數值欄位!$C$2:$C$500,C23))</f>
        <v/>
      </c>
      <c r="O23" s="2">
        <f>IF(A23="","",IF(TRIM(IF(COUNTIF(表單!$A$2:$A$500,A23)=0,"⚠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","")&amp;IF(AND(L23&lt;&gt;"Y",G23="數值",N23=0),"⚠ 數值需設定欄位 ","")&amp;IF(AND(L23&lt;&gt;"Y",G23="連結表單",K23=""),"⚠ 缺連結表號 ","")&amp;IF(AND(K23&lt;&gt;"",COUNTIF(可連結表單!$J$2:$J$501,K23)=0),"⚠ 連結表號不存在（需為本分項的自主檢查表） ",""))="","✓",TRIM(IF(COUNTIF(表單!$A$2:$A$500,A23)=0,"⚠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","")&amp;IF(AND(L23&lt;&gt;"Y",G23="數值",N23=0),"⚠ 數值需設定欄位 ","")&amp;IF(AND(L23&lt;&gt;"Y",G23="連結表單",K23=""),"⚠ 缺連結表號 ","")&amp;IF(AND(K23&lt;&gt;"",COUNTIF(可連結表單!$J$2:$J$501,K23)=0),"⚠ 連結表號不存在（需為本分項的自主檢查表） ",""))))</f>
        <v/>
      </c>
    </row>
    <row r="24">
      <c r="M24" s="2">
        <f>IF(A24="","",IF(B24="","共用",IF(L24="Y","排除（"&amp;B24&amp;"）",IF(SUMPRODUCT(($A$2:$A$500=A24)*($C$2:$C$500=C24)*($B$2:$B$500=""))&gt;0,"覆蓋共用（"&amp;B24&amp;"）","單元新增（"&amp;B24&amp;"）"))))</f>
        <v/>
      </c>
      <c r="N24" s="2">
        <f>IF(A24="","",COUNTIFS(數值欄位!$A$2:$A$500,A24,數值欄位!$C$2:$C$500,C24))</f>
        <v/>
      </c>
      <c r="O24" s="2">
        <f>IF(A24="","",IF(TRIM(IF(COUNTIF(表單!$A$2:$A$500,A24)=0,"⚠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","")&amp;IF(AND(L24&lt;&gt;"Y",G24="數值",N24=0),"⚠ 數值需設定欄位 ","")&amp;IF(AND(L24&lt;&gt;"Y",G24="連結表單",K24=""),"⚠ 缺連結表號 ","")&amp;IF(AND(K24&lt;&gt;"",COUNTIF(可連結表單!$J$2:$J$501,K24)=0),"⚠ 連結表號不存在（需為本分項的自主檢查表） ",""))="","✓",TRIM(IF(COUNTIF(表單!$A$2:$A$500,A24)=0,"⚠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","")&amp;IF(AND(L24&lt;&gt;"Y",G24="數值",N24=0),"⚠ 數值需設定欄位 ","")&amp;IF(AND(L24&lt;&gt;"Y",G24="連結表單",K24=""),"⚠ 缺連結表號 ","")&amp;IF(AND(K24&lt;&gt;"",COUNTIF(可連結表單!$J$2:$J$501,K24)=0),"⚠ 連結表號不存在（需為本分項的自主檢查表） ",""))))</f>
        <v/>
      </c>
    </row>
    <row r="25">
      <c r="M25" s="2">
        <f>IF(A25="","",IF(B25="","共用",IF(L25="Y","排除（"&amp;B25&amp;"）",IF(SUMPRODUCT(($A$2:$A$500=A25)*($C$2:$C$500=C25)*($B$2:$B$500=""))&gt;0,"覆蓋共用（"&amp;B25&amp;"）","單元新增（"&amp;B25&amp;"）"))))</f>
        <v/>
      </c>
      <c r="N25" s="2">
        <f>IF(A25="","",COUNTIFS(數值欄位!$A$2:$A$500,A25,數值欄位!$C$2:$C$500,C25))</f>
        <v/>
      </c>
      <c r="O25" s="2">
        <f>IF(A25="","",IF(TRIM(IF(COUNTIF(表單!$A$2:$A$500,A25)=0,"⚠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","")&amp;IF(AND(L25&lt;&gt;"Y",G25="數值",N25=0),"⚠ 數值需設定欄位 ","")&amp;IF(AND(L25&lt;&gt;"Y",G25="連結表單",K25=""),"⚠ 缺連結表號 ","")&amp;IF(AND(K25&lt;&gt;"",COUNTIF(可連結表單!$J$2:$J$501,K25)=0),"⚠ 連結表號不存在（需為本分項的自主檢查表） ",""))="","✓",TRIM(IF(COUNTIF(表單!$A$2:$A$500,A25)=0,"⚠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","")&amp;IF(AND(L25&lt;&gt;"Y",G25="數值",N25=0),"⚠ 數值需設定欄位 ","")&amp;IF(AND(L25&lt;&gt;"Y",G25="連結表單",K25=""),"⚠ 缺連結表號 ","")&amp;IF(AND(K25&lt;&gt;"",COUNTIF(可連結表單!$J$2:$J$501,K25)=0),"⚠ 連結表號不存在（需為本分項的自主檢查表） ",""))))</f>
        <v/>
      </c>
    </row>
    <row r="26">
      <c r="M26" s="2">
        <f>IF(A26="","",IF(B26="","共用",IF(L26="Y","排除（"&amp;B26&amp;"）",IF(SUMPRODUCT(($A$2:$A$500=A26)*($C$2:$C$500=C26)*($B$2:$B$500=""))&gt;0,"覆蓋共用（"&amp;B26&amp;"）","單元新增（"&amp;B26&amp;"）"))))</f>
        <v/>
      </c>
      <c r="N26" s="2">
        <f>IF(A26="","",COUNTIFS(數值欄位!$A$2:$A$500,A26,數值欄位!$C$2:$C$500,C26))</f>
        <v/>
      </c>
      <c r="O26" s="2">
        <f>IF(A26="","",IF(TRIM(IF(COUNTIF(表單!$A$2:$A$500,A26)=0,"⚠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","")&amp;IF(AND(L26&lt;&gt;"Y",G26="數值",N26=0),"⚠ 數值需設定欄位 ","")&amp;IF(AND(L26&lt;&gt;"Y",G26="連結表單",K26=""),"⚠ 缺連結表號 ","")&amp;IF(AND(K26&lt;&gt;"",COUNTIF(可連結表單!$J$2:$J$501,K26)=0),"⚠ 連結表號不存在（需為本分項的自主檢查表） ",""))="","✓",TRIM(IF(COUNTIF(表單!$A$2:$A$500,A26)=0,"⚠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","")&amp;IF(AND(L26&lt;&gt;"Y",G26="數值",N26=0),"⚠ 數值需設定欄位 ","")&amp;IF(AND(L26&lt;&gt;"Y",G26="連結表單",K26=""),"⚠ 缺連結表號 ","")&amp;IF(AND(K26&lt;&gt;"",COUNTIF(可連結表單!$J$2:$J$501,K26)=0),"⚠ 連結表號不存在（需為本分項的自主檢查表） ",""))))</f>
        <v/>
      </c>
    </row>
    <row r="27">
      <c r="M27" s="2">
        <f>IF(A27="","",IF(B27="","共用",IF(L27="Y","排除（"&amp;B27&amp;"）",IF(SUMPRODUCT(($A$2:$A$500=A27)*($C$2:$C$500=C27)*($B$2:$B$500=""))&gt;0,"覆蓋共用（"&amp;B27&amp;"）","單元新增（"&amp;B27&amp;"）"))))</f>
        <v/>
      </c>
      <c r="N27" s="2">
        <f>IF(A27="","",COUNTIFS(數值欄位!$A$2:$A$500,A27,數值欄位!$C$2:$C$500,C27))</f>
        <v/>
      </c>
      <c r="O27" s="2">
        <f>IF(A27="","",IF(TRIM(IF(COUNTIF(表單!$A$2:$A$500,A27)=0,"⚠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","")&amp;IF(AND(L27&lt;&gt;"Y",G27="數值",N27=0),"⚠ 數值需設定欄位 ","")&amp;IF(AND(L27&lt;&gt;"Y",G27="連結表單",K27=""),"⚠ 缺連結表號 ","")&amp;IF(AND(K27&lt;&gt;"",COUNTIF(可連結表單!$J$2:$J$501,K27)=0),"⚠ 連結表號不存在（需為本分項的自主檢查表） ",""))="","✓",TRIM(IF(COUNTIF(表單!$A$2:$A$500,A27)=0,"⚠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","")&amp;IF(AND(L27&lt;&gt;"Y",G27="數值",N27=0),"⚠ 數值需設定欄位 ","")&amp;IF(AND(L27&lt;&gt;"Y",G27="連結表單",K27=""),"⚠ 缺連結表號 ","")&amp;IF(AND(K27&lt;&gt;"",COUNTIF(可連結表單!$J$2:$J$501,K27)=0),"⚠ 連結表號不存在（需為本分項的自主檢查表） ",""))))</f>
        <v/>
      </c>
    </row>
    <row r="28">
      <c r="M28" s="2">
        <f>IF(A28="","",IF(B28="","共用",IF(L28="Y","排除（"&amp;B28&amp;"）",IF(SUMPRODUCT(($A$2:$A$500=A28)*($C$2:$C$500=C28)*($B$2:$B$500=""))&gt;0,"覆蓋共用（"&amp;B28&amp;"）","單元新增（"&amp;B28&amp;"）"))))</f>
        <v/>
      </c>
      <c r="N28" s="2">
        <f>IF(A28="","",COUNTIFS(數值欄位!$A$2:$A$500,A28,數值欄位!$C$2:$C$500,C28))</f>
        <v/>
      </c>
      <c r="O28" s="2">
        <f>IF(A28="","",IF(TRIM(IF(COUNTIF(表單!$A$2:$A$500,A28)=0,"⚠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","")&amp;IF(AND(L28&lt;&gt;"Y",G28="數值",N28=0),"⚠ 數值需設定欄位 ","")&amp;IF(AND(L28&lt;&gt;"Y",G28="連結表單",K28=""),"⚠ 缺連結表號 ","")&amp;IF(AND(K28&lt;&gt;"",COUNTIF(可連結表單!$J$2:$J$501,K28)=0),"⚠ 連結表號不存在（需為本分項的自主檢查表） ",""))="","✓",TRIM(IF(COUNTIF(表單!$A$2:$A$500,A28)=0,"⚠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","")&amp;IF(AND(L28&lt;&gt;"Y",G28="數值",N28=0),"⚠ 數值需設定欄位 ","")&amp;IF(AND(L28&lt;&gt;"Y",G28="連結表單",K28=""),"⚠ 缺連結表號 ","")&amp;IF(AND(K28&lt;&gt;"",COUNTIF(可連結表單!$J$2:$J$501,K28)=0),"⚠ 連結表號不存在（需為本分項的自主檢查表） ",""))))</f>
        <v/>
      </c>
    </row>
    <row r="29">
      <c r="M29" s="2">
        <f>IF(A29="","",IF(B29="","共用",IF(L29="Y","排除（"&amp;B29&amp;"）",IF(SUMPRODUCT(($A$2:$A$500=A29)*($C$2:$C$500=C29)*($B$2:$B$500=""))&gt;0,"覆蓋共用（"&amp;B29&amp;"）","單元新增（"&amp;B29&amp;"）"))))</f>
        <v/>
      </c>
      <c r="N29" s="2">
        <f>IF(A29="","",COUNTIFS(數值欄位!$A$2:$A$500,A29,數值欄位!$C$2:$C$500,C29))</f>
        <v/>
      </c>
      <c r="O29" s="2">
        <f>IF(A29="","",IF(TRIM(IF(COUNTIF(表單!$A$2:$A$500,A29)=0,"⚠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","")&amp;IF(AND(L29&lt;&gt;"Y",G29="數值",N29=0),"⚠ 數值需設定欄位 ","")&amp;IF(AND(L29&lt;&gt;"Y",G29="連結表單",K29=""),"⚠ 缺連結表號 ","")&amp;IF(AND(K29&lt;&gt;"",COUNTIF(可連結表單!$J$2:$J$501,K29)=0),"⚠ 連結表號不存在（需為本分項的自主檢查表） ",""))="","✓",TRIM(IF(COUNTIF(表單!$A$2:$A$500,A29)=0,"⚠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","")&amp;IF(AND(L29&lt;&gt;"Y",G29="數值",N29=0),"⚠ 數值需設定欄位 ","")&amp;IF(AND(L29&lt;&gt;"Y",G29="連結表單",K29=""),"⚠ 缺連結表號 ","")&amp;IF(AND(K29&lt;&gt;"",COUNTIF(可連結表單!$J$2:$J$501,K29)=0),"⚠ 連結表號不存在（需為本分項的自主檢查表） ",""))))</f>
        <v/>
      </c>
    </row>
    <row r="30">
      <c r="M30" s="2">
        <f>IF(A30="","",IF(B30="","共用",IF(L30="Y","排除（"&amp;B30&amp;"）",IF(SUMPRODUCT(($A$2:$A$500=A30)*($C$2:$C$500=C30)*($B$2:$B$500=""))&gt;0,"覆蓋共用（"&amp;B30&amp;"）","單元新增（"&amp;B30&amp;"）"))))</f>
        <v/>
      </c>
      <c r="N30" s="2">
        <f>IF(A30="","",COUNTIFS(數值欄位!$A$2:$A$500,A30,數值欄位!$C$2:$C$500,C30))</f>
        <v/>
      </c>
      <c r="O30" s="2">
        <f>IF(A30="","",IF(TRIM(IF(COUNTIF(表單!$A$2:$A$500,A30)=0,"⚠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","")&amp;IF(AND(L30&lt;&gt;"Y",G30="數值",N30=0),"⚠ 數值需設定欄位 ","")&amp;IF(AND(L30&lt;&gt;"Y",G30="連結表單",K30=""),"⚠ 缺連結表號 ","")&amp;IF(AND(K30&lt;&gt;"",COUNTIF(可連結表單!$J$2:$J$501,K30)=0),"⚠ 連結表號不存在（需為本分項的自主檢查表） ",""))="","✓",TRIM(IF(COUNTIF(表單!$A$2:$A$500,A30)=0,"⚠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","")&amp;IF(AND(L30&lt;&gt;"Y",G30="數值",N30=0),"⚠ 數值需設定欄位 ","")&amp;IF(AND(L30&lt;&gt;"Y",G30="連結表單",K30=""),"⚠ 缺連結表號 ","")&amp;IF(AND(K30&lt;&gt;"",COUNTIF(可連結表單!$J$2:$J$501,K30)=0),"⚠ 連結表號不存在（需為本分項的自主檢查表） ",""))))</f>
        <v/>
      </c>
    </row>
    <row r="31">
      <c r="M31" s="2">
        <f>IF(A31="","",IF(B31="","共用",IF(L31="Y","排除（"&amp;B31&amp;"）",IF(SUMPRODUCT(($A$2:$A$500=A31)*($C$2:$C$500=C31)*($B$2:$B$500=""))&gt;0,"覆蓋共用（"&amp;B31&amp;"）","單元新增（"&amp;B31&amp;"）"))))</f>
        <v/>
      </c>
      <c r="N31" s="2">
        <f>IF(A31="","",COUNTIFS(數值欄位!$A$2:$A$500,A31,數值欄位!$C$2:$C$500,C31))</f>
        <v/>
      </c>
      <c r="O31" s="2">
        <f>IF(A31="","",IF(TRIM(IF(COUNTIF(表單!$A$2:$A$500,A31)=0,"⚠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","")&amp;IF(AND(L31&lt;&gt;"Y",G31="數值",N31=0),"⚠ 數值需設定欄位 ","")&amp;IF(AND(L31&lt;&gt;"Y",G31="連結表單",K31=""),"⚠ 缺連結表號 ","")&amp;IF(AND(K31&lt;&gt;"",COUNTIF(可連結表單!$J$2:$J$501,K31)=0),"⚠ 連結表號不存在（需為本分項的自主檢查表） ",""))="","✓",TRIM(IF(COUNTIF(表單!$A$2:$A$500,A31)=0,"⚠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","")&amp;IF(AND(L31&lt;&gt;"Y",G31="數值",N31=0),"⚠ 數值需設定欄位 ","")&amp;IF(AND(L31&lt;&gt;"Y",G31="連結表單",K31=""),"⚠ 缺連結表號 ","")&amp;IF(AND(K31&lt;&gt;"",COUNTIF(可連結表單!$J$2:$J$501,K31)=0),"⚠ 連結表號不存在（需為本分項的自主檢查表） ",""))))</f>
        <v/>
      </c>
    </row>
    <row r="32">
      <c r="M32" s="2">
        <f>IF(A32="","",IF(B32="","共用",IF(L32="Y","排除（"&amp;B32&amp;"）",IF(SUMPRODUCT(($A$2:$A$500=A32)*($C$2:$C$500=C32)*($B$2:$B$500=""))&gt;0,"覆蓋共用（"&amp;B32&amp;"）","單元新增（"&amp;B32&amp;"）"))))</f>
        <v/>
      </c>
      <c r="N32" s="2">
        <f>IF(A32="","",COUNTIFS(數值欄位!$A$2:$A$500,A32,數值欄位!$C$2:$C$500,C32))</f>
        <v/>
      </c>
      <c r="O32" s="2">
        <f>IF(A32="","",IF(TRIM(IF(COUNTIF(表單!$A$2:$A$500,A32)=0,"⚠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","")&amp;IF(AND(L32&lt;&gt;"Y",G32="數值",N32=0),"⚠ 數值需設定欄位 ","")&amp;IF(AND(L32&lt;&gt;"Y",G32="連結表單",K32=""),"⚠ 缺連結表號 ","")&amp;IF(AND(K32&lt;&gt;"",COUNTIF(可連結表單!$J$2:$J$501,K32)=0),"⚠ 連結表號不存在（需為本分項的自主檢查表） ",""))="","✓",TRIM(IF(COUNTIF(表單!$A$2:$A$500,A32)=0,"⚠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","")&amp;IF(AND(L32&lt;&gt;"Y",G32="數值",N32=0),"⚠ 數值需設定欄位 ","")&amp;IF(AND(L32&lt;&gt;"Y",G32="連結表單",K32=""),"⚠ 缺連結表號 ","")&amp;IF(AND(K32&lt;&gt;"",COUNTIF(可連結表單!$J$2:$J$501,K32)=0),"⚠ 連結表號不存在（需為本分項的自主檢查表） ",""))))</f>
        <v/>
      </c>
    </row>
    <row r="33">
      <c r="M33" s="2">
        <f>IF(A33="","",IF(B33="","共用",IF(L33="Y","排除（"&amp;B33&amp;"）",IF(SUMPRODUCT(($A$2:$A$500=A33)*($C$2:$C$500=C33)*($B$2:$B$500=""))&gt;0,"覆蓋共用（"&amp;B33&amp;"）","單元新增（"&amp;B33&amp;"）"))))</f>
        <v/>
      </c>
      <c r="N33" s="2">
        <f>IF(A33="","",COUNTIFS(數值欄位!$A$2:$A$500,A33,數值欄位!$C$2:$C$500,C33))</f>
        <v/>
      </c>
      <c r="O33" s="2">
        <f>IF(A33="","",IF(TRIM(IF(COUNTIF(表單!$A$2:$A$500,A33)=0,"⚠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","")&amp;IF(AND(L33&lt;&gt;"Y",G33="數值",N33=0),"⚠ 數值需設定欄位 ","")&amp;IF(AND(L33&lt;&gt;"Y",G33="連結表單",K33=""),"⚠ 缺連結表號 ","")&amp;IF(AND(K33&lt;&gt;"",COUNTIF(可連結表單!$J$2:$J$501,K33)=0),"⚠ 連結表號不存在（需為本分項的自主檢查表） ",""))="","✓",TRIM(IF(COUNTIF(表單!$A$2:$A$500,A33)=0,"⚠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","")&amp;IF(AND(L33&lt;&gt;"Y",G33="數值",N33=0),"⚠ 數值需設定欄位 ","")&amp;IF(AND(L33&lt;&gt;"Y",G33="連結表單",K33=""),"⚠ 缺連結表號 ","")&amp;IF(AND(K33&lt;&gt;"",COUNTIF(可連結表單!$J$2:$J$501,K33)=0),"⚠ 連結表號不存在（需為本分項的自主檢查表） ",""))))</f>
        <v/>
      </c>
    </row>
    <row r="34">
      <c r="M34" s="2">
        <f>IF(A34="","",IF(B34="","共用",IF(L34="Y","排除（"&amp;B34&amp;"）",IF(SUMPRODUCT(($A$2:$A$500=A34)*($C$2:$C$500=C34)*($B$2:$B$500=""))&gt;0,"覆蓋共用（"&amp;B34&amp;"）","單元新增（"&amp;B34&amp;"）"))))</f>
        <v/>
      </c>
      <c r="N34" s="2">
        <f>IF(A34="","",COUNTIFS(數值欄位!$A$2:$A$500,A34,數值欄位!$C$2:$C$500,C34))</f>
        <v/>
      </c>
      <c r="O34" s="2">
        <f>IF(A34="","",IF(TRIM(IF(COUNTIF(表單!$A$2:$A$500,A34)=0,"⚠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","")&amp;IF(AND(L34&lt;&gt;"Y",G34="數值",N34=0),"⚠ 數值需設定欄位 ","")&amp;IF(AND(L34&lt;&gt;"Y",G34="連結表單",K34=""),"⚠ 缺連結表號 ","")&amp;IF(AND(K34&lt;&gt;"",COUNTIF(可連結表單!$J$2:$J$501,K34)=0),"⚠ 連結表號不存在（需為本分項的自主檢查表） ",""))="","✓",TRIM(IF(COUNTIF(表單!$A$2:$A$500,A34)=0,"⚠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","")&amp;IF(AND(L34&lt;&gt;"Y",G34="數值",N34=0),"⚠ 數值需設定欄位 ","")&amp;IF(AND(L34&lt;&gt;"Y",G34="連結表單",K34=""),"⚠ 缺連結表號 ","")&amp;IF(AND(K34&lt;&gt;"",COUNTIF(可連結表單!$J$2:$J$501,K34)=0),"⚠ 連結表號不存在（需為本分項的自主檢查表） ",""))))</f>
        <v/>
      </c>
    </row>
    <row r="35">
      <c r="M35" s="2">
        <f>IF(A35="","",IF(B35="","共用",IF(L35="Y","排除（"&amp;B35&amp;"）",IF(SUMPRODUCT(($A$2:$A$500=A35)*($C$2:$C$500=C35)*($B$2:$B$500=""))&gt;0,"覆蓋共用（"&amp;B35&amp;"）","單元新增（"&amp;B35&amp;"）"))))</f>
        <v/>
      </c>
      <c r="N35" s="2">
        <f>IF(A35="","",COUNTIFS(數值欄位!$A$2:$A$500,A35,數值欄位!$C$2:$C$500,C35))</f>
        <v/>
      </c>
      <c r="O35" s="2">
        <f>IF(A35="","",IF(TRIM(IF(COUNTIF(表單!$A$2:$A$500,A35)=0,"⚠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","")&amp;IF(AND(L35&lt;&gt;"Y",G35="數值",N35=0),"⚠ 數值需設定欄位 ","")&amp;IF(AND(L35&lt;&gt;"Y",G35="連結表單",K35=""),"⚠ 缺連結表號 ","")&amp;IF(AND(K35&lt;&gt;"",COUNTIF(可連結表單!$J$2:$J$501,K35)=0),"⚠ 連結表號不存在（需為本分項的自主檢查表） ",""))="","✓",TRIM(IF(COUNTIF(表單!$A$2:$A$500,A35)=0,"⚠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","")&amp;IF(AND(L35&lt;&gt;"Y",G35="數值",N35=0),"⚠ 數值需設定欄位 ","")&amp;IF(AND(L35&lt;&gt;"Y",G35="連結表單",K35=""),"⚠ 缺連結表號 ","")&amp;IF(AND(K35&lt;&gt;"",COUNTIF(可連結表單!$J$2:$J$501,K35)=0),"⚠ 連結表號不存在（需為本分項的自主檢查表） ",""))))</f>
        <v/>
      </c>
    </row>
    <row r="36">
      <c r="M36" s="2">
        <f>IF(A36="","",IF(B36="","共用",IF(L36="Y","排除（"&amp;B36&amp;"）",IF(SUMPRODUCT(($A$2:$A$500=A36)*($C$2:$C$500=C36)*($B$2:$B$500=""))&gt;0,"覆蓋共用（"&amp;B36&amp;"）","單元新增（"&amp;B36&amp;"）"))))</f>
        <v/>
      </c>
      <c r="N36" s="2">
        <f>IF(A36="","",COUNTIFS(數值欄位!$A$2:$A$500,A36,數值欄位!$C$2:$C$500,C36))</f>
        <v/>
      </c>
      <c r="O36" s="2">
        <f>IF(A36="","",IF(TRIM(IF(COUNTIF(表單!$A$2:$A$500,A36)=0,"⚠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","")&amp;IF(AND(L36&lt;&gt;"Y",G36="數值",N36=0),"⚠ 數值需設定欄位 ","")&amp;IF(AND(L36&lt;&gt;"Y",G36="連結表單",K36=""),"⚠ 缺連結表號 ","")&amp;IF(AND(K36&lt;&gt;"",COUNTIF(可連結表單!$J$2:$J$501,K36)=0),"⚠ 連結表號不存在（需為本分項的自主檢查表） ",""))="","✓",TRIM(IF(COUNTIF(表單!$A$2:$A$500,A36)=0,"⚠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","")&amp;IF(AND(L36&lt;&gt;"Y",G36="數值",N36=0),"⚠ 數值需設定欄位 ","")&amp;IF(AND(L36&lt;&gt;"Y",G36="連結表單",K36=""),"⚠ 缺連結表號 ","")&amp;IF(AND(K36&lt;&gt;"",COUNTIF(可連結表單!$J$2:$J$501,K36)=0),"⚠ 連結表號不存在（需為本分項的自主檢查表） ",""))))</f>
        <v/>
      </c>
    </row>
    <row r="37">
      <c r="M37" s="2">
        <f>IF(A37="","",IF(B37="","共用",IF(L37="Y","排除（"&amp;B37&amp;"）",IF(SUMPRODUCT(($A$2:$A$500=A37)*($C$2:$C$500=C37)*($B$2:$B$500=""))&gt;0,"覆蓋共用（"&amp;B37&amp;"）","單元新增（"&amp;B37&amp;"）"))))</f>
        <v/>
      </c>
      <c r="N37" s="2">
        <f>IF(A37="","",COUNTIFS(數值欄位!$A$2:$A$500,A37,數值欄位!$C$2:$C$500,C37))</f>
        <v/>
      </c>
      <c r="O37" s="2">
        <f>IF(A37="","",IF(TRIM(IF(COUNTIF(表單!$A$2:$A$500,A37)=0,"⚠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","")&amp;IF(AND(L37&lt;&gt;"Y",G37="數值",N37=0),"⚠ 數值需設定欄位 ","")&amp;IF(AND(L37&lt;&gt;"Y",G37="連結表單",K37=""),"⚠ 缺連結表號 ","")&amp;IF(AND(K37&lt;&gt;"",COUNTIF(可連結表單!$J$2:$J$501,K37)=0),"⚠ 連結表號不存在（需為本分項的自主檢查表） ",""))="","✓",TRIM(IF(COUNTIF(表單!$A$2:$A$500,A37)=0,"⚠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","")&amp;IF(AND(L37&lt;&gt;"Y",G37="數值",N37=0),"⚠ 數值需設定欄位 ","")&amp;IF(AND(L37&lt;&gt;"Y",G37="連結表單",K37=""),"⚠ 缺連結表號 ","")&amp;IF(AND(K37&lt;&gt;"",COUNTIF(可連結表單!$J$2:$J$501,K37)=0),"⚠ 連結表號不存在（需為本分項的自主檢查表） ",""))))</f>
        <v/>
      </c>
    </row>
    <row r="38">
      <c r="M38" s="2">
        <f>IF(A38="","",IF(B38="","共用",IF(L38="Y","排除（"&amp;B38&amp;"）",IF(SUMPRODUCT(($A$2:$A$500=A38)*($C$2:$C$500=C38)*($B$2:$B$500=""))&gt;0,"覆蓋共用（"&amp;B38&amp;"）","單元新增（"&amp;B38&amp;"）"))))</f>
        <v/>
      </c>
      <c r="N38" s="2">
        <f>IF(A38="","",COUNTIFS(數值欄位!$A$2:$A$500,A38,數值欄位!$C$2:$C$500,C38))</f>
        <v/>
      </c>
      <c r="O38" s="2">
        <f>IF(A38="","",IF(TRIM(IF(COUNTIF(表單!$A$2:$A$500,A38)=0,"⚠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","")&amp;IF(AND(L38&lt;&gt;"Y",G38="數值",N38=0),"⚠ 數值需設定欄位 ","")&amp;IF(AND(L38&lt;&gt;"Y",G38="連結表單",K38=""),"⚠ 缺連結表號 ","")&amp;IF(AND(K38&lt;&gt;"",COUNTIF(可連結表單!$J$2:$J$501,K38)=0),"⚠ 連結表號不存在（需為本分項的自主檢查表） ",""))="","✓",TRIM(IF(COUNTIF(表單!$A$2:$A$500,A38)=0,"⚠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","")&amp;IF(AND(L38&lt;&gt;"Y",G38="數值",N38=0),"⚠ 數值需設定欄位 ","")&amp;IF(AND(L38&lt;&gt;"Y",G38="連結表單",K38=""),"⚠ 缺連結表號 ","")&amp;IF(AND(K38&lt;&gt;"",COUNTIF(可連結表單!$J$2:$J$501,K38)=0),"⚠ 連結表號不存在（需為本分項的自主檢查表） ",""))))</f>
        <v/>
      </c>
    </row>
    <row r="39">
      <c r="M39" s="2">
        <f>IF(A39="","",IF(B39="","共用",IF(L39="Y","排除（"&amp;B39&amp;"）",IF(SUMPRODUCT(($A$2:$A$500=A39)*($C$2:$C$500=C39)*($B$2:$B$500=""))&gt;0,"覆蓋共用（"&amp;B39&amp;"）","單元新增（"&amp;B39&amp;"）"))))</f>
        <v/>
      </c>
      <c r="N39" s="2">
        <f>IF(A39="","",COUNTIFS(數值欄位!$A$2:$A$500,A39,數值欄位!$C$2:$C$500,C39))</f>
        <v/>
      </c>
      <c r="O39" s="2">
        <f>IF(A39="","",IF(TRIM(IF(COUNTIF(表單!$A$2:$A$500,A39)=0,"⚠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","")&amp;IF(AND(L39&lt;&gt;"Y",G39="數值",N39=0),"⚠ 數值需設定欄位 ","")&amp;IF(AND(L39&lt;&gt;"Y",G39="連結表單",K39=""),"⚠ 缺連結表號 ","")&amp;IF(AND(K39&lt;&gt;"",COUNTIF(可連結表單!$J$2:$J$501,K39)=0),"⚠ 連結表號不存在（需為本分項的自主檢查表） ",""))="","✓",TRIM(IF(COUNTIF(表單!$A$2:$A$500,A39)=0,"⚠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","")&amp;IF(AND(L39&lt;&gt;"Y",G39="數值",N39=0),"⚠ 數值需設定欄位 ","")&amp;IF(AND(L39&lt;&gt;"Y",G39="連結表單",K39=""),"⚠ 缺連結表號 ","")&amp;IF(AND(K39&lt;&gt;"",COUNTIF(可連結表單!$J$2:$J$501,K39)=0),"⚠ 連結表號不存在（需為本分項的自主檢查表） ",""))))</f>
        <v/>
      </c>
    </row>
    <row r="40">
      <c r="M40" s="2">
        <f>IF(A40="","",IF(B40="","共用",IF(L40="Y","排除（"&amp;B40&amp;"）",IF(SUMPRODUCT(($A$2:$A$500=A40)*($C$2:$C$500=C40)*($B$2:$B$500=""))&gt;0,"覆蓋共用（"&amp;B40&amp;"）","單元新增（"&amp;B40&amp;"）"))))</f>
        <v/>
      </c>
      <c r="N40" s="2">
        <f>IF(A40="","",COUNTIFS(數值欄位!$A$2:$A$500,A40,數值欄位!$C$2:$C$500,C40))</f>
        <v/>
      </c>
      <c r="O40" s="2">
        <f>IF(A40="","",IF(TRIM(IF(COUNTIF(表單!$A$2:$A$500,A40)=0,"⚠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","")&amp;IF(AND(L40&lt;&gt;"Y",G40="數值",N40=0),"⚠ 數值需設定欄位 ","")&amp;IF(AND(L40&lt;&gt;"Y",G40="連結表單",K40=""),"⚠ 缺連結表號 ","")&amp;IF(AND(K40&lt;&gt;"",COUNTIF(可連結表單!$J$2:$J$501,K40)=0),"⚠ 連結表號不存在（需為本分項的自主檢查表） ",""))="","✓",TRIM(IF(COUNTIF(表單!$A$2:$A$500,A40)=0,"⚠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","")&amp;IF(AND(L40&lt;&gt;"Y",G40="數值",N40=0),"⚠ 數值需設定欄位 ","")&amp;IF(AND(L40&lt;&gt;"Y",G40="連結表單",K40=""),"⚠ 缺連結表號 ","")&amp;IF(AND(K40&lt;&gt;"",COUNTIF(可連結表單!$J$2:$J$501,K40)=0),"⚠ 連結表號不存在（需為本分項的自主檢查表） ",""))))</f>
        <v/>
      </c>
    </row>
    <row r="41">
      <c r="M41" s="2">
        <f>IF(A41="","",IF(B41="","共用",IF(L41="Y","排除（"&amp;B41&amp;"）",IF(SUMPRODUCT(($A$2:$A$500=A41)*($C$2:$C$500=C41)*($B$2:$B$500=""))&gt;0,"覆蓋共用（"&amp;B41&amp;"）","單元新增（"&amp;B41&amp;"）"))))</f>
        <v/>
      </c>
      <c r="N41" s="2">
        <f>IF(A41="","",COUNTIFS(數值欄位!$A$2:$A$500,A41,數值欄位!$C$2:$C$500,C41))</f>
        <v/>
      </c>
      <c r="O41" s="2">
        <f>IF(A41="","",IF(TRIM(IF(COUNTIF(表單!$A$2:$A$500,A41)=0,"⚠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","")&amp;IF(AND(L41&lt;&gt;"Y",G41="數值",N41=0),"⚠ 數值需設定欄位 ","")&amp;IF(AND(L41&lt;&gt;"Y",G41="連結表單",K41=""),"⚠ 缺連結表號 ","")&amp;IF(AND(K41&lt;&gt;"",COUNTIF(可連結表單!$J$2:$J$501,K41)=0),"⚠ 連結表號不存在（需為本分項的自主檢查表） ",""))="","✓",TRIM(IF(COUNTIF(表單!$A$2:$A$500,A41)=0,"⚠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","")&amp;IF(AND(L41&lt;&gt;"Y",G41="數值",N41=0),"⚠ 數值需設定欄位 ","")&amp;IF(AND(L41&lt;&gt;"Y",G41="連結表單",K41=""),"⚠ 缺連結表號 ","")&amp;IF(AND(K41&lt;&gt;"",COUNTIF(可連結表單!$J$2:$J$501,K41)=0),"⚠ 連結表號不存在（需為本分項的自主檢查表） ",""))))</f>
        <v/>
      </c>
    </row>
    <row r="42">
      <c r="M42" s="2">
        <f>IF(A42="","",IF(B42="","共用",IF(L42="Y","排除（"&amp;B42&amp;"）",IF(SUMPRODUCT(($A$2:$A$500=A42)*($C$2:$C$500=C42)*($B$2:$B$500=""))&gt;0,"覆蓋共用（"&amp;B42&amp;"）","單元新增（"&amp;B42&amp;"）"))))</f>
        <v/>
      </c>
      <c r="N42" s="2">
        <f>IF(A42="","",COUNTIFS(數值欄位!$A$2:$A$500,A42,數值欄位!$C$2:$C$500,C42))</f>
        <v/>
      </c>
      <c r="O42" s="2">
        <f>IF(A42="","",IF(TRIM(IF(COUNTIF(表單!$A$2:$A$500,A42)=0,"⚠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","")&amp;IF(AND(L42&lt;&gt;"Y",G42="數值",N42=0),"⚠ 數值需設定欄位 ","")&amp;IF(AND(L42&lt;&gt;"Y",G42="連結表單",K42=""),"⚠ 缺連結表號 ","")&amp;IF(AND(K42&lt;&gt;"",COUNTIF(可連結表單!$J$2:$J$501,K42)=0),"⚠ 連結表號不存在（需為本分項的自主檢查表） ",""))="","✓",TRIM(IF(COUNTIF(表單!$A$2:$A$500,A42)=0,"⚠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","")&amp;IF(AND(L42&lt;&gt;"Y",G42="數值",N42=0),"⚠ 數值需設定欄位 ","")&amp;IF(AND(L42&lt;&gt;"Y",G42="連結表單",K42=""),"⚠ 缺連結表號 ","")&amp;IF(AND(K42&lt;&gt;"",COUNTIF(可連結表單!$J$2:$J$501,K42)=0),"⚠ 連結表號不存在（需為本分項的自主檢查表） ",""))))</f>
        <v/>
      </c>
    </row>
    <row r="43">
      <c r="M43" s="2">
        <f>IF(A43="","",IF(B43="","共用",IF(L43="Y","排除（"&amp;B43&amp;"）",IF(SUMPRODUCT(($A$2:$A$500=A43)*($C$2:$C$500=C43)*($B$2:$B$500=""))&gt;0,"覆蓋共用（"&amp;B43&amp;"）","單元新增（"&amp;B43&amp;"）"))))</f>
        <v/>
      </c>
      <c r="N43" s="2">
        <f>IF(A43="","",COUNTIFS(數值欄位!$A$2:$A$500,A43,數值欄位!$C$2:$C$500,C43))</f>
        <v/>
      </c>
      <c r="O43" s="2">
        <f>IF(A43="","",IF(TRIM(IF(COUNTIF(表單!$A$2:$A$500,A43)=0,"⚠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","")&amp;IF(AND(L43&lt;&gt;"Y",G43="數值",N43=0),"⚠ 數值需設定欄位 ","")&amp;IF(AND(L43&lt;&gt;"Y",G43="連結表單",K43=""),"⚠ 缺連結表號 ","")&amp;IF(AND(K43&lt;&gt;"",COUNTIF(可連結表單!$J$2:$J$501,K43)=0),"⚠ 連結表號不存在（需為本分項的自主檢查表） ",""))="","✓",TRIM(IF(COUNTIF(表單!$A$2:$A$500,A43)=0,"⚠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","")&amp;IF(AND(L43&lt;&gt;"Y",G43="數值",N43=0),"⚠ 數值需設定欄位 ","")&amp;IF(AND(L43&lt;&gt;"Y",G43="連結表單",K43=""),"⚠ 缺連結表號 ","")&amp;IF(AND(K43&lt;&gt;"",COUNTIF(可連結表單!$J$2:$J$501,K43)=0),"⚠ 連結表號不存在（需為本分項的自主檢查表） ",""))))</f>
        <v/>
      </c>
    </row>
    <row r="44">
      <c r="M44" s="2">
        <f>IF(A44="","",IF(B44="","共用",IF(L44="Y","排除（"&amp;B44&amp;"）",IF(SUMPRODUCT(($A$2:$A$500=A44)*($C$2:$C$500=C44)*($B$2:$B$500=""))&gt;0,"覆蓋共用（"&amp;B44&amp;"）","單元新增（"&amp;B44&amp;"）"))))</f>
        <v/>
      </c>
      <c r="N44" s="2">
        <f>IF(A44="","",COUNTIFS(數值欄位!$A$2:$A$500,A44,數值欄位!$C$2:$C$500,C44))</f>
        <v/>
      </c>
      <c r="O44" s="2">
        <f>IF(A44="","",IF(TRIM(IF(COUNTIF(表單!$A$2:$A$500,A44)=0,"⚠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","")&amp;IF(AND(L44&lt;&gt;"Y",G44="數值",N44=0),"⚠ 數值需設定欄位 ","")&amp;IF(AND(L44&lt;&gt;"Y",G44="連結表單",K44=""),"⚠ 缺連結表號 ","")&amp;IF(AND(K44&lt;&gt;"",COUNTIF(可連結表單!$J$2:$J$501,K44)=0),"⚠ 連結表號不存在（需為本分項的自主檢查表） ",""))="","✓",TRIM(IF(COUNTIF(表單!$A$2:$A$500,A44)=0,"⚠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","")&amp;IF(AND(L44&lt;&gt;"Y",G44="數值",N44=0),"⚠ 數值需設定欄位 ","")&amp;IF(AND(L44&lt;&gt;"Y",G44="連結表單",K44=""),"⚠ 缺連結表號 ","")&amp;IF(AND(K44&lt;&gt;"",COUNTIF(可連結表單!$J$2:$J$501,K44)=0),"⚠ 連結表號不存在（需為本分項的自主檢查表） ",""))))</f>
        <v/>
      </c>
    </row>
    <row r="45">
      <c r="M45" s="2">
        <f>IF(A45="","",IF(B45="","共用",IF(L45="Y","排除（"&amp;B45&amp;"）",IF(SUMPRODUCT(($A$2:$A$500=A45)*($C$2:$C$500=C45)*($B$2:$B$500=""))&gt;0,"覆蓋共用（"&amp;B45&amp;"）","單元新增（"&amp;B45&amp;"）"))))</f>
        <v/>
      </c>
      <c r="N45" s="2">
        <f>IF(A45="","",COUNTIFS(數值欄位!$A$2:$A$500,A45,數值欄位!$C$2:$C$500,C45))</f>
        <v/>
      </c>
      <c r="O45" s="2">
        <f>IF(A45="","",IF(TRIM(IF(COUNTIF(表單!$A$2:$A$500,A45)=0,"⚠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","")&amp;IF(AND(L45&lt;&gt;"Y",G45="數值",N45=0),"⚠ 數值需設定欄位 ","")&amp;IF(AND(L45&lt;&gt;"Y",G45="連結表單",K45=""),"⚠ 缺連結表號 ","")&amp;IF(AND(K45&lt;&gt;"",COUNTIF(可連結表單!$J$2:$J$501,K45)=0),"⚠ 連結表號不存在（需為本分項的自主檢查表） ",""))="","✓",TRIM(IF(COUNTIF(表單!$A$2:$A$500,A45)=0,"⚠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","")&amp;IF(AND(L45&lt;&gt;"Y",G45="數值",N45=0),"⚠ 數值需設定欄位 ","")&amp;IF(AND(L45&lt;&gt;"Y",G45="連結表單",K45=""),"⚠ 缺連結表號 ","")&amp;IF(AND(K45&lt;&gt;"",COUNTIF(可連結表單!$J$2:$J$501,K45)=0),"⚠ 連結表號不存在（需為本分項的自主檢查表） ",""))))</f>
        <v/>
      </c>
    </row>
    <row r="46">
      <c r="M46" s="2">
        <f>IF(A46="","",IF(B46="","共用",IF(L46="Y","排除（"&amp;B46&amp;"）",IF(SUMPRODUCT(($A$2:$A$500=A46)*($C$2:$C$500=C46)*($B$2:$B$500=""))&gt;0,"覆蓋共用（"&amp;B46&amp;"）","單元新增（"&amp;B46&amp;"）"))))</f>
        <v/>
      </c>
      <c r="N46" s="2">
        <f>IF(A46="","",COUNTIFS(數值欄位!$A$2:$A$500,A46,數值欄位!$C$2:$C$500,C46))</f>
        <v/>
      </c>
      <c r="O46" s="2">
        <f>IF(A46="","",IF(TRIM(IF(COUNTIF(表單!$A$2:$A$500,A46)=0,"⚠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","")&amp;IF(AND(L46&lt;&gt;"Y",G46="數值",N46=0),"⚠ 數值需設定欄位 ","")&amp;IF(AND(L46&lt;&gt;"Y",G46="連結表單",K46=""),"⚠ 缺連結表號 ","")&amp;IF(AND(K46&lt;&gt;"",COUNTIF(可連結表單!$J$2:$J$501,K46)=0),"⚠ 連結表號不存在（需為本分項的自主檢查表） ",""))="","✓",TRIM(IF(COUNTIF(表單!$A$2:$A$500,A46)=0,"⚠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","")&amp;IF(AND(L46&lt;&gt;"Y",G46="數值",N46=0),"⚠ 數值需設定欄位 ","")&amp;IF(AND(L46&lt;&gt;"Y",G46="連結表單",K46=""),"⚠ 缺連結表號 ","")&amp;IF(AND(K46&lt;&gt;"",COUNTIF(可連結表單!$J$2:$J$501,K46)=0),"⚠ 連結表號不存在（需為本分項的自主檢查表） ",""))))</f>
        <v/>
      </c>
    </row>
    <row r="47">
      <c r="M47" s="2">
        <f>IF(A47="","",IF(B47="","共用",IF(L47="Y","排除（"&amp;B47&amp;"）",IF(SUMPRODUCT(($A$2:$A$500=A47)*($C$2:$C$500=C47)*($B$2:$B$500=""))&gt;0,"覆蓋共用（"&amp;B47&amp;"）","單元新增（"&amp;B47&amp;"）"))))</f>
        <v/>
      </c>
      <c r="N47" s="2">
        <f>IF(A47="","",COUNTIFS(數值欄位!$A$2:$A$500,A47,數值欄位!$C$2:$C$500,C47))</f>
        <v/>
      </c>
      <c r="O47" s="2">
        <f>IF(A47="","",IF(TRIM(IF(COUNTIF(表單!$A$2:$A$500,A47)=0,"⚠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","")&amp;IF(AND(L47&lt;&gt;"Y",G47="數值",N47=0),"⚠ 數值需設定欄位 ","")&amp;IF(AND(L47&lt;&gt;"Y",G47="連結表單",K47=""),"⚠ 缺連結表號 ","")&amp;IF(AND(K47&lt;&gt;"",COUNTIF(可連結表單!$J$2:$J$501,K47)=0),"⚠ 連結表號不存在（需為本分項的自主檢查表） ",""))="","✓",TRIM(IF(COUNTIF(表單!$A$2:$A$500,A47)=0,"⚠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","")&amp;IF(AND(L47&lt;&gt;"Y",G47="數值",N47=0),"⚠ 數值需設定欄位 ","")&amp;IF(AND(L47&lt;&gt;"Y",G47="連結表單",K47=""),"⚠ 缺連結表號 ","")&amp;IF(AND(K47&lt;&gt;"",COUNTIF(可連結表單!$J$2:$J$501,K47)=0),"⚠ 連結表號不存在（需為本分項的自主檢查表） ",""))))</f>
        <v/>
      </c>
    </row>
    <row r="48">
      <c r="M48" s="2">
        <f>IF(A48="","",IF(B48="","共用",IF(L48="Y","排除（"&amp;B48&amp;"）",IF(SUMPRODUCT(($A$2:$A$500=A48)*($C$2:$C$500=C48)*($B$2:$B$500=""))&gt;0,"覆蓋共用（"&amp;B48&amp;"）","單元新增（"&amp;B48&amp;"）"))))</f>
        <v/>
      </c>
      <c r="N48" s="2">
        <f>IF(A48="","",COUNTIFS(數值欄位!$A$2:$A$500,A48,數值欄位!$C$2:$C$500,C48))</f>
        <v/>
      </c>
      <c r="O48" s="2">
        <f>IF(A48="","",IF(TRIM(IF(COUNTIF(表單!$A$2:$A$500,A48)=0,"⚠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","")&amp;IF(AND(L48&lt;&gt;"Y",G48="數值",N48=0),"⚠ 數值需設定欄位 ","")&amp;IF(AND(L48&lt;&gt;"Y",G48="連結表單",K48=""),"⚠ 缺連結表號 ","")&amp;IF(AND(K48&lt;&gt;"",COUNTIF(可連結表單!$J$2:$J$501,K48)=0),"⚠ 連結表號不存在（需為本分項的自主檢查表） ",""))="","✓",TRIM(IF(COUNTIF(表單!$A$2:$A$500,A48)=0,"⚠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","")&amp;IF(AND(L48&lt;&gt;"Y",G48="數值",N48=0),"⚠ 數值需設定欄位 ","")&amp;IF(AND(L48&lt;&gt;"Y",G48="連結表單",K48=""),"⚠ 缺連結表號 ","")&amp;IF(AND(K48&lt;&gt;"",COUNTIF(可連結表單!$J$2:$J$501,K48)=0),"⚠ 連結表號不存在（需為本分項的自主檢查表） ",""))))</f>
        <v/>
      </c>
    </row>
    <row r="49">
      <c r="M49" s="2">
        <f>IF(A49="","",IF(B49="","共用",IF(L49="Y","排除（"&amp;B49&amp;"）",IF(SUMPRODUCT(($A$2:$A$500=A49)*($C$2:$C$500=C49)*($B$2:$B$500=""))&gt;0,"覆蓋共用（"&amp;B49&amp;"）","單元新增（"&amp;B49&amp;"）"))))</f>
        <v/>
      </c>
      <c r="N49" s="2">
        <f>IF(A49="","",COUNTIFS(數值欄位!$A$2:$A$500,A49,數值欄位!$C$2:$C$500,C49))</f>
        <v/>
      </c>
      <c r="O49" s="2">
        <f>IF(A49="","",IF(TRIM(IF(COUNTIF(表單!$A$2:$A$500,A49)=0,"⚠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","")&amp;IF(AND(L49&lt;&gt;"Y",G49="數值",N49=0),"⚠ 數值需設定欄位 ","")&amp;IF(AND(L49&lt;&gt;"Y",G49="連結表單",K49=""),"⚠ 缺連結表號 ","")&amp;IF(AND(K49&lt;&gt;"",COUNTIF(可連結表單!$J$2:$J$501,K49)=0),"⚠ 連結表號不存在（需為本分項的自主檢查表） ",""))="","✓",TRIM(IF(COUNTIF(表單!$A$2:$A$500,A49)=0,"⚠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","")&amp;IF(AND(L49&lt;&gt;"Y",G49="數值",N49=0),"⚠ 數值需設定欄位 ","")&amp;IF(AND(L49&lt;&gt;"Y",G49="連結表單",K49=""),"⚠ 缺連結表號 ","")&amp;IF(AND(K49&lt;&gt;"",COUNTIF(可連結表單!$J$2:$J$501,K49)=0),"⚠ 連結表號不存在（需為本分項的自主檢查表） ",""))))</f>
        <v/>
      </c>
    </row>
    <row r="50">
      <c r="M50" s="2">
        <f>IF(A50="","",IF(B50="","共用",IF(L50="Y","排除（"&amp;B50&amp;"）",IF(SUMPRODUCT(($A$2:$A$500=A50)*($C$2:$C$500=C50)*($B$2:$B$500=""))&gt;0,"覆蓋共用（"&amp;B50&amp;"）","單元新增（"&amp;B50&amp;"）"))))</f>
        <v/>
      </c>
      <c r="N50" s="2">
        <f>IF(A50="","",COUNTIFS(數值欄位!$A$2:$A$500,A50,數值欄位!$C$2:$C$500,C50))</f>
        <v/>
      </c>
      <c r="O50" s="2">
        <f>IF(A50="","",IF(TRIM(IF(COUNTIF(表單!$A$2:$A$500,A50)=0,"⚠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","")&amp;IF(AND(L50&lt;&gt;"Y",G50="數值",N50=0),"⚠ 數值需設定欄位 ","")&amp;IF(AND(L50&lt;&gt;"Y",G50="連結表單",K50=""),"⚠ 缺連結表號 ","")&amp;IF(AND(K50&lt;&gt;"",COUNTIF(可連結表單!$J$2:$J$501,K50)=0),"⚠ 連結表號不存在（需為本分項的自主檢查表） ",""))="","✓",TRIM(IF(COUNTIF(表單!$A$2:$A$500,A50)=0,"⚠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","")&amp;IF(AND(L50&lt;&gt;"Y",G50="數值",N50=0),"⚠ 數值需設定欄位 ","")&amp;IF(AND(L50&lt;&gt;"Y",G50="連結表單",K50=""),"⚠ 缺連結表號 ","")&amp;IF(AND(K50&lt;&gt;"",COUNTIF(可連結表單!$J$2:$J$501,K50)=0),"⚠ 連結表號不存在（需為本分項的自主檢查表） ",""))))</f>
        <v/>
      </c>
    </row>
    <row r="51">
      <c r="M51" s="2">
        <f>IF(A51="","",IF(B51="","共用",IF(L51="Y","排除（"&amp;B51&amp;"）",IF(SUMPRODUCT(($A$2:$A$500=A51)*($C$2:$C$500=C51)*($B$2:$B$500=""))&gt;0,"覆蓋共用（"&amp;B51&amp;"）","單元新增（"&amp;B51&amp;"）"))))</f>
        <v/>
      </c>
      <c r="N51" s="2">
        <f>IF(A51="","",COUNTIFS(數值欄位!$A$2:$A$500,A51,數值欄位!$C$2:$C$500,C51))</f>
        <v/>
      </c>
      <c r="O51" s="2">
        <f>IF(A51="","",IF(TRIM(IF(COUNTIF(表單!$A$2:$A$500,A51)=0,"⚠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","")&amp;IF(AND(L51&lt;&gt;"Y",G51="數值",N51=0),"⚠ 數值需設定欄位 ","")&amp;IF(AND(L51&lt;&gt;"Y",G51="連結表單",K51=""),"⚠ 缺連結表號 ","")&amp;IF(AND(K51&lt;&gt;"",COUNTIF(可連結表單!$J$2:$J$501,K51)=0),"⚠ 連結表號不存在（需為本分項的自主檢查表） ",""))="","✓",TRIM(IF(COUNTIF(表單!$A$2:$A$500,A51)=0,"⚠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","")&amp;IF(AND(L51&lt;&gt;"Y",G51="數值",N51=0),"⚠ 數值需設定欄位 ","")&amp;IF(AND(L51&lt;&gt;"Y",G51="連結表單",K51=""),"⚠ 缺連結表號 ","")&amp;IF(AND(K51&lt;&gt;"",COUNTIF(可連結表單!$J$2:$J$501,K51)=0),"⚠ 連結表號不存在（需為本分項的自主檢查表） ",""))))</f>
        <v/>
      </c>
    </row>
    <row r="52">
      <c r="M52" s="2">
        <f>IF(A52="","",IF(B52="","共用",IF(L52="Y","排除（"&amp;B52&amp;"）",IF(SUMPRODUCT(($A$2:$A$500=A52)*($C$2:$C$500=C52)*($B$2:$B$500=""))&gt;0,"覆蓋共用（"&amp;B52&amp;"）","單元新增（"&amp;B52&amp;"）"))))</f>
        <v/>
      </c>
      <c r="N52" s="2">
        <f>IF(A52="","",COUNTIFS(數值欄位!$A$2:$A$500,A52,數值欄位!$C$2:$C$500,C52))</f>
        <v/>
      </c>
      <c r="O52" s="2">
        <f>IF(A52="","",IF(TRIM(IF(COUNTIF(表單!$A$2:$A$500,A52)=0,"⚠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","")&amp;IF(AND(L52&lt;&gt;"Y",G52="數值",N52=0),"⚠ 數值需設定欄位 ","")&amp;IF(AND(L52&lt;&gt;"Y",G52="連結表單",K52=""),"⚠ 缺連結表號 ","")&amp;IF(AND(K52&lt;&gt;"",COUNTIF(可連結表單!$J$2:$J$501,K52)=0),"⚠ 連結表號不存在（需為本分項的自主檢查表） ",""))="","✓",TRIM(IF(COUNTIF(表單!$A$2:$A$500,A52)=0,"⚠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","")&amp;IF(AND(L52&lt;&gt;"Y",G52="數值",N52=0),"⚠ 數值需設定欄位 ","")&amp;IF(AND(L52&lt;&gt;"Y",G52="連結表單",K52=""),"⚠ 缺連結表號 ","")&amp;IF(AND(K52&lt;&gt;"",COUNTIF(可連結表單!$J$2:$J$501,K52)=0),"⚠ 連結表號不存在（需為本分項的自主檢查表） ",""))))</f>
        <v/>
      </c>
    </row>
    <row r="53">
      <c r="M53" s="2">
        <f>IF(A53="","",IF(B53="","共用",IF(L53="Y","排除（"&amp;B53&amp;"）",IF(SUMPRODUCT(($A$2:$A$500=A53)*($C$2:$C$500=C53)*($B$2:$B$500=""))&gt;0,"覆蓋共用（"&amp;B53&amp;"）","單元新增（"&amp;B53&amp;"）"))))</f>
        <v/>
      </c>
      <c r="N53" s="2">
        <f>IF(A53="","",COUNTIFS(數值欄位!$A$2:$A$500,A53,數值欄位!$C$2:$C$500,C53))</f>
        <v/>
      </c>
      <c r="O53" s="2">
        <f>IF(A53="","",IF(TRIM(IF(COUNTIF(表單!$A$2:$A$500,A53)=0,"⚠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","")&amp;IF(AND(L53&lt;&gt;"Y",G53="數值",N53=0),"⚠ 數值需設定欄位 ","")&amp;IF(AND(L53&lt;&gt;"Y",G53="連結表單",K53=""),"⚠ 缺連結表號 ","")&amp;IF(AND(K53&lt;&gt;"",COUNTIF(可連結表單!$J$2:$J$501,K53)=0),"⚠ 連結表號不存在（需為本分項的自主檢查表） ",""))="","✓",TRIM(IF(COUNTIF(表單!$A$2:$A$500,A53)=0,"⚠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","")&amp;IF(AND(L53&lt;&gt;"Y",G53="數值",N53=0),"⚠ 數值需設定欄位 ","")&amp;IF(AND(L53&lt;&gt;"Y",G53="連結表單",K53=""),"⚠ 缺連結表號 ","")&amp;IF(AND(K53&lt;&gt;"",COUNTIF(可連結表單!$J$2:$J$501,K53)=0),"⚠ 連結表號不存在（需為本分項的自主檢查表） ",""))))</f>
        <v/>
      </c>
    </row>
    <row r="54">
      <c r="M54" s="2">
        <f>IF(A54="","",IF(B54="","共用",IF(L54="Y","排除（"&amp;B54&amp;"）",IF(SUMPRODUCT(($A$2:$A$500=A54)*($C$2:$C$500=C54)*($B$2:$B$500=""))&gt;0,"覆蓋共用（"&amp;B54&amp;"）","單元新增（"&amp;B54&amp;"）"))))</f>
        <v/>
      </c>
      <c r="N54" s="2">
        <f>IF(A54="","",COUNTIFS(數值欄位!$A$2:$A$500,A54,數值欄位!$C$2:$C$500,C54))</f>
        <v/>
      </c>
      <c r="O54" s="2">
        <f>IF(A54="","",IF(TRIM(IF(COUNTIF(表單!$A$2:$A$500,A54)=0,"⚠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","")&amp;IF(AND(L54&lt;&gt;"Y",G54="數值",N54=0),"⚠ 數值需設定欄位 ","")&amp;IF(AND(L54&lt;&gt;"Y",G54="連結表單",K54=""),"⚠ 缺連結表號 ","")&amp;IF(AND(K54&lt;&gt;"",COUNTIF(可連結表單!$J$2:$J$501,K54)=0),"⚠ 連結表號不存在（需為本分項的自主檢查表） ",""))="","✓",TRIM(IF(COUNTIF(表單!$A$2:$A$500,A54)=0,"⚠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","")&amp;IF(AND(L54&lt;&gt;"Y",G54="數值",N54=0),"⚠ 數值需設定欄位 ","")&amp;IF(AND(L54&lt;&gt;"Y",G54="連結表單",K54=""),"⚠ 缺連結表號 ","")&amp;IF(AND(K54&lt;&gt;"",COUNTIF(可連結表單!$J$2:$J$501,K54)=0),"⚠ 連結表號不存在（需為本分項的自主檢查表） ",""))))</f>
        <v/>
      </c>
    </row>
    <row r="55">
      <c r="M55" s="2">
        <f>IF(A55="","",IF(B55="","共用",IF(L55="Y","排除（"&amp;B55&amp;"）",IF(SUMPRODUCT(($A$2:$A$500=A55)*($C$2:$C$500=C55)*($B$2:$B$500=""))&gt;0,"覆蓋共用（"&amp;B55&amp;"）","單元新增（"&amp;B55&amp;"）"))))</f>
        <v/>
      </c>
      <c r="N55" s="2">
        <f>IF(A55="","",COUNTIFS(數值欄位!$A$2:$A$500,A55,數值欄位!$C$2:$C$500,C55))</f>
        <v/>
      </c>
      <c r="O55" s="2">
        <f>IF(A55="","",IF(TRIM(IF(COUNTIF(表單!$A$2:$A$500,A55)=0,"⚠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","")&amp;IF(AND(L55&lt;&gt;"Y",G55="數值",N55=0),"⚠ 數值需設定欄位 ","")&amp;IF(AND(L55&lt;&gt;"Y",G55="連結表單",K55=""),"⚠ 缺連結表號 ","")&amp;IF(AND(K55&lt;&gt;"",COUNTIF(可連結表單!$J$2:$J$501,K55)=0),"⚠ 連結表號不存在（需為本分項的自主檢查表） ",""))="","✓",TRIM(IF(COUNTIF(表單!$A$2:$A$500,A55)=0,"⚠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","")&amp;IF(AND(L55&lt;&gt;"Y",G55="數值",N55=0),"⚠ 數值需設定欄位 ","")&amp;IF(AND(L55&lt;&gt;"Y",G55="連結表單",K55=""),"⚠ 缺連結表號 ","")&amp;IF(AND(K55&lt;&gt;"",COUNTIF(可連結表單!$J$2:$J$501,K55)=0),"⚠ 連結表號不存在（需為本分項的自主檢查表） ",""))))</f>
        <v/>
      </c>
    </row>
    <row r="56">
      <c r="M56" s="2">
        <f>IF(A56="","",IF(B56="","共用",IF(L56="Y","排除（"&amp;B56&amp;"）",IF(SUMPRODUCT(($A$2:$A$500=A56)*($C$2:$C$500=C56)*($B$2:$B$500=""))&gt;0,"覆蓋共用（"&amp;B56&amp;"）","單元新增（"&amp;B56&amp;"）"))))</f>
        <v/>
      </c>
      <c r="N56" s="2">
        <f>IF(A56="","",COUNTIFS(數值欄位!$A$2:$A$500,A56,數值欄位!$C$2:$C$500,C56))</f>
        <v/>
      </c>
      <c r="O56" s="2">
        <f>IF(A56="","",IF(TRIM(IF(COUNTIF(表單!$A$2:$A$500,A56)=0,"⚠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","")&amp;IF(AND(L56&lt;&gt;"Y",G56="數值",N56=0),"⚠ 數值需設定欄位 ","")&amp;IF(AND(L56&lt;&gt;"Y",G56="連結表單",K56=""),"⚠ 缺連結表號 ","")&amp;IF(AND(K56&lt;&gt;"",COUNTIF(可連結表單!$J$2:$J$501,K56)=0),"⚠ 連結表號不存在（需為本分項的自主檢查表） ",""))="","✓",TRIM(IF(COUNTIF(表單!$A$2:$A$500,A56)=0,"⚠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","")&amp;IF(AND(L56&lt;&gt;"Y",G56="數值",N56=0),"⚠ 數值需設定欄位 ","")&amp;IF(AND(L56&lt;&gt;"Y",G56="連結表單",K56=""),"⚠ 缺連結表號 ","")&amp;IF(AND(K56&lt;&gt;"",COUNTIF(可連結表單!$J$2:$J$501,K56)=0),"⚠ 連結表號不存在（需為本分項的自主檢查表） ",""))))</f>
        <v/>
      </c>
    </row>
    <row r="57">
      <c r="M57" s="2">
        <f>IF(A57="","",IF(B57="","共用",IF(L57="Y","排除（"&amp;B57&amp;"）",IF(SUMPRODUCT(($A$2:$A$500=A57)*($C$2:$C$500=C57)*($B$2:$B$500=""))&gt;0,"覆蓋共用（"&amp;B57&amp;"）","單元新增（"&amp;B57&amp;"）"))))</f>
        <v/>
      </c>
      <c r="N57" s="2">
        <f>IF(A57="","",COUNTIFS(數值欄位!$A$2:$A$500,A57,數值欄位!$C$2:$C$500,C57))</f>
        <v/>
      </c>
      <c r="O57" s="2">
        <f>IF(A57="","",IF(TRIM(IF(COUNTIF(表單!$A$2:$A$500,A57)=0,"⚠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","")&amp;IF(AND(L57&lt;&gt;"Y",G57="數值",N57=0),"⚠ 數值需設定欄位 ","")&amp;IF(AND(L57&lt;&gt;"Y",G57="連結表單",K57=""),"⚠ 缺連結表號 ","")&amp;IF(AND(K57&lt;&gt;"",COUNTIF(可連結表單!$J$2:$J$501,K57)=0),"⚠ 連結表號不存在（需為本分項的自主檢查表） ",""))="","✓",TRIM(IF(COUNTIF(表單!$A$2:$A$500,A57)=0,"⚠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","")&amp;IF(AND(L57&lt;&gt;"Y",G57="數值",N57=0),"⚠ 數值需設定欄位 ","")&amp;IF(AND(L57&lt;&gt;"Y",G57="連結表單",K57=""),"⚠ 缺連結表號 ","")&amp;IF(AND(K57&lt;&gt;"",COUNTIF(可連結表單!$J$2:$J$501,K57)=0),"⚠ 連結表號不存在（需為本分項的自主檢查表） ",""))))</f>
        <v/>
      </c>
    </row>
    <row r="58">
      <c r="M58" s="2">
        <f>IF(A58="","",IF(B58="","共用",IF(L58="Y","排除（"&amp;B58&amp;"）",IF(SUMPRODUCT(($A$2:$A$500=A58)*($C$2:$C$500=C58)*($B$2:$B$500=""))&gt;0,"覆蓋共用（"&amp;B58&amp;"）","單元新增（"&amp;B58&amp;"）"))))</f>
        <v/>
      </c>
      <c r="N58" s="2">
        <f>IF(A58="","",COUNTIFS(數值欄位!$A$2:$A$500,A58,數值欄位!$C$2:$C$500,C58))</f>
        <v/>
      </c>
      <c r="O58" s="2">
        <f>IF(A58="","",IF(TRIM(IF(COUNTIF(表單!$A$2:$A$500,A58)=0,"⚠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","")&amp;IF(AND(L58&lt;&gt;"Y",G58="數值",N58=0),"⚠ 數值需設定欄位 ","")&amp;IF(AND(L58&lt;&gt;"Y",G58="連結表單",K58=""),"⚠ 缺連結表號 ","")&amp;IF(AND(K58&lt;&gt;"",COUNTIF(可連結表單!$J$2:$J$501,K58)=0),"⚠ 連結表號不存在（需為本分項的自主檢查表） ",""))="","✓",TRIM(IF(COUNTIF(表單!$A$2:$A$500,A58)=0,"⚠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","")&amp;IF(AND(L58&lt;&gt;"Y",G58="數值",N58=0),"⚠ 數值需設定欄位 ","")&amp;IF(AND(L58&lt;&gt;"Y",G58="連結表單",K58=""),"⚠ 缺連結表號 ","")&amp;IF(AND(K58&lt;&gt;"",COUNTIF(可連結表單!$J$2:$J$501,K58)=0),"⚠ 連結表號不存在（需為本分項的自主檢查表） ",""))))</f>
        <v/>
      </c>
    </row>
    <row r="59">
      <c r="M59" s="2">
        <f>IF(A59="","",IF(B59="","共用",IF(L59="Y","排除（"&amp;B59&amp;"）",IF(SUMPRODUCT(($A$2:$A$500=A59)*($C$2:$C$500=C59)*($B$2:$B$500=""))&gt;0,"覆蓋共用（"&amp;B59&amp;"）","單元新增（"&amp;B59&amp;"）"))))</f>
        <v/>
      </c>
      <c r="N59" s="2">
        <f>IF(A59="","",COUNTIFS(數值欄位!$A$2:$A$500,A59,數值欄位!$C$2:$C$500,C59))</f>
        <v/>
      </c>
      <c r="O59" s="2">
        <f>IF(A59="","",IF(TRIM(IF(COUNTIF(表單!$A$2:$A$500,A59)=0,"⚠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","")&amp;IF(AND(L59&lt;&gt;"Y",G59="數值",N59=0),"⚠ 數值需設定欄位 ","")&amp;IF(AND(L59&lt;&gt;"Y",G59="連結表單",K59=""),"⚠ 缺連結表號 ","")&amp;IF(AND(K59&lt;&gt;"",COUNTIF(可連結表單!$J$2:$J$501,K59)=0),"⚠ 連結表號不存在（需為本分項的自主檢查表） ",""))="","✓",TRIM(IF(COUNTIF(表單!$A$2:$A$500,A59)=0,"⚠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","")&amp;IF(AND(L59&lt;&gt;"Y",G59="數值",N59=0),"⚠ 數值需設定欄位 ","")&amp;IF(AND(L59&lt;&gt;"Y",G59="連結表單",K59=""),"⚠ 缺連結表號 ","")&amp;IF(AND(K59&lt;&gt;"",COUNTIF(可連結表單!$J$2:$J$501,K59)=0),"⚠ 連結表號不存在（需為本分項的自主檢查表） ",""))))</f>
        <v/>
      </c>
    </row>
    <row r="60">
      <c r="M60" s="2">
        <f>IF(A60="","",IF(B60="","共用",IF(L60="Y","排除（"&amp;B60&amp;"）",IF(SUMPRODUCT(($A$2:$A$500=A60)*($C$2:$C$500=C60)*($B$2:$B$500=""))&gt;0,"覆蓋共用（"&amp;B60&amp;"）","單元新增（"&amp;B60&amp;"）"))))</f>
        <v/>
      </c>
      <c r="N60" s="2">
        <f>IF(A60="","",COUNTIFS(數值欄位!$A$2:$A$500,A60,數值欄位!$C$2:$C$500,C60))</f>
        <v/>
      </c>
      <c r="O60" s="2">
        <f>IF(A60="","",IF(TRIM(IF(COUNTIF(表單!$A$2:$A$500,A60)=0,"⚠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","")&amp;IF(AND(L60&lt;&gt;"Y",G60="數值",N60=0),"⚠ 數值需設定欄位 ","")&amp;IF(AND(L60&lt;&gt;"Y",G60="連結表單",K60=""),"⚠ 缺連結表號 ","")&amp;IF(AND(K60&lt;&gt;"",COUNTIF(可連結表單!$J$2:$J$501,K60)=0),"⚠ 連結表號不存在（需為本分項的自主檢查表） ",""))="","✓",TRIM(IF(COUNTIF(表單!$A$2:$A$500,A60)=0,"⚠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","")&amp;IF(AND(L60&lt;&gt;"Y",G60="數值",N60=0),"⚠ 數值需設定欄位 ","")&amp;IF(AND(L60&lt;&gt;"Y",G60="連結表單",K60=""),"⚠ 缺連結表號 ","")&amp;IF(AND(K60&lt;&gt;"",COUNTIF(可連結表單!$J$2:$J$501,K60)=0),"⚠ 連結表號不存在（需為本分項的自主檢查表） ",""))))</f>
        <v/>
      </c>
    </row>
    <row r="61">
      <c r="M61" s="2">
        <f>IF(A61="","",IF(B61="","共用",IF(L61="Y","排除（"&amp;B61&amp;"）",IF(SUMPRODUCT(($A$2:$A$500=A61)*($C$2:$C$500=C61)*($B$2:$B$500=""))&gt;0,"覆蓋共用（"&amp;B61&amp;"）","單元新增（"&amp;B61&amp;"）"))))</f>
        <v/>
      </c>
      <c r="N61" s="2">
        <f>IF(A61="","",COUNTIFS(數值欄位!$A$2:$A$500,A61,數值欄位!$C$2:$C$500,C61))</f>
        <v/>
      </c>
      <c r="O61" s="2">
        <f>IF(A61="","",IF(TRIM(IF(COUNTIF(表單!$A$2:$A$500,A61)=0,"⚠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","")&amp;IF(AND(L61&lt;&gt;"Y",G61="數值",N61=0),"⚠ 數值需設定欄位 ","")&amp;IF(AND(L61&lt;&gt;"Y",G61="連結表單",K61=""),"⚠ 缺連結表號 ","")&amp;IF(AND(K61&lt;&gt;"",COUNTIF(可連結表單!$J$2:$J$501,K61)=0),"⚠ 連結表號不存在（需為本分項的自主檢查表） ",""))="","✓",TRIM(IF(COUNTIF(表單!$A$2:$A$500,A61)=0,"⚠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","")&amp;IF(AND(L61&lt;&gt;"Y",G61="數值",N61=0),"⚠ 數值需設定欄位 ","")&amp;IF(AND(L61&lt;&gt;"Y",G61="連結表單",K61=""),"⚠ 缺連結表號 ","")&amp;IF(AND(K61&lt;&gt;"",COUNTIF(可連結表單!$J$2:$J$501,K61)=0),"⚠ 連結表號不存在（需為本分項的自主檢查表） ",""))))</f>
        <v/>
      </c>
    </row>
    <row r="62">
      <c r="M62" s="2">
        <f>IF(A62="","",IF(B62="","共用",IF(L62="Y","排除（"&amp;B62&amp;"）",IF(SUMPRODUCT(($A$2:$A$500=A62)*($C$2:$C$500=C62)*($B$2:$B$500=""))&gt;0,"覆蓋共用（"&amp;B62&amp;"）","單元新增（"&amp;B62&amp;"）"))))</f>
        <v/>
      </c>
      <c r="N62" s="2">
        <f>IF(A62="","",COUNTIFS(數值欄位!$A$2:$A$500,A62,數值欄位!$C$2:$C$500,C62))</f>
        <v/>
      </c>
      <c r="O62" s="2">
        <f>IF(A62="","",IF(TRIM(IF(COUNTIF(表單!$A$2:$A$500,A62)=0,"⚠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","")&amp;IF(AND(L62&lt;&gt;"Y",G62="數值",N62=0),"⚠ 數值需設定欄位 ","")&amp;IF(AND(L62&lt;&gt;"Y",G62="連結表單",K62=""),"⚠ 缺連結表號 ","")&amp;IF(AND(K62&lt;&gt;"",COUNTIF(可連結表單!$J$2:$J$501,K62)=0),"⚠ 連結表號不存在（需為本分項的自主檢查表） ",""))="","✓",TRIM(IF(COUNTIF(表單!$A$2:$A$500,A62)=0,"⚠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","")&amp;IF(AND(L62&lt;&gt;"Y",G62="數值",N62=0),"⚠ 數值需設定欄位 ","")&amp;IF(AND(L62&lt;&gt;"Y",G62="連結表單",K62=""),"⚠ 缺連結表號 ","")&amp;IF(AND(K62&lt;&gt;"",COUNTIF(可連結表單!$J$2:$J$501,K62)=0),"⚠ 連結表號不存在（需為本分項的自主檢查表） ",""))))</f>
        <v/>
      </c>
    </row>
    <row r="63">
      <c r="M63" s="2">
        <f>IF(A63="","",IF(B63="","共用",IF(L63="Y","排除（"&amp;B63&amp;"）",IF(SUMPRODUCT(($A$2:$A$500=A63)*($C$2:$C$500=C63)*($B$2:$B$500=""))&gt;0,"覆蓋共用（"&amp;B63&amp;"）","單元新增（"&amp;B63&amp;"）"))))</f>
        <v/>
      </c>
      <c r="N63" s="2">
        <f>IF(A63="","",COUNTIFS(數值欄位!$A$2:$A$500,A63,數值欄位!$C$2:$C$500,C63))</f>
        <v/>
      </c>
      <c r="O63" s="2">
        <f>IF(A63="","",IF(TRIM(IF(COUNTIF(表單!$A$2:$A$500,A63)=0,"⚠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","")&amp;IF(AND(L63&lt;&gt;"Y",G63="數值",N63=0),"⚠ 數值需設定欄位 ","")&amp;IF(AND(L63&lt;&gt;"Y",G63="連結表單",K63=""),"⚠ 缺連結表號 ","")&amp;IF(AND(K63&lt;&gt;"",COUNTIF(可連結表單!$J$2:$J$501,K63)=0),"⚠ 連結表號不存在（需為本分項的自主檢查表） ",""))="","✓",TRIM(IF(COUNTIF(表單!$A$2:$A$500,A63)=0,"⚠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","")&amp;IF(AND(L63&lt;&gt;"Y",G63="數值",N63=0),"⚠ 數值需設定欄位 ","")&amp;IF(AND(L63&lt;&gt;"Y",G63="連結表單",K63=""),"⚠ 缺連結表號 ","")&amp;IF(AND(K63&lt;&gt;"",COUNTIF(可連結表單!$J$2:$J$501,K63)=0),"⚠ 連結表號不存在（需為本分項的自主檢查表） ",""))))</f>
        <v/>
      </c>
    </row>
    <row r="64">
      <c r="M64" s="2">
        <f>IF(A64="","",IF(B64="","共用",IF(L64="Y","排除（"&amp;B64&amp;"）",IF(SUMPRODUCT(($A$2:$A$500=A64)*($C$2:$C$500=C64)*($B$2:$B$500=""))&gt;0,"覆蓋共用（"&amp;B64&amp;"）","單元新增（"&amp;B64&amp;"）"))))</f>
        <v/>
      </c>
      <c r="N64" s="2">
        <f>IF(A64="","",COUNTIFS(數值欄位!$A$2:$A$500,A64,數值欄位!$C$2:$C$500,C64))</f>
        <v/>
      </c>
      <c r="O64" s="2">
        <f>IF(A64="","",IF(TRIM(IF(COUNTIF(表單!$A$2:$A$500,A64)=0,"⚠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","")&amp;IF(AND(L64&lt;&gt;"Y",G64="數值",N64=0),"⚠ 數值需設定欄位 ","")&amp;IF(AND(L64&lt;&gt;"Y",G64="連結表單",K64=""),"⚠ 缺連結表號 ","")&amp;IF(AND(K64&lt;&gt;"",COUNTIF(可連結表單!$J$2:$J$501,K64)=0),"⚠ 連結表號不存在（需為本分項的自主檢查表） ",""))="","✓",TRIM(IF(COUNTIF(表單!$A$2:$A$500,A64)=0,"⚠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","")&amp;IF(AND(L64&lt;&gt;"Y",G64="數值",N64=0),"⚠ 數值需設定欄位 ","")&amp;IF(AND(L64&lt;&gt;"Y",G64="連結表單",K64=""),"⚠ 缺連結表號 ","")&amp;IF(AND(K64&lt;&gt;"",COUNTIF(可連結表單!$J$2:$J$501,K64)=0),"⚠ 連結表號不存在（需為本分項的自主檢查表） ",""))))</f>
        <v/>
      </c>
    </row>
    <row r="65">
      <c r="M65" s="2">
        <f>IF(A65="","",IF(B65="","共用",IF(L65="Y","排除（"&amp;B65&amp;"）",IF(SUMPRODUCT(($A$2:$A$500=A65)*($C$2:$C$500=C65)*($B$2:$B$500=""))&gt;0,"覆蓋共用（"&amp;B65&amp;"）","單元新增（"&amp;B65&amp;"）"))))</f>
        <v/>
      </c>
      <c r="N65" s="2">
        <f>IF(A65="","",COUNTIFS(數值欄位!$A$2:$A$500,A65,數值欄位!$C$2:$C$500,C65))</f>
        <v/>
      </c>
      <c r="O65" s="2">
        <f>IF(A65="","",IF(TRIM(IF(COUNTIF(表單!$A$2:$A$500,A65)=0,"⚠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","")&amp;IF(AND(L65&lt;&gt;"Y",G65="數值",N65=0),"⚠ 數值需設定欄位 ","")&amp;IF(AND(L65&lt;&gt;"Y",G65="連結表單",K65=""),"⚠ 缺連結表號 ","")&amp;IF(AND(K65&lt;&gt;"",COUNTIF(可連結表單!$J$2:$J$501,K65)=0),"⚠ 連結表號不存在（需為本分項的自主檢查表） ",""))="","✓",TRIM(IF(COUNTIF(表單!$A$2:$A$500,A65)=0,"⚠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","")&amp;IF(AND(L65&lt;&gt;"Y",G65="數值",N65=0),"⚠ 數值需設定欄位 ","")&amp;IF(AND(L65&lt;&gt;"Y",G65="連結表單",K65=""),"⚠ 缺連結表號 ","")&amp;IF(AND(K65&lt;&gt;"",COUNTIF(可連結表單!$J$2:$J$501,K65)=0),"⚠ 連結表號不存在（需為本分項的自主檢查表） ",""))))</f>
        <v/>
      </c>
    </row>
    <row r="66">
      <c r="M66" s="2">
        <f>IF(A66="","",IF(B66="","共用",IF(L66="Y","排除（"&amp;B66&amp;"）",IF(SUMPRODUCT(($A$2:$A$500=A66)*($C$2:$C$500=C66)*($B$2:$B$500=""))&gt;0,"覆蓋共用（"&amp;B66&amp;"）","單元新增（"&amp;B66&amp;"）"))))</f>
        <v/>
      </c>
      <c r="N66" s="2">
        <f>IF(A66="","",COUNTIFS(數值欄位!$A$2:$A$500,A66,數值欄位!$C$2:$C$500,C66))</f>
        <v/>
      </c>
      <c r="O66" s="2">
        <f>IF(A66="","",IF(TRIM(IF(COUNTIF(表單!$A$2:$A$500,A66)=0,"⚠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","")&amp;IF(AND(L66&lt;&gt;"Y",G66="數值",N66=0),"⚠ 數值需設定欄位 ","")&amp;IF(AND(L66&lt;&gt;"Y",G66="連結表單",K66=""),"⚠ 缺連結表號 ","")&amp;IF(AND(K66&lt;&gt;"",COUNTIF(可連結表單!$J$2:$J$501,K66)=0),"⚠ 連結表號不存在（需為本分項的自主檢查表） ",""))="","✓",TRIM(IF(COUNTIF(表單!$A$2:$A$500,A66)=0,"⚠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","")&amp;IF(AND(L66&lt;&gt;"Y",G66="數值",N66=0),"⚠ 數值需設定欄位 ","")&amp;IF(AND(L66&lt;&gt;"Y",G66="連結表單",K66=""),"⚠ 缺連結表號 ","")&amp;IF(AND(K66&lt;&gt;"",COUNTIF(可連結表單!$J$2:$J$501,K66)=0),"⚠ 連結表號不存在（需為本分項的自主檢查表） ",""))))</f>
        <v/>
      </c>
    </row>
    <row r="67">
      <c r="M67" s="2">
        <f>IF(A67="","",IF(B67="","共用",IF(L67="Y","排除（"&amp;B67&amp;"）",IF(SUMPRODUCT(($A$2:$A$500=A67)*($C$2:$C$500=C67)*($B$2:$B$500=""))&gt;0,"覆蓋共用（"&amp;B67&amp;"）","單元新增（"&amp;B67&amp;"）"))))</f>
        <v/>
      </c>
      <c r="N67" s="2">
        <f>IF(A67="","",COUNTIFS(數值欄位!$A$2:$A$500,A67,數值欄位!$C$2:$C$500,C67))</f>
        <v/>
      </c>
      <c r="O67" s="2">
        <f>IF(A67="","",IF(TRIM(IF(COUNTIF(表單!$A$2:$A$500,A67)=0,"⚠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","")&amp;IF(AND(L67&lt;&gt;"Y",G67="數值",N67=0),"⚠ 數值需設定欄位 ","")&amp;IF(AND(L67&lt;&gt;"Y",G67="連結表單",K67=""),"⚠ 缺連結表號 ","")&amp;IF(AND(K67&lt;&gt;"",COUNTIF(可連結表單!$J$2:$J$501,K67)=0),"⚠ 連結表號不存在（需為本分項的自主檢查表） ",""))="","✓",TRIM(IF(COUNTIF(表單!$A$2:$A$500,A67)=0,"⚠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","")&amp;IF(AND(L67&lt;&gt;"Y",G67="數值",N67=0),"⚠ 數值需設定欄位 ","")&amp;IF(AND(L67&lt;&gt;"Y",G67="連結表單",K67=""),"⚠ 缺連結表號 ","")&amp;IF(AND(K67&lt;&gt;"",COUNTIF(可連結表單!$J$2:$J$501,K67)=0),"⚠ 連結表號不存在（需為本分項的自主檢查表） ",""))))</f>
        <v/>
      </c>
    </row>
    <row r="68">
      <c r="M68" s="2">
        <f>IF(A68="","",IF(B68="","共用",IF(L68="Y","排除（"&amp;B68&amp;"）",IF(SUMPRODUCT(($A$2:$A$500=A68)*($C$2:$C$500=C68)*($B$2:$B$500=""))&gt;0,"覆蓋共用（"&amp;B68&amp;"）","單元新增（"&amp;B68&amp;"）"))))</f>
        <v/>
      </c>
      <c r="N68" s="2">
        <f>IF(A68="","",COUNTIFS(數值欄位!$A$2:$A$500,A68,數值欄位!$C$2:$C$500,C68))</f>
        <v/>
      </c>
      <c r="O68" s="2">
        <f>IF(A68="","",IF(TRIM(IF(COUNTIF(表單!$A$2:$A$500,A68)=0,"⚠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","")&amp;IF(AND(L68&lt;&gt;"Y",G68="數值",N68=0),"⚠ 數值需設定欄位 ","")&amp;IF(AND(L68&lt;&gt;"Y",G68="連結表單",K68=""),"⚠ 缺連結表號 ","")&amp;IF(AND(K68&lt;&gt;"",COUNTIF(可連結表單!$J$2:$J$501,K68)=0),"⚠ 連結表號不存在（需為本分項的自主檢查表） ",""))="","✓",TRIM(IF(COUNTIF(表單!$A$2:$A$500,A68)=0,"⚠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","")&amp;IF(AND(L68&lt;&gt;"Y",G68="數值",N68=0),"⚠ 數值需設定欄位 ","")&amp;IF(AND(L68&lt;&gt;"Y",G68="連結表單",K68=""),"⚠ 缺連結表號 ","")&amp;IF(AND(K68&lt;&gt;"",COUNTIF(可連結表單!$J$2:$J$501,K68)=0),"⚠ 連結表號不存在（需為本分項的自主檢查表） ",""))))</f>
        <v/>
      </c>
    </row>
    <row r="69">
      <c r="M69" s="2">
        <f>IF(A69="","",IF(B69="","共用",IF(L69="Y","排除（"&amp;B69&amp;"）",IF(SUMPRODUCT(($A$2:$A$500=A69)*($C$2:$C$500=C69)*($B$2:$B$500=""))&gt;0,"覆蓋共用（"&amp;B69&amp;"）","單元新增（"&amp;B69&amp;"）"))))</f>
        <v/>
      </c>
      <c r="N69" s="2">
        <f>IF(A69="","",COUNTIFS(數值欄位!$A$2:$A$500,A69,數值欄位!$C$2:$C$500,C69))</f>
        <v/>
      </c>
      <c r="O69" s="2">
        <f>IF(A69="","",IF(TRIM(IF(COUNTIF(表單!$A$2:$A$500,A69)=0,"⚠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","")&amp;IF(AND(L69&lt;&gt;"Y",G69="數值",N69=0),"⚠ 數值需設定欄位 ","")&amp;IF(AND(L69&lt;&gt;"Y",G69="連結表單",K69=""),"⚠ 缺連結表號 ","")&amp;IF(AND(K69&lt;&gt;"",COUNTIF(可連結表單!$J$2:$J$501,K69)=0),"⚠ 連結表號不存在（需為本分項的自主檢查表） ",""))="","✓",TRIM(IF(COUNTIF(表單!$A$2:$A$500,A69)=0,"⚠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","")&amp;IF(AND(L69&lt;&gt;"Y",G69="數值",N69=0),"⚠ 數值需設定欄位 ","")&amp;IF(AND(L69&lt;&gt;"Y",G69="連結表單",K69=""),"⚠ 缺連結表號 ","")&amp;IF(AND(K69&lt;&gt;"",COUNTIF(可連結表單!$J$2:$J$501,K69)=0),"⚠ 連結表號不存在（需為本分項的自主檢查表） ",""))))</f>
        <v/>
      </c>
    </row>
    <row r="70">
      <c r="M70" s="2">
        <f>IF(A70="","",IF(B70="","共用",IF(L70="Y","排除（"&amp;B70&amp;"）",IF(SUMPRODUCT(($A$2:$A$500=A70)*($C$2:$C$500=C70)*($B$2:$B$500=""))&gt;0,"覆蓋共用（"&amp;B70&amp;"）","單元新增（"&amp;B70&amp;"）"))))</f>
        <v/>
      </c>
      <c r="N70" s="2">
        <f>IF(A70="","",COUNTIFS(數值欄位!$A$2:$A$500,A70,數值欄位!$C$2:$C$500,C70))</f>
        <v/>
      </c>
      <c r="O70" s="2">
        <f>IF(A70="","",IF(TRIM(IF(COUNTIF(表單!$A$2:$A$500,A70)=0,"⚠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","")&amp;IF(AND(L70&lt;&gt;"Y",G70="數值",N70=0),"⚠ 數值需設定欄位 ","")&amp;IF(AND(L70&lt;&gt;"Y",G70="連結表單",K70=""),"⚠ 缺連結表號 ","")&amp;IF(AND(K70&lt;&gt;"",COUNTIF(可連結表單!$J$2:$J$501,K70)=0),"⚠ 連結表號不存在（需為本分項的自主檢查表） ",""))="","✓",TRIM(IF(COUNTIF(表單!$A$2:$A$500,A70)=0,"⚠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","")&amp;IF(AND(L70&lt;&gt;"Y",G70="數值",N70=0),"⚠ 數值需設定欄位 ","")&amp;IF(AND(L70&lt;&gt;"Y",G70="連結表單",K70=""),"⚠ 缺連結表號 ","")&amp;IF(AND(K70&lt;&gt;"",COUNTIF(可連結表單!$J$2:$J$501,K70)=0),"⚠ 連結表號不存在（需為本分項的自主檢查表） ",""))))</f>
        <v/>
      </c>
    </row>
    <row r="71">
      <c r="M71" s="2">
        <f>IF(A71="","",IF(B71="","共用",IF(L71="Y","排除（"&amp;B71&amp;"）",IF(SUMPRODUCT(($A$2:$A$500=A71)*($C$2:$C$500=C71)*($B$2:$B$500=""))&gt;0,"覆蓋共用（"&amp;B71&amp;"）","單元新增（"&amp;B71&amp;"）"))))</f>
        <v/>
      </c>
      <c r="N71" s="2">
        <f>IF(A71="","",COUNTIFS(數值欄位!$A$2:$A$500,A71,數值欄位!$C$2:$C$500,C71))</f>
        <v/>
      </c>
      <c r="O71" s="2">
        <f>IF(A71="","",IF(TRIM(IF(COUNTIF(表單!$A$2:$A$500,A71)=0,"⚠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","")&amp;IF(AND(L71&lt;&gt;"Y",G71="數值",N71=0),"⚠ 數值需設定欄位 ","")&amp;IF(AND(L71&lt;&gt;"Y",G71="連結表單",K71=""),"⚠ 缺連結表號 ","")&amp;IF(AND(K71&lt;&gt;"",COUNTIF(可連結表單!$J$2:$J$501,K71)=0),"⚠ 連結表號不存在（需為本分項的自主檢查表） ",""))="","✓",TRIM(IF(COUNTIF(表單!$A$2:$A$500,A71)=0,"⚠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","")&amp;IF(AND(L71&lt;&gt;"Y",G71="數值",N71=0),"⚠ 數值需設定欄位 ","")&amp;IF(AND(L71&lt;&gt;"Y",G71="連結表單",K71=""),"⚠ 缺連結表號 ","")&amp;IF(AND(K71&lt;&gt;"",COUNTIF(可連結表單!$J$2:$J$501,K71)=0),"⚠ 連結表號不存在（需為本分項的自主檢查表） ",""))))</f>
        <v/>
      </c>
    </row>
    <row r="72">
      <c r="M72" s="2">
        <f>IF(A72="","",IF(B72="","共用",IF(L72="Y","排除（"&amp;B72&amp;"）",IF(SUMPRODUCT(($A$2:$A$500=A72)*($C$2:$C$500=C72)*($B$2:$B$500=""))&gt;0,"覆蓋共用（"&amp;B72&amp;"）","單元新增（"&amp;B72&amp;"）"))))</f>
        <v/>
      </c>
      <c r="N72" s="2">
        <f>IF(A72="","",COUNTIFS(數值欄位!$A$2:$A$500,A72,數值欄位!$C$2:$C$500,C72))</f>
        <v/>
      </c>
      <c r="O72" s="2">
        <f>IF(A72="","",IF(TRIM(IF(COUNTIF(表單!$A$2:$A$500,A72)=0,"⚠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","")&amp;IF(AND(L72&lt;&gt;"Y",G72="數值",N72=0),"⚠ 數值需設定欄位 ","")&amp;IF(AND(L72&lt;&gt;"Y",G72="連結表單",K72=""),"⚠ 缺連結表號 ","")&amp;IF(AND(K72&lt;&gt;"",COUNTIF(可連結表單!$J$2:$J$501,K72)=0),"⚠ 連結表號不存在（需為本分項的自主檢查表） ",""))="","✓",TRIM(IF(COUNTIF(表單!$A$2:$A$500,A72)=0,"⚠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","")&amp;IF(AND(L72&lt;&gt;"Y",G72="數值",N72=0),"⚠ 數值需設定欄位 ","")&amp;IF(AND(L72&lt;&gt;"Y",G72="連結表單",K72=""),"⚠ 缺連結表號 ","")&amp;IF(AND(K72&lt;&gt;"",COUNTIF(可連結表單!$J$2:$J$501,K72)=0),"⚠ 連結表號不存在（需為本分項的自主檢查表） ",""))))</f>
        <v/>
      </c>
    </row>
    <row r="73">
      <c r="M73" s="2">
        <f>IF(A73="","",IF(B73="","共用",IF(L73="Y","排除（"&amp;B73&amp;"）",IF(SUMPRODUCT(($A$2:$A$500=A73)*($C$2:$C$500=C73)*($B$2:$B$500=""))&gt;0,"覆蓋共用（"&amp;B73&amp;"）","單元新增（"&amp;B73&amp;"）"))))</f>
        <v/>
      </c>
      <c r="N73" s="2">
        <f>IF(A73="","",COUNTIFS(數值欄位!$A$2:$A$500,A73,數值欄位!$C$2:$C$500,C73))</f>
        <v/>
      </c>
      <c r="O73" s="2">
        <f>IF(A73="","",IF(TRIM(IF(COUNTIF(表單!$A$2:$A$500,A73)=0,"⚠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","")&amp;IF(AND(L73&lt;&gt;"Y",G73="數值",N73=0),"⚠ 數值需設定欄位 ","")&amp;IF(AND(L73&lt;&gt;"Y",G73="連結表單",K73=""),"⚠ 缺連結表號 ","")&amp;IF(AND(K73&lt;&gt;"",COUNTIF(可連結表單!$J$2:$J$501,K73)=0),"⚠ 連結表號不存在（需為本分項的自主檢查表） ",""))="","✓",TRIM(IF(COUNTIF(表單!$A$2:$A$500,A73)=0,"⚠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","")&amp;IF(AND(L73&lt;&gt;"Y",G73="數值",N73=0),"⚠ 數值需設定欄位 ","")&amp;IF(AND(L73&lt;&gt;"Y",G73="連結表單",K73=""),"⚠ 缺連結表號 ","")&amp;IF(AND(K73&lt;&gt;"",COUNTIF(可連結表單!$J$2:$J$501,K73)=0),"⚠ 連結表號不存在（需為本分項的自主檢查表） ",""))))</f>
        <v/>
      </c>
    </row>
    <row r="74">
      <c r="M74" s="2">
        <f>IF(A74="","",IF(B74="","共用",IF(L74="Y","排除（"&amp;B74&amp;"）",IF(SUMPRODUCT(($A$2:$A$500=A74)*($C$2:$C$500=C74)*($B$2:$B$500=""))&gt;0,"覆蓋共用（"&amp;B74&amp;"）","單元新增（"&amp;B74&amp;"）"))))</f>
        <v/>
      </c>
      <c r="N74" s="2">
        <f>IF(A74="","",COUNTIFS(數值欄位!$A$2:$A$500,A74,數值欄位!$C$2:$C$500,C74))</f>
        <v/>
      </c>
      <c r="O74" s="2">
        <f>IF(A74="","",IF(TRIM(IF(COUNTIF(表單!$A$2:$A$500,A74)=0,"⚠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","")&amp;IF(AND(L74&lt;&gt;"Y",G74="數值",N74=0),"⚠ 數值需設定欄位 ","")&amp;IF(AND(L74&lt;&gt;"Y",G74="連結表單",K74=""),"⚠ 缺連結表號 ","")&amp;IF(AND(K74&lt;&gt;"",COUNTIF(可連結表單!$J$2:$J$501,K74)=0),"⚠ 連結表號不存在（需為本分項的自主檢查表） ",""))="","✓",TRIM(IF(COUNTIF(表單!$A$2:$A$500,A74)=0,"⚠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","")&amp;IF(AND(L74&lt;&gt;"Y",G74="數值",N74=0),"⚠ 數值需設定欄位 ","")&amp;IF(AND(L74&lt;&gt;"Y",G74="連結表單",K74=""),"⚠ 缺連結表號 ","")&amp;IF(AND(K74&lt;&gt;"",COUNTIF(可連結表單!$J$2:$J$501,K74)=0),"⚠ 連結表號不存在（需為本分項的自主檢查表） ",""))))</f>
        <v/>
      </c>
    </row>
    <row r="75">
      <c r="M75" s="2">
        <f>IF(A75="","",IF(B75="","共用",IF(L75="Y","排除（"&amp;B75&amp;"）",IF(SUMPRODUCT(($A$2:$A$500=A75)*($C$2:$C$500=C75)*($B$2:$B$500=""))&gt;0,"覆蓋共用（"&amp;B75&amp;"）","單元新增（"&amp;B75&amp;"）"))))</f>
        <v/>
      </c>
      <c r="N75" s="2">
        <f>IF(A75="","",COUNTIFS(數值欄位!$A$2:$A$500,A75,數值欄位!$C$2:$C$500,C75))</f>
        <v/>
      </c>
      <c r="O75" s="2">
        <f>IF(A75="","",IF(TRIM(IF(COUNTIF(表單!$A$2:$A$500,A75)=0,"⚠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","")&amp;IF(AND(L75&lt;&gt;"Y",G75="數值",N75=0),"⚠ 數值需設定欄位 ","")&amp;IF(AND(L75&lt;&gt;"Y",G75="連結表單",K75=""),"⚠ 缺連結表號 ","")&amp;IF(AND(K75&lt;&gt;"",COUNTIF(可連結表單!$J$2:$J$501,K75)=0),"⚠ 連結表號不存在（需為本分項的自主檢查表） ",""))="","✓",TRIM(IF(COUNTIF(表單!$A$2:$A$500,A75)=0,"⚠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","")&amp;IF(AND(L75&lt;&gt;"Y",G75="數值",N75=0),"⚠ 數值需設定欄位 ","")&amp;IF(AND(L75&lt;&gt;"Y",G75="連結表單",K75=""),"⚠ 缺連結表號 ","")&amp;IF(AND(K75&lt;&gt;"",COUNTIF(可連結表單!$J$2:$J$501,K75)=0),"⚠ 連結表號不存在（需為本分項的自主檢查表） ",""))))</f>
        <v/>
      </c>
    </row>
    <row r="76">
      <c r="M76" s="2">
        <f>IF(A76="","",IF(B76="","共用",IF(L76="Y","排除（"&amp;B76&amp;"）",IF(SUMPRODUCT(($A$2:$A$500=A76)*($C$2:$C$500=C76)*($B$2:$B$500=""))&gt;0,"覆蓋共用（"&amp;B76&amp;"）","單元新增（"&amp;B76&amp;"）"))))</f>
        <v/>
      </c>
      <c r="N76" s="2">
        <f>IF(A76="","",COUNTIFS(數值欄位!$A$2:$A$500,A76,數值欄位!$C$2:$C$500,C76))</f>
        <v/>
      </c>
      <c r="O76" s="2">
        <f>IF(A76="","",IF(TRIM(IF(COUNTIF(表單!$A$2:$A$500,A76)=0,"⚠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","")&amp;IF(AND(L76&lt;&gt;"Y",G76="數值",N76=0),"⚠ 數值需設定欄位 ","")&amp;IF(AND(L76&lt;&gt;"Y",G76="連結表單",K76=""),"⚠ 缺連結表號 ","")&amp;IF(AND(K76&lt;&gt;"",COUNTIF(可連結表單!$J$2:$J$501,K76)=0),"⚠ 連結表號不存在（需為本分項的自主檢查表） ",""))="","✓",TRIM(IF(COUNTIF(表單!$A$2:$A$500,A76)=0,"⚠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","")&amp;IF(AND(L76&lt;&gt;"Y",G76="數值",N76=0),"⚠ 數值需設定欄位 ","")&amp;IF(AND(L76&lt;&gt;"Y",G76="連結表單",K76=""),"⚠ 缺連結表號 ","")&amp;IF(AND(K76&lt;&gt;"",COUNTIF(可連結表單!$J$2:$J$501,K76)=0),"⚠ 連結表號不存在（需為本分項的自主檢查表） ",""))))</f>
        <v/>
      </c>
    </row>
    <row r="77">
      <c r="M77" s="2">
        <f>IF(A77="","",IF(B77="","共用",IF(L77="Y","排除（"&amp;B77&amp;"）",IF(SUMPRODUCT(($A$2:$A$500=A77)*($C$2:$C$500=C77)*($B$2:$B$500=""))&gt;0,"覆蓋共用（"&amp;B77&amp;"）","單元新增（"&amp;B77&amp;"）"))))</f>
        <v/>
      </c>
      <c r="N77" s="2">
        <f>IF(A77="","",COUNTIFS(數值欄位!$A$2:$A$500,A77,數值欄位!$C$2:$C$500,C77))</f>
        <v/>
      </c>
      <c r="O77" s="2">
        <f>IF(A77="","",IF(TRIM(IF(COUNTIF(表單!$A$2:$A$500,A77)=0,"⚠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","")&amp;IF(AND(L77&lt;&gt;"Y",G77="數值",N77=0),"⚠ 數值需設定欄位 ","")&amp;IF(AND(L77&lt;&gt;"Y",G77="連結表單",K77=""),"⚠ 缺連結表號 ","")&amp;IF(AND(K77&lt;&gt;"",COUNTIF(可連結表單!$J$2:$J$501,K77)=0),"⚠ 連結表號不存在（需為本分項的自主檢查表） ",""))="","✓",TRIM(IF(COUNTIF(表單!$A$2:$A$500,A77)=0,"⚠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","")&amp;IF(AND(L77&lt;&gt;"Y",G77="數值",N77=0),"⚠ 數值需設定欄位 ","")&amp;IF(AND(L77&lt;&gt;"Y",G77="連結表單",K77=""),"⚠ 缺連結表號 ","")&amp;IF(AND(K77&lt;&gt;"",COUNTIF(可連結表單!$J$2:$J$501,K77)=0),"⚠ 連結表號不存在（需為本分項的自主檢查表） ",""))))</f>
        <v/>
      </c>
    </row>
    <row r="78">
      <c r="M78" s="2">
        <f>IF(A78="","",IF(B78="","共用",IF(L78="Y","排除（"&amp;B78&amp;"）",IF(SUMPRODUCT(($A$2:$A$500=A78)*($C$2:$C$500=C78)*($B$2:$B$500=""))&gt;0,"覆蓋共用（"&amp;B78&amp;"）","單元新增（"&amp;B78&amp;"）"))))</f>
        <v/>
      </c>
      <c r="N78" s="2">
        <f>IF(A78="","",COUNTIFS(數值欄位!$A$2:$A$500,A78,數值欄位!$C$2:$C$500,C78))</f>
        <v/>
      </c>
      <c r="O78" s="2">
        <f>IF(A78="","",IF(TRIM(IF(COUNTIF(表單!$A$2:$A$500,A78)=0,"⚠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","")&amp;IF(AND(L78&lt;&gt;"Y",G78="數值",N78=0),"⚠ 數值需設定欄位 ","")&amp;IF(AND(L78&lt;&gt;"Y",G78="連結表單",K78=""),"⚠ 缺連結表號 ","")&amp;IF(AND(K78&lt;&gt;"",COUNTIF(可連結表單!$J$2:$J$501,K78)=0),"⚠ 連結表號不存在（需為本分項的自主檢查表） ",""))="","✓",TRIM(IF(COUNTIF(表單!$A$2:$A$500,A78)=0,"⚠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","")&amp;IF(AND(L78&lt;&gt;"Y",G78="數值",N78=0),"⚠ 數值需設定欄位 ","")&amp;IF(AND(L78&lt;&gt;"Y",G78="連結表單",K78=""),"⚠ 缺連結表號 ","")&amp;IF(AND(K78&lt;&gt;"",COUNTIF(可連結表單!$J$2:$J$501,K78)=0),"⚠ 連結表號不存在（需為本分項的自主檢查表） ",""))))</f>
        <v/>
      </c>
    </row>
    <row r="79">
      <c r="M79" s="2">
        <f>IF(A79="","",IF(B79="","共用",IF(L79="Y","排除（"&amp;B79&amp;"）",IF(SUMPRODUCT(($A$2:$A$500=A79)*($C$2:$C$500=C79)*($B$2:$B$500=""))&gt;0,"覆蓋共用（"&amp;B79&amp;"）","單元新增（"&amp;B79&amp;"）"))))</f>
        <v/>
      </c>
      <c r="N79" s="2">
        <f>IF(A79="","",COUNTIFS(數值欄位!$A$2:$A$500,A79,數值欄位!$C$2:$C$500,C79))</f>
        <v/>
      </c>
      <c r="O79" s="2">
        <f>IF(A79="","",IF(TRIM(IF(COUNTIF(表單!$A$2:$A$500,A79)=0,"⚠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","")&amp;IF(AND(L79&lt;&gt;"Y",G79="數值",N79=0),"⚠ 數值需設定欄位 ","")&amp;IF(AND(L79&lt;&gt;"Y",G79="連結表單",K79=""),"⚠ 缺連結表號 ","")&amp;IF(AND(K79&lt;&gt;"",COUNTIF(可連結表單!$J$2:$J$501,K79)=0),"⚠ 連結表號不存在（需為本分項的自主檢查表） ",""))="","✓",TRIM(IF(COUNTIF(表單!$A$2:$A$500,A79)=0,"⚠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","")&amp;IF(AND(L79&lt;&gt;"Y",G79="數值",N79=0),"⚠ 數值需設定欄位 ","")&amp;IF(AND(L79&lt;&gt;"Y",G79="連結表單",K79=""),"⚠ 缺連結表號 ","")&amp;IF(AND(K79&lt;&gt;"",COUNTIF(可連結表單!$J$2:$J$501,K79)=0),"⚠ 連結表號不存在（需為本分項的自主檢查表） ",""))))</f>
        <v/>
      </c>
    </row>
    <row r="80">
      <c r="M80" s="2">
        <f>IF(A80="","",IF(B80="","共用",IF(L80="Y","排除（"&amp;B80&amp;"）",IF(SUMPRODUCT(($A$2:$A$500=A80)*($C$2:$C$500=C80)*($B$2:$B$500=""))&gt;0,"覆蓋共用（"&amp;B80&amp;"）","單元新增（"&amp;B80&amp;"）"))))</f>
        <v/>
      </c>
      <c r="N80" s="2">
        <f>IF(A80="","",COUNTIFS(數值欄位!$A$2:$A$500,A80,數值欄位!$C$2:$C$500,C80))</f>
        <v/>
      </c>
      <c r="O80" s="2">
        <f>IF(A80="","",IF(TRIM(IF(COUNTIF(表單!$A$2:$A$500,A80)=0,"⚠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","")&amp;IF(AND(L80&lt;&gt;"Y",G80="數值",N80=0),"⚠ 數值需設定欄位 ","")&amp;IF(AND(L80&lt;&gt;"Y",G80="連結表單",K80=""),"⚠ 缺連結表號 ","")&amp;IF(AND(K80&lt;&gt;"",COUNTIF(可連結表單!$J$2:$J$501,K80)=0),"⚠ 連結表號不存在（需為本分項的自主檢查表） ",""))="","✓",TRIM(IF(COUNTIF(表單!$A$2:$A$500,A80)=0,"⚠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","")&amp;IF(AND(L80&lt;&gt;"Y",G80="數值",N80=0),"⚠ 數值需設定欄位 ","")&amp;IF(AND(L80&lt;&gt;"Y",G80="連結表單",K80=""),"⚠ 缺連結表號 ","")&amp;IF(AND(K80&lt;&gt;"",COUNTIF(可連結表單!$J$2:$J$501,K80)=0),"⚠ 連結表號不存在（需為本分項的自主檢查表） ",""))))</f>
        <v/>
      </c>
    </row>
    <row r="81">
      <c r="M81" s="2">
        <f>IF(A81="","",IF(B81="","共用",IF(L81="Y","排除（"&amp;B81&amp;"）",IF(SUMPRODUCT(($A$2:$A$500=A81)*($C$2:$C$500=C81)*($B$2:$B$500=""))&gt;0,"覆蓋共用（"&amp;B81&amp;"）","單元新增（"&amp;B81&amp;"）"))))</f>
        <v/>
      </c>
      <c r="N81" s="2">
        <f>IF(A81="","",COUNTIFS(數值欄位!$A$2:$A$500,A81,數值欄位!$C$2:$C$500,C81))</f>
        <v/>
      </c>
      <c r="O81" s="2">
        <f>IF(A81="","",IF(TRIM(IF(COUNTIF(表單!$A$2:$A$500,A81)=0,"⚠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","")&amp;IF(AND(L81&lt;&gt;"Y",G81="數值",N81=0),"⚠ 數值需設定欄位 ","")&amp;IF(AND(L81&lt;&gt;"Y",G81="連結表單",K81=""),"⚠ 缺連結表號 ","")&amp;IF(AND(K81&lt;&gt;"",COUNTIF(可連結表單!$J$2:$J$501,K81)=0),"⚠ 連結表號不存在（需為本分項的自主檢查表） ",""))="","✓",TRIM(IF(COUNTIF(表單!$A$2:$A$500,A81)=0,"⚠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","")&amp;IF(AND(L81&lt;&gt;"Y",G81="數值",N81=0),"⚠ 數值需設定欄位 ","")&amp;IF(AND(L81&lt;&gt;"Y",G81="連結表單",K81=""),"⚠ 缺連結表號 ","")&amp;IF(AND(K81&lt;&gt;"",COUNTIF(可連結表單!$J$2:$J$501,K81)=0),"⚠ 連結表號不存在（需為本分項的自主檢查表） ",""))))</f>
        <v/>
      </c>
    </row>
    <row r="82">
      <c r="M82" s="2">
        <f>IF(A82="","",IF(B82="","共用",IF(L82="Y","排除（"&amp;B82&amp;"）",IF(SUMPRODUCT(($A$2:$A$500=A82)*($C$2:$C$500=C82)*($B$2:$B$500=""))&gt;0,"覆蓋共用（"&amp;B82&amp;"）","單元新增（"&amp;B82&amp;"）"))))</f>
        <v/>
      </c>
      <c r="N82" s="2">
        <f>IF(A82="","",COUNTIFS(數值欄位!$A$2:$A$500,A82,數值欄位!$C$2:$C$500,C82))</f>
        <v/>
      </c>
      <c r="O82" s="2">
        <f>IF(A82="","",IF(TRIM(IF(COUNTIF(表單!$A$2:$A$500,A82)=0,"⚠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","")&amp;IF(AND(L82&lt;&gt;"Y",G82="數值",N82=0),"⚠ 數值需設定欄位 ","")&amp;IF(AND(L82&lt;&gt;"Y",G82="連結表單",K82=""),"⚠ 缺連結表號 ","")&amp;IF(AND(K82&lt;&gt;"",COUNTIF(可連結表單!$J$2:$J$501,K82)=0),"⚠ 連結表號不存在（需為本分項的自主檢查表） ",""))="","✓",TRIM(IF(COUNTIF(表單!$A$2:$A$500,A82)=0,"⚠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","")&amp;IF(AND(L82&lt;&gt;"Y",G82="數值",N82=0),"⚠ 數值需設定欄位 ","")&amp;IF(AND(L82&lt;&gt;"Y",G82="連結表單",K82=""),"⚠ 缺連結表號 ","")&amp;IF(AND(K82&lt;&gt;"",COUNTIF(可連結表單!$J$2:$J$501,K82)=0),"⚠ 連結表號不存在（需為本分項的自主檢查表） ",""))))</f>
        <v/>
      </c>
    </row>
    <row r="83">
      <c r="M83" s="2">
        <f>IF(A83="","",IF(B83="","共用",IF(L83="Y","排除（"&amp;B83&amp;"）",IF(SUMPRODUCT(($A$2:$A$500=A83)*($C$2:$C$500=C83)*($B$2:$B$500=""))&gt;0,"覆蓋共用（"&amp;B83&amp;"）","單元新增（"&amp;B83&amp;"）"))))</f>
        <v/>
      </c>
      <c r="N83" s="2">
        <f>IF(A83="","",COUNTIFS(數值欄位!$A$2:$A$500,A83,數值欄位!$C$2:$C$500,C83))</f>
        <v/>
      </c>
      <c r="O83" s="2">
        <f>IF(A83="","",IF(TRIM(IF(COUNTIF(表單!$A$2:$A$500,A83)=0,"⚠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","")&amp;IF(AND(L83&lt;&gt;"Y",G83="數值",N83=0),"⚠ 數值需設定欄位 ","")&amp;IF(AND(L83&lt;&gt;"Y",G83="連結表單",K83=""),"⚠ 缺連結表號 ","")&amp;IF(AND(K83&lt;&gt;"",COUNTIF(可連結表單!$J$2:$J$501,K83)=0),"⚠ 連結表號不存在（需為本分項的自主檢查表） ",""))="","✓",TRIM(IF(COUNTIF(表單!$A$2:$A$500,A83)=0,"⚠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","")&amp;IF(AND(L83&lt;&gt;"Y",G83="數值",N83=0),"⚠ 數值需設定欄位 ","")&amp;IF(AND(L83&lt;&gt;"Y",G83="連結表單",K83=""),"⚠ 缺連結表號 ","")&amp;IF(AND(K83&lt;&gt;"",COUNTIF(可連結表單!$J$2:$J$501,K83)=0),"⚠ 連結表號不存在（需為本分項的自主檢查表） ",""))))</f>
        <v/>
      </c>
    </row>
    <row r="84">
      <c r="M84" s="2">
        <f>IF(A84="","",IF(B84="","共用",IF(L84="Y","排除（"&amp;B84&amp;"）",IF(SUMPRODUCT(($A$2:$A$500=A84)*($C$2:$C$500=C84)*($B$2:$B$500=""))&gt;0,"覆蓋共用（"&amp;B84&amp;"）","單元新增（"&amp;B84&amp;"）"))))</f>
        <v/>
      </c>
      <c r="N84" s="2">
        <f>IF(A84="","",COUNTIFS(數值欄位!$A$2:$A$500,A84,數值欄位!$C$2:$C$500,C84))</f>
        <v/>
      </c>
      <c r="O84" s="2">
        <f>IF(A84="","",IF(TRIM(IF(COUNTIF(表單!$A$2:$A$500,A84)=0,"⚠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","")&amp;IF(AND(L84&lt;&gt;"Y",G84="數值",N84=0),"⚠ 數值需設定欄位 ","")&amp;IF(AND(L84&lt;&gt;"Y",G84="連結表單",K84=""),"⚠ 缺連結表號 ","")&amp;IF(AND(K84&lt;&gt;"",COUNTIF(可連結表單!$J$2:$J$501,K84)=0),"⚠ 連結表號不存在（需為本分項的自主檢查表） ",""))="","✓",TRIM(IF(COUNTIF(表單!$A$2:$A$500,A84)=0,"⚠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","")&amp;IF(AND(L84&lt;&gt;"Y",G84="數值",N84=0),"⚠ 數值需設定欄位 ","")&amp;IF(AND(L84&lt;&gt;"Y",G84="連結表單",K84=""),"⚠ 缺連結表號 ","")&amp;IF(AND(K84&lt;&gt;"",COUNTIF(可連結表單!$J$2:$J$501,K84)=0),"⚠ 連結表號不存在（需為本分項的自主檢查表） ",""))))</f>
        <v/>
      </c>
    </row>
    <row r="85">
      <c r="M85" s="2">
        <f>IF(A85="","",IF(B85="","共用",IF(L85="Y","排除（"&amp;B85&amp;"）",IF(SUMPRODUCT(($A$2:$A$500=A85)*($C$2:$C$500=C85)*($B$2:$B$500=""))&gt;0,"覆蓋共用（"&amp;B85&amp;"）","單元新增（"&amp;B85&amp;"）"))))</f>
        <v/>
      </c>
      <c r="N85" s="2">
        <f>IF(A85="","",COUNTIFS(數值欄位!$A$2:$A$500,A85,數值欄位!$C$2:$C$500,C85))</f>
        <v/>
      </c>
      <c r="O85" s="2">
        <f>IF(A85="","",IF(TRIM(IF(COUNTIF(表單!$A$2:$A$500,A85)=0,"⚠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","")&amp;IF(AND(L85&lt;&gt;"Y",G85="數值",N85=0),"⚠ 數值需設定欄位 ","")&amp;IF(AND(L85&lt;&gt;"Y",G85="連結表單",K85=""),"⚠ 缺連結表號 ","")&amp;IF(AND(K85&lt;&gt;"",COUNTIF(可連結表單!$J$2:$J$501,K85)=0),"⚠ 連結表號不存在（需為本分項的自主檢查表） ",""))="","✓",TRIM(IF(COUNTIF(表單!$A$2:$A$500,A85)=0,"⚠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","")&amp;IF(AND(L85&lt;&gt;"Y",G85="數值",N85=0),"⚠ 數值需設定欄位 ","")&amp;IF(AND(L85&lt;&gt;"Y",G85="連結表單",K85=""),"⚠ 缺連結表號 ","")&amp;IF(AND(K85&lt;&gt;"",COUNTIF(可連結表單!$J$2:$J$501,K85)=0),"⚠ 連結表號不存在（需為本分項的自主檢查表） ",""))))</f>
        <v/>
      </c>
    </row>
    <row r="86">
      <c r="M86" s="2">
        <f>IF(A86="","",IF(B86="","共用",IF(L86="Y","排除（"&amp;B86&amp;"）",IF(SUMPRODUCT(($A$2:$A$500=A86)*($C$2:$C$500=C86)*($B$2:$B$500=""))&gt;0,"覆蓋共用（"&amp;B86&amp;"）","單元新增（"&amp;B86&amp;"）"))))</f>
        <v/>
      </c>
      <c r="N86" s="2">
        <f>IF(A86="","",COUNTIFS(數值欄位!$A$2:$A$500,A86,數值欄位!$C$2:$C$500,C86))</f>
        <v/>
      </c>
      <c r="O86" s="2">
        <f>IF(A86="","",IF(TRIM(IF(COUNTIF(表單!$A$2:$A$500,A86)=0,"⚠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","")&amp;IF(AND(L86&lt;&gt;"Y",G86="數值",N86=0),"⚠ 數值需設定欄位 ","")&amp;IF(AND(L86&lt;&gt;"Y",G86="連結表單",K86=""),"⚠ 缺連結表號 ","")&amp;IF(AND(K86&lt;&gt;"",COUNTIF(可連結表單!$J$2:$J$501,K86)=0),"⚠ 連結表號不存在（需為本分項的自主檢查表） ",""))="","✓",TRIM(IF(COUNTIF(表單!$A$2:$A$500,A86)=0,"⚠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","")&amp;IF(AND(L86&lt;&gt;"Y",G86="數值",N86=0),"⚠ 數值需設定欄位 ","")&amp;IF(AND(L86&lt;&gt;"Y",G86="連結表單",K86=""),"⚠ 缺連結表號 ","")&amp;IF(AND(K86&lt;&gt;"",COUNTIF(可連結表單!$J$2:$J$501,K86)=0),"⚠ 連結表號不存在（需為本分項的自主檢查表） ",""))))</f>
        <v/>
      </c>
    </row>
    <row r="87">
      <c r="M87" s="2">
        <f>IF(A87="","",IF(B87="","共用",IF(L87="Y","排除（"&amp;B87&amp;"）",IF(SUMPRODUCT(($A$2:$A$500=A87)*($C$2:$C$500=C87)*($B$2:$B$500=""))&gt;0,"覆蓋共用（"&amp;B87&amp;"）","單元新增（"&amp;B87&amp;"）"))))</f>
        <v/>
      </c>
      <c r="N87" s="2">
        <f>IF(A87="","",COUNTIFS(數值欄位!$A$2:$A$500,A87,數值欄位!$C$2:$C$500,C87))</f>
        <v/>
      </c>
      <c r="O87" s="2">
        <f>IF(A87="","",IF(TRIM(IF(COUNTIF(表單!$A$2:$A$500,A87)=0,"⚠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","")&amp;IF(AND(L87&lt;&gt;"Y",G87="數值",N87=0),"⚠ 數值需設定欄位 ","")&amp;IF(AND(L87&lt;&gt;"Y",G87="連結表單",K87=""),"⚠ 缺連結表號 ","")&amp;IF(AND(K87&lt;&gt;"",COUNTIF(可連結表單!$J$2:$J$501,K87)=0),"⚠ 連結表號不存在（需為本分項的自主檢查表） ",""))="","✓",TRIM(IF(COUNTIF(表單!$A$2:$A$500,A87)=0,"⚠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","")&amp;IF(AND(L87&lt;&gt;"Y",G87="數值",N87=0),"⚠ 數值需設定欄位 ","")&amp;IF(AND(L87&lt;&gt;"Y",G87="連結表單",K87=""),"⚠ 缺連結表號 ","")&amp;IF(AND(K87&lt;&gt;"",COUNTIF(可連結表單!$J$2:$J$501,K87)=0),"⚠ 連結表號不存在（需為本分項的自主檢查表） ",""))))</f>
        <v/>
      </c>
    </row>
    <row r="88">
      <c r="M88" s="2">
        <f>IF(A88="","",IF(B88="","共用",IF(L88="Y","排除（"&amp;B88&amp;"）",IF(SUMPRODUCT(($A$2:$A$500=A88)*($C$2:$C$500=C88)*($B$2:$B$500=""))&gt;0,"覆蓋共用（"&amp;B88&amp;"）","單元新增（"&amp;B88&amp;"）"))))</f>
        <v/>
      </c>
      <c r="N88" s="2">
        <f>IF(A88="","",COUNTIFS(數值欄位!$A$2:$A$500,A88,數值欄位!$C$2:$C$500,C88))</f>
        <v/>
      </c>
      <c r="O88" s="2">
        <f>IF(A88="","",IF(TRIM(IF(COUNTIF(表單!$A$2:$A$500,A88)=0,"⚠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","")&amp;IF(AND(L88&lt;&gt;"Y",G88="數值",N88=0),"⚠ 數值需設定欄位 ","")&amp;IF(AND(L88&lt;&gt;"Y",G88="連結表單",K88=""),"⚠ 缺連結表號 ","")&amp;IF(AND(K88&lt;&gt;"",COUNTIF(可連結表單!$J$2:$J$501,K88)=0),"⚠ 連結表號不存在（需為本分項的自主檢查表） ",""))="","✓",TRIM(IF(COUNTIF(表單!$A$2:$A$500,A88)=0,"⚠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","")&amp;IF(AND(L88&lt;&gt;"Y",G88="數值",N88=0),"⚠ 數值需設定欄位 ","")&amp;IF(AND(L88&lt;&gt;"Y",G88="連結表單",K88=""),"⚠ 缺連結表號 ","")&amp;IF(AND(K88&lt;&gt;"",COUNTIF(可連結表單!$J$2:$J$501,K88)=0),"⚠ 連結表號不存在（需為本分項的自主檢查表） ",""))))</f>
        <v/>
      </c>
    </row>
    <row r="89">
      <c r="M89" s="2">
        <f>IF(A89="","",IF(B89="","共用",IF(L89="Y","排除（"&amp;B89&amp;"）",IF(SUMPRODUCT(($A$2:$A$500=A89)*($C$2:$C$500=C89)*($B$2:$B$500=""))&gt;0,"覆蓋共用（"&amp;B89&amp;"）","單元新增（"&amp;B89&amp;"）"))))</f>
        <v/>
      </c>
      <c r="N89" s="2">
        <f>IF(A89="","",COUNTIFS(數值欄位!$A$2:$A$500,A89,數值欄位!$C$2:$C$500,C89))</f>
        <v/>
      </c>
      <c r="O89" s="2">
        <f>IF(A89="","",IF(TRIM(IF(COUNTIF(表單!$A$2:$A$500,A89)=0,"⚠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","")&amp;IF(AND(L89&lt;&gt;"Y",G89="數值",N89=0),"⚠ 數值需設定欄位 ","")&amp;IF(AND(L89&lt;&gt;"Y",G89="連結表單",K89=""),"⚠ 缺連結表號 ","")&amp;IF(AND(K89&lt;&gt;"",COUNTIF(可連結表單!$J$2:$J$501,K89)=0),"⚠ 連結表號不存在（需為本分項的自主檢查表） ",""))="","✓",TRIM(IF(COUNTIF(表單!$A$2:$A$500,A89)=0,"⚠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","")&amp;IF(AND(L89&lt;&gt;"Y",G89="數值",N89=0),"⚠ 數值需設定欄位 ","")&amp;IF(AND(L89&lt;&gt;"Y",G89="連結表單",K89=""),"⚠ 缺連結表號 ","")&amp;IF(AND(K89&lt;&gt;"",COUNTIF(可連結表單!$J$2:$J$501,K89)=0),"⚠ 連結表號不存在（需為本分項的自主檢查表） ",""))))</f>
        <v/>
      </c>
    </row>
    <row r="90">
      <c r="M90" s="2">
        <f>IF(A90="","",IF(B90="","共用",IF(L90="Y","排除（"&amp;B90&amp;"）",IF(SUMPRODUCT(($A$2:$A$500=A90)*($C$2:$C$500=C90)*($B$2:$B$500=""))&gt;0,"覆蓋共用（"&amp;B90&amp;"）","單元新增（"&amp;B90&amp;"）"))))</f>
        <v/>
      </c>
      <c r="N90" s="2">
        <f>IF(A90="","",COUNTIFS(數值欄位!$A$2:$A$500,A90,數值欄位!$C$2:$C$500,C90))</f>
        <v/>
      </c>
      <c r="O90" s="2">
        <f>IF(A90="","",IF(TRIM(IF(COUNTIF(表單!$A$2:$A$500,A90)=0,"⚠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","")&amp;IF(AND(L90&lt;&gt;"Y",G90="數值",N90=0),"⚠ 數值需設定欄位 ","")&amp;IF(AND(L90&lt;&gt;"Y",G90="連結表單",K90=""),"⚠ 缺連結表號 ","")&amp;IF(AND(K90&lt;&gt;"",COUNTIF(可連結表單!$J$2:$J$501,K90)=0),"⚠ 連結表號不存在（需為本分項的自主檢查表） ",""))="","✓",TRIM(IF(COUNTIF(表單!$A$2:$A$500,A90)=0,"⚠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","")&amp;IF(AND(L90&lt;&gt;"Y",G90="數值",N90=0),"⚠ 數值需設定欄位 ","")&amp;IF(AND(L90&lt;&gt;"Y",G90="連結表單",K90=""),"⚠ 缺連結表號 ","")&amp;IF(AND(K90&lt;&gt;"",COUNTIF(可連結表單!$J$2:$J$501,K90)=0),"⚠ 連結表號不存在（需為本分項的自主檢查表） ",""))))</f>
        <v/>
      </c>
    </row>
    <row r="91">
      <c r="M91" s="2">
        <f>IF(A91="","",IF(B91="","共用",IF(L91="Y","排除（"&amp;B91&amp;"）",IF(SUMPRODUCT(($A$2:$A$500=A91)*($C$2:$C$500=C91)*($B$2:$B$500=""))&gt;0,"覆蓋共用（"&amp;B91&amp;"）","單元新增（"&amp;B91&amp;"）"))))</f>
        <v/>
      </c>
      <c r="N91" s="2">
        <f>IF(A91="","",COUNTIFS(數值欄位!$A$2:$A$500,A91,數值欄位!$C$2:$C$500,C91))</f>
        <v/>
      </c>
      <c r="O91" s="2">
        <f>IF(A91="","",IF(TRIM(IF(COUNTIF(表單!$A$2:$A$500,A91)=0,"⚠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","")&amp;IF(AND(L91&lt;&gt;"Y",G91="數值",N91=0),"⚠ 數值需設定欄位 ","")&amp;IF(AND(L91&lt;&gt;"Y",G91="連結表單",K91=""),"⚠ 缺連結表號 ","")&amp;IF(AND(K91&lt;&gt;"",COUNTIF(可連結表單!$J$2:$J$501,K91)=0),"⚠ 連結表號不存在（需為本分項的自主檢查表） ",""))="","✓",TRIM(IF(COUNTIF(表單!$A$2:$A$500,A91)=0,"⚠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","")&amp;IF(AND(L91&lt;&gt;"Y",G91="數值",N91=0),"⚠ 數值需設定欄位 ","")&amp;IF(AND(L91&lt;&gt;"Y",G91="連結表單",K91=""),"⚠ 缺連結表號 ","")&amp;IF(AND(K91&lt;&gt;"",COUNTIF(可連結表單!$J$2:$J$501,K91)=0),"⚠ 連結表號不存在（需為本分項的自主檢查表） ",""))))</f>
        <v/>
      </c>
    </row>
    <row r="92">
      <c r="M92" s="2">
        <f>IF(A92="","",IF(B92="","共用",IF(L92="Y","排除（"&amp;B92&amp;"）",IF(SUMPRODUCT(($A$2:$A$500=A92)*($C$2:$C$500=C92)*($B$2:$B$500=""))&gt;0,"覆蓋共用（"&amp;B92&amp;"）","單元新增（"&amp;B92&amp;"）"))))</f>
        <v/>
      </c>
      <c r="N92" s="2">
        <f>IF(A92="","",COUNTIFS(數值欄位!$A$2:$A$500,A92,數值欄位!$C$2:$C$500,C92))</f>
        <v/>
      </c>
      <c r="O92" s="2">
        <f>IF(A92="","",IF(TRIM(IF(COUNTIF(表單!$A$2:$A$500,A92)=0,"⚠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","")&amp;IF(AND(L92&lt;&gt;"Y",G92="數值",N92=0),"⚠ 數值需設定欄位 ","")&amp;IF(AND(L92&lt;&gt;"Y",G92="連結表單",K92=""),"⚠ 缺連結表號 ","")&amp;IF(AND(K92&lt;&gt;"",COUNTIF(可連結表單!$J$2:$J$501,K92)=0),"⚠ 連結表號不存在（需為本分項的自主檢查表） ",""))="","✓",TRIM(IF(COUNTIF(表單!$A$2:$A$500,A92)=0,"⚠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","")&amp;IF(AND(L92&lt;&gt;"Y",G92="數值",N92=0),"⚠ 數值需設定欄位 ","")&amp;IF(AND(L92&lt;&gt;"Y",G92="連結表單",K92=""),"⚠ 缺連結表號 ","")&amp;IF(AND(K92&lt;&gt;"",COUNTIF(可連結表單!$J$2:$J$501,K92)=0),"⚠ 連結表號不存在（需為本分項的自主檢查表） ",""))))</f>
        <v/>
      </c>
    </row>
    <row r="93">
      <c r="M93" s="2">
        <f>IF(A93="","",IF(B93="","共用",IF(L93="Y","排除（"&amp;B93&amp;"）",IF(SUMPRODUCT(($A$2:$A$500=A93)*($C$2:$C$500=C93)*($B$2:$B$500=""))&gt;0,"覆蓋共用（"&amp;B93&amp;"）","單元新增（"&amp;B93&amp;"）"))))</f>
        <v/>
      </c>
      <c r="N93" s="2">
        <f>IF(A93="","",COUNTIFS(數值欄位!$A$2:$A$500,A93,數值欄位!$C$2:$C$500,C93))</f>
        <v/>
      </c>
      <c r="O93" s="2">
        <f>IF(A93="","",IF(TRIM(IF(COUNTIF(表單!$A$2:$A$500,A93)=0,"⚠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","")&amp;IF(AND(L93&lt;&gt;"Y",G93="數值",N93=0),"⚠ 數值需設定欄位 ","")&amp;IF(AND(L93&lt;&gt;"Y",G93="連結表單",K93=""),"⚠ 缺連結表號 ","")&amp;IF(AND(K93&lt;&gt;"",COUNTIF(可連結表單!$J$2:$J$501,K93)=0),"⚠ 連結表號不存在（需為本分項的自主檢查表） ",""))="","✓",TRIM(IF(COUNTIF(表單!$A$2:$A$500,A93)=0,"⚠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","")&amp;IF(AND(L93&lt;&gt;"Y",G93="數值",N93=0),"⚠ 數值需設定欄位 ","")&amp;IF(AND(L93&lt;&gt;"Y",G93="連結表單",K93=""),"⚠ 缺連結表號 ","")&amp;IF(AND(K93&lt;&gt;"",COUNTIF(可連結表單!$J$2:$J$501,K93)=0),"⚠ 連結表號不存在（需為本分項的自主檢查表） ",""))))</f>
        <v/>
      </c>
    </row>
    <row r="94">
      <c r="M94" s="2">
        <f>IF(A94="","",IF(B94="","共用",IF(L94="Y","排除（"&amp;B94&amp;"）",IF(SUMPRODUCT(($A$2:$A$500=A94)*($C$2:$C$500=C94)*($B$2:$B$500=""))&gt;0,"覆蓋共用（"&amp;B94&amp;"）","單元新增（"&amp;B94&amp;"）"))))</f>
        <v/>
      </c>
      <c r="N94" s="2">
        <f>IF(A94="","",COUNTIFS(數值欄位!$A$2:$A$500,A94,數值欄位!$C$2:$C$500,C94))</f>
        <v/>
      </c>
      <c r="O94" s="2">
        <f>IF(A94="","",IF(TRIM(IF(COUNTIF(表單!$A$2:$A$500,A94)=0,"⚠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","")&amp;IF(AND(L94&lt;&gt;"Y",G94="數值",N94=0),"⚠ 數值需設定欄位 ","")&amp;IF(AND(L94&lt;&gt;"Y",G94="連結表單",K94=""),"⚠ 缺連結表號 ","")&amp;IF(AND(K94&lt;&gt;"",COUNTIF(可連結表單!$J$2:$J$501,K94)=0),"⚠ 連結表號不存在（需為本分項的自主檢查表） ",""))="","✓",TRIM(IF(COUNTIF(表單!$A$2:$A$500,A94)=0,"⚠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","")&amp;IF(AND(L94&lt;&gt;"Y",G94="數值",N94=0),"⚠ 數值需設定欄位 ","")&amp;IF(AND(L94&lt;&gt;"Y",G94="連結表單",K94=""),"⚠ 缺連結表號 ","")&amp;IF(AND(K94&lt;&gt;"",COUNTIF(可連結表單!$J$2:$J$501,K94)=0),"⚠ 連結表號不存在（需為本分項的自主檢查表） ",""))))</f>
        <v/>
      </c>
    </row>
    <row r="95">
      <c r="M95" s="2">
        <f>IF(A95="","",IF(B95="","共用",IF(L95="Y","排除（"&amp;B95&amp;"）",IF(SUMPRODUCT(($A$2:$A$500=A95)*($C$2:$C$500=C95)*($B$2:$B$500=""))&gt;0,"覆蓋共用（"&amp;B95&amp;"）","單元新增（"&amp;B95&amp;"）"))))</f>
        <v/>
      </c>
      <c r="N95" s="2">
        <f>IF(A95="","",COUNTIFS(數值欄位!$A$2:$A$500,A95,數值欄位!$C$2:$C$500,C95))</f>
        <v/>
      </c>
      <c r="O95" s="2">
        <f>IF(A95="","",IF(TRIM(IF(COUNTIF(表單!$A$2:$A$500,A95)=0,"⚠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","")&amp;IF(AND(L95&lt;&gt;"Y",G95="數值",N95=0),"⚠ 數值需設定欄位 ","")&amp;IF(AND(L95&lt;&gt;"Y",G95="連結表單",K95=""),"⚠ 缺連結表號 ","")&amp;IF(AND(K95&lt;&gt;"",COUNTIF(可連結表單!$J$2:$J$501,K95)=0),"⚠ 連結表號不存在（需為本分項的自主檢查表） ",""))="","✓",TRIM(IF(COUNTIF(表單!$A$2:$A$500,A95)=0,"⚠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","")&amp;IF(AND(L95&lt;&gt;"Y",G95="數值",N95=0),"⚠ 數值需設定欄位 ","")&amp;IF(AND(L95&lt;&gt;"Y",G95="連結表單",K95=""),"⚠ 缺連結表號 ","")&amp;IF(AND(K95&lt;&gt;"",COUNTIF(可連結表單!$J$2:$J$501,K95)=0),"⚠ 連結表號不存在（需為本分項的自主檢查表） ",""))))</f>
        <v/>
      </c>
    </row>
    <row r="96">
      <c r="M96" s="2">
        <f>IF(A96="","",IF(B96="","共用",IF(L96="Y","排除（"&amp;B96&amp;"）",IF(SUMPRODUCT(($A$2:$A$500=A96)*($C$2:$C$500=C96)*($B$2:$B$500=""))&gt;0,"覆蓋共用（"&amp;B96&amp;"）","單元新增（"&amp;B96&amp;"）"))))</f>
        <v/>
      </c>
      <c r="N96" s="2">
        <f>IF(A96="","",COUNTIFS(數值欄位!$A$2:$A$500,A96,數值欄位!$C$2:$C$500,C96))</f>
        <v/>
      </c>
      <c r="O96" s="2">
        <f>IF(A96="","",IF(TRIM(IF(COUNTIF(表單!$A$2:$A$500,A96)=0,"⚠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","")&amp;IF(AND(L96&lt;&gt;"Y",G96="數值",N96=0),"⚠ 數值需設定欄位 ","")&amp;IF(AND(L96&lt;&gt;"Y",G96="連結表單",K96=""),"⚠ 缺連結表號 ","")&amp;IF(AND(K96&lt;&gt;"",COUNTIF(可連結表單!$J$2:$J$501,K96)=0),"⚠ 連結表號不存在（需為本分項的自主檢查表） ",""))="","✓",TRIM(IF(COUNTIF(表單!$A$2:$A$500,A96)=0,"⚠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","")&amp;IF(AND(L96&lt;&gt;"Y",G96="數值",N96=0),"⚠ 數值需設定欄位 ","")&amp;IF(AND(L96&lt;&gt;"Y",G96="連結表單",K96=""),"⚠ 缺連結表號 ","")&amp;IF(AND(K96&lt;&gt;"",COUNTIF(可連結表單!$J$2:$J$501,K96)=0),"⚠ 連結表號不存在（需為本分項的自主檢查表） ",""))))</f>
        <v/>
      </c>
    </row>
    <row r="97">
      <c r="M97" s="2">
        <f>IF(A97="","",IF(B97="","共用",IF(L97="Y","排除（"&amp;B97&amp;"）",IF(SUMPRODUCT(($A$2:$A$500=A97)*($C$2:$C$500=C97)*($B$2:$B$500=""))&gt;0,"覆蓋共用（"&amp;B97&amp;"）","單元新增（"&amp;B97&amp;"）"))))</f>
        <v/>
      </c>
      <c r="N97" s="2">
        <f>IF(A97="","",COUNTIFS(數值欄位!$A$2:$A$500,A97,數值欄位!$C$2:$C$500,C97))</f>
        <v/>
      </c>
      <c r="O97" s="2">
        <f>IF(A97="","",IF(TRIM(IF(COUNTIF(表單!$A$2:$A$500,A97)=0,"⚠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","")&amp;IF(AND(L97&lt;&gt;"Y",G97="數值",N97=0),"⚠ 數值需設定欄位 ","")&amp;IF(AND(L97&lt;&gt;"Y",G97="連結表單",K97=""),"⚠ 缺連結表號 ","")&amp;IF(AND(K97&lt;&gt;"",COUNTIF(可連結表單!$J$2:$J$501,K97)=0),"⚠ 連結表號不存在（需為本分項的自主檢查表） ",""))="","✓",TRIM(IF(COUNTIF(表單!$A$2:$A$500,A97)=0,"⚠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","")&amp;IF(AND(L97&lt;&gt;"Y",G97="數值",N97=0),"⚠ 數值需設定欄位 ","")&amp;IF(AND(L97&lt;&gt;"Y",G97="連結表單",K97=""),"⚠ 缺連結表號 ","")&amp;IF(AND(K97&lt;&gt;"",COUNTIF(可連結表單!$J$2:$J$501,K97)=0),"⚠ 連結表號不存在（需為本分項的自主檢查表） ",""))))</f>
        <v/>
      </c>
    </row>
    <row r="98">
      <c r="M98" s="2">
        <f>IF(A98="","",IF(B98="","共用",IF(L98="Y","排除（"&amp;B98&amp;"）",IF(SUMPRODUCT(($A$2:$A$500=A98)*($C$2:$C$500=C98)*($B$2:$B$500=""))&gt;0,"覆蓋共用（"&amp;B98&amp;"）","單元新增（"&amp;B98&amp;"）"))))</f>
        <v/>
      </c>
      <c r="N98" s="2">
        <f>IF(A98="","",COUNTIFS(數值欄位!$A$2:$A$500,A98,數值欄位!$C$2:$C$500,C98))</f>
        <v/>
      </c>
      <c r="O98" s="2">
        <f>IF(A98="","",IF(TRIM(IF(COUNTIF(表單!$A$2:$A$500,A98)=0,"⚠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","")&amp;IF(AND(L98&lt;&gt;"Y",G98="數值",N98=0),"⚠ 數值需設定欄位 ","")&amp;IF(AND(L98&lt;&gt;"Y",G98="連結表單",K98=""),"⚠ 缺連結表號 ","")&amp;IF(AND(K98&lt;&gt;"",COUNTIF(可連結表單!$J$2:$J$501,K98)=0),"⚠ 連結表號不存在（需為本分項的自主檢查表） ",""))="","✓",TRIM(IF(COUNTIF(表單!$A$2:$A$500,A98)=0,"⚠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","")&amp;IF(AND(L98&lt;&gt;"Y",G98="數值",N98=0),"⚠ 數值需設定欄位 ","")&amp;IF(AND(L98&lt;&gt;"Y",G98="連結表單",K98=""),"⚠ 缺連結表號 ","")&amp;IF(AND(K98&lt;&gt;"",COUNTIF(可連結表單!$J$2:$J$501,K98)=0),"⚠ 連結表號不存在（需為本分項的自主檢查表） ",""))))</f>
        <v/>
      </c>
    </row>
    <row r="99">
      <c r="M99" s="2">
        <f>IF(A99="","",IF(B99="","共用",IF(L99="Y","排除（"&amp;B99&amp;"）",IF(SUMPRODUCT(($A$2:$A$500=A99)*($C$2:$C$500=C99)*($B$2:$B$500=""))&gt;0,"覆蓋共用（"&amp;B99&amp;"）","單元新增（"&amp;B99&amp;"）"))))</f>
        <v/>
      </c>
      <c r="N99" s="2">
        <f>IF(A99="","",COUNTIFS(數值欄位!$A$2:$A$500,A99,數值欄位!$C$2:$C$500,C99))</f>
        <v/>
      </c>
      <c r="O99" s="2">
        <f>IF(A99="","",IF(TRIM(IF(COUNTIF(表單!$A$2:$A$500,A99)=0,"⚠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","")&amp;IF(AND(L99&lt;&gt;"Y",G99="數值",N99=0),"⚠ 數值需設定欄位 ","")&amp;IF(AND(L99&lt;&gt;"Y",G99="連結表單",K99=""),"⚠ 缺連結表號 ","")&amp;IF(AND(K99&lt;&gt;"",COUNTIF(可連結表單!$J$2:$J$501,K99)=0),"⚠ 連結表號不存在（需為本分項的自主檢查表） ",""))="","✓",TRIM(IF(COUNTIF(表單!$A$2:$A$500,A99)=0,"⚠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","")&amp;IF(AND(L99&lt;&gt;"Y",G99="數值",N99=0),"⚠ 數值需設定欄位 ","")&amp;IF(AND(L99&lt;&gt;"Y",G99="連結表單",K99=""),"⚠ 缺連結表號 ","")&amp;IF(AND(K99&lt;&gt;"",COUNTIF(可連結表單!$J$2:$J$501,K99)=0),"⚠ 連結表號不存在（需為本分項的自主檢查表） ",""))))</f>
        <v/>
      </c>
    </row>
    <row r="100">
      <c r="M100" s="2">
        <f>IF(A100="","",IF(B100="","共用",IF(L100="Y","排除（"&amp;B100&amp;"）",IF(SUMPRODUCT(($A$2:$A$500=A100)*($C$2:$C$500=C100)*($B$2:$B$500=""))&gt;0,"覆蓋共用（"&amp;B100&amp;"）","單元新增（"&amp;B100&amp;"）"))))</f>
        <v/>
      </c>
      <c r="N100" s="2">
        <f>IF(A100="","",COUNTIFS(數值欄位!$A$2:$A$500,A100,數值欄位!$C$2:$C$500,C100))</f>
        <v/>
      </c>
      <c r="O100" s="2">
        <f>IF(A100="","",IF(TRIM(IF(COUNTIF(表單!$A$2:$A$500,A100)=0,"⚠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","")&amp;IF(AND(L100&lt;&gt;"Y",G100="數值",N100=0),"⚠ 數值需設定欄位 ","")&amp;IF(AND(L100&lt;&gt;"Y",G100="連結表單",K100=""),"⚠ 缺連結表號 ","")&amp;IF(AND(K100&lt;&gt;"",COUNTIF(可連結表單!$J$2:$J$501,K100)=0),"⚠ 連結表號不存在（需為本分項的自主檢查表） ",""))="","✓",TRIM(IF(COUNTIF(表單!$A$2:$A$500,A100)=0,"⚠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","")&amp;IF(AND(L100&lt;&gt;"Y",G100="數值",N100=0),"⚠ 數值需設定欄位 ","")&amp;IF(AND(L100&lt;&gt;"Y",G100="連結表單",K100=""),"⚠ 缺連結表號 ","")&amp;IF(AND(K100&lt;&gt;"",COUNTIF(可連結表單!$J$2:$J$501,K100)=0),"⚠ 連結表號不存在（需為本分項的自主檢查表） ",""))))</f>
        <v/>
      </c>
    </row>
    <row r="101">
      <c r="M101" s="2">
        <f>IF(A101="","",IF(B101="","共用",IF(L101="Y","排除（"&amp;B101&amp;"）",IF(SUMPRODUCT(($A$2:$A$500=A101)*($C$2:$C$500=C101)*($B$2:$B$500=""))&gt;0,"覆蓋共用（"&amp;B101&amp;"）","單元新增（"&amp;B101&amp;"）"))))</f>
        <v/>
      </c>
      <c r="N101" s="2">
        <f>IF(A101="","",COUNTIFS(數值欄位!$A$2:$A$500,A101,數值欄位!$C$2:$C$500,C101))</f>
        <v/>
      </c>
      <c r="O101" s="2">
        <f>IF(A101="","",IF(TRIM(IF(COUNTIF(表單!$A$2:$A$500,A101)=0,"⚠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","")&amp;IF(AND(L101&lt;&gt;"Y",G101="數值",N101=0),"⚠ 數值需設定欄位 ","")&amp;IF(AND(L101&lt;&gt;"Y",G101="連結表單",K101=""),"⚠ 缺連結表號 ","")&amp;IF(AND(K101&lt;&gt;"",COUNTIF(可連結表單!$J$2:$J$501,K101)=0),"⚠ 連結表號不存在（需為本分項的自主檢查表） ",""))="","✓",TRIM(IF(COUNTIF(表單!$A$2:$A$500,A101)=0,"⚠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","")&amp;IF(AND(L101&lt;&gt;"Y",G101="數值",N101=0),"⚠ 數值需設定欄位 ","")&amp;IF(AND(L101&lt;&gt;"Y",G101="連結表單",K101=""),"⚠ 缺連結表號 ","")&amp;IF(AND(K101&lt;&gt;"",COUNTIF(可連結表單!$J$2:$J$501,K101)=0),"⚠ 連結表號不存在（需為本分項的自主檢查表） ",""))))</f>
        <v/>
      </c>
    </row>
    <row r="102">
      <c r="M102" s="2">
        <f>IF(A102="","",IF(B102="","共用",IF(L102="Y","排除（"&amp;B102&amp;"）",IF(SUMPRODUCT(($A$2:$A$500=A102)*($C$2:$C$500=C102)*($B$2:$B$500=""))&gt;0,"覆蓋共用（"&amp;B102&amp;"）","單元新增（"&amp;B102&amp;"）"))))</f>
        <v/>
      </c>
      <c r="N102" s="2">
        <f>IF(A102="","",COUNTIFS(數值欄位!$A$2:$A$500,A102,數值欄位!$C$2:$C$500,C102))</f>
        <v/>
      </c>
      <c r="O102" s="2">
        <f>IF(A102="","",IF(TRIM(IF(COUNTIF(表單!$A$2:$A$500,A102)=0,"⚠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","")&amp;IF(AND(L102&lt;&gt;"Y",G102="數值",N102=0),"⚠ 數值需設定欄位 ","")&amp;IF(AND(L102&lt;&gt;"Y",G102="連結表單",K102=""),"⚠ 缺連結表號 ","")&amp;IF(AND(K102&lt;&gt;"",COUNTIF(可連結表單!$J$2:$J$501,K102)=0),"⚠ 連結表號不存在（需為本分項的自主檢查表） ",""))="","✓",TRIM(IF(COUNTIF(表單!$A$2:$A$500,A102)=0,"⚠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","")&amp;IF(AND(L102&lt;&gt;"Y",G102="數值",N102=0),"⚠ 數值需設定欄位 ","")&amp;IF(AND(L102&lt;&gt;"Y",G102="連結表單",K102=""),"⚠ 缺連結表號 ","")&amp;IF(AND(K102&lt;&gt;"",COUNTIF(可連結表單!$J$2:$J$501,K102)=0),"⚠ 連結表號不存在（需為本分項的自主檢查表） ",""))))</f>
        <v/>
      </c>
    </row>
    <row r="103">
      <c r="M103" s="2">
        <f>IF(A103="","",IF(B103="","共用",IF(L103="Y","排除（"&amp;B103&amp;"）",IF(SUMPRODUCT(($A$2:$A$500=A103)*($C$2:$C$500=C103)*($B$2:$B$500=""))&gt;0,"覆蓋共用（"&amp;B103&amp;"）","單元新增（"&amp;B103&amp;"）"))))</f>
        <v/>
      </c>
      <c r="N103" s="2">
        <f>IF(A103="","",COUNTIFS(數值欄位!$A$2:$A$500,A103,數值欄位!$C$2:$C$500,C103))</f>
        <v/>
      </c>
      <c r="O103" s="2">
        <f>IF(A103="","",IF(TRIM(IF(COUNTIF(表單!$A$2:$A$500,A103)=0,"⚠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","")&amp;IF(AND(L103&lt;&gt;"Y",G103="數值",N103=0),"⚠ 數值需設定欄位 ","")&amp;IF(AND(L103&lt;&gt;"Y",G103="連結表單",K103=""),"⚠ 缺連結表號 ","")&amp;IF(AND(K103&lt;&gt;"",COUNTIF(可連結表單!$J$2:$J$501,K103)=0),"⚠ 連結表號不存在（需為本分項的自主檢查表） ",""))="","✓",TRIM(IF(COUNTIF(表單!$A$2:$A$500,A103)=0,"⚠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","")&amp;IF(AND(L103&lt;&gt;"Y",G103="數值",N103=0),"⚠ 數值需設定欄位 ","")&amp;IF(AND(L103&lt;&gt;"Y",G103="連結表單",K103=""),"⚠ 缺連結表號 ","")&amp;IF(AND(K103&lt;&gt;"",COUNTIF(可連結表單!$J$2:$J$501,K103)=0),"⚠ 連結表號不存在（需為本分項的自主檢查表） ",""))))</f>
        <v/>
      </c>
    </row>
    <row r="104">
      <c r="M104" s="2">
        <f>IF(A104="","",IF(B104="","共用",IF(L104="Y","排除（"&amp;B104&amp;"）",IF(SUMPRODUCT(($A$2:$A$500=A104)*($C$2:$C$500=C104)*($B$2:$B$500=""))&gt;0,"覆蓋共用（"&amp;B104&amp;"）","單元新增（"&amp;B104&amp;"）"))))</f>
        <v/>
      </c>
      <c r="N104" s="2">
        <f>IF(A104="","",COUNTIFS(數值欄位!$A$2:$A$500,A104,數值欄位!$C$2:$C$500,C104))</f>
        <v/>
      </c>
      <c r="O104" s="2">
        <f>IF(A104="","",IF(TRIM(IF(COUNTIF(表單!$A$2:$A$500,A104)=0,"⚠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","")&amp;IF(AND(L104&lt;&gt;"Y",G104="數值",N104=0),"⚠ 數值需設定欄位 ","")&amp;IF(AND(L104&lt;&gt;"Y",G104="連結表單",K104=""),"⚠ 缺連結表號 ","")&amp;IF(AND(K104&lt;&gt;"",COUNTIF(可連結表單!$J$2:$J$501,K104)=0),"⚠ 連結表號不存在（需為本分項的自主檢查表） ",""))="","✓",TRIM(IF(COUNTIF(表單!$A$2:$A$500,A104)=0,"⚠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","")&amp;IF(AND(L104&lt;&gt;"Y",G104="數值",N104=0),"⚠ 數值需設定欄位 ","")&amp;IF(AND(L104&lt;&gt;"Y",G104="連結表單",K104=""),"⚠ 缺連結表號 ","")&amp;IF(AND(K104&lt;&gt;"",COUNTIF(可連結表單!$J$2:$J$501,K104)=0),"⚠ 連結表號不存在（需為本分項的自主檢查表） ",""))))</f>
        <v/>
      </c>
    </row>
    <row r="105">
      <c r="M105" s="2">
        <f>IF(A105="","",IF(B105="","共用",IF(L105="Y","排除（"&amp;B105&amp;"）",IF(SUMPRODUCT(($A$2:$A$500=A105)*($C$2:$C$500=C105)*($B$2:$B$500=""))&gt;0,"覆蓋共用（"&amp;B105&amp;"）","單元新增（"&amp;B105&amp;"）"))))</f>
        <v/>
      </c>
      <c r="N105" s="2">
        <f>IF(A105="","",COUNTIFS(數值欄位!$A$2:$A$500,A105,數值欄位!$C$2:$C$500,C105))</f>
        <v/>
      </c>
      <c r="O105" s="2">
        <f>IF(A105="","",IF(TRIM(IF(COUNTIF(表單!$A$2:$A$500,A105)=0,"⚠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","")&amp;IF(AND(L105&lt;&gt;"Y",G105="數值",N105=0),"⚠ 數值需設定欄位 ","")&amp;IF(AND(L105&lt;&gt;"Y",G105="連結表單",K105=""),"⚠ 缺連結表號 ","")&amp;IF(AND(K105&lt;&gt;"",COUNTIF(可連結表單!$J$2:$J$501,K105)=0),"⚠ 連結表號不存在（需為本分項的自主檢查表） ",""))="","✓",TRIM(IF(COUNTIF(表單!$A$2:$A$500,A105)=0,"⚠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","")&amp;IF(AND(L105&lt;&gt;"Y",G105="數值",N105=0),"⚠ 數值需設定欄位 ","")&amp;IF(AND(L105&lt;&gt;"Y",G105="連結表單",K105=""),"⚠ 缺連結表號 ","")&amp;IF(AND(K105&lt;&gt;"",COUNTIF(可連結表單!$J$2:$J$501,K105)=0),"⚠ 連結表號不存在（需為本分項的自主檢查表） ",""))))</f>
        <v/>
      </c>
    </row>
    <row r="106">
      <c r="M106" s="2">
        <f>IF(A106="","",IF(B106="","共用",IF(L106="Y","排除（"&amp;B106&amp;"）",IF(SUMPRODUCT(($A$2:$A$500=A106)*($C$2:$C$500=C106)*($B$2:$B$500=""))&gt;0,"覆蓋共用（"&amp;B106&amp;"）","單元新增（"&amp;B106&amp;"）"))))</f>
        <v/>
      </c>
      <c r="N106" s="2">
        <f>IF(A106="","",COUNTIFS(數值欄位!$A$2:$A$500,A106,數值欄位!$C$2:$C$500,C106))</f>
        <v/>
      </c>
      <c r="O106" s="2">
        <f>IF(A106="","",IF(TRIM(IF(COUNTIF(表單!$A$2:$A$500,A106)=0,"⚠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","")&amp;IF(AND(L106&lt;&gt;"Y",G106="數值",N106=0),"⚠ 數值需設定欄位 ","")&amp;IF(AND(L106&lt;&gt;"Y",G106="連結表單",K106=""),"⚠ 缺連結表號 ","")&amp;IF(AND(K106&lt;&gt;"",COUNTIF(可連結表單!$J$2:$J$501,K106)=0),"⚠ 連結表號不存在（需為本分項的自主檢查表） ",""))="","✓",TRIM(IF(COUNTIF(表單!$A$2:$A$500,A106)=0,"⚠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","")&amp;IF(AND(L106&lt;&gt;"Y",G106="數值",N106=0),"⚠ 數值需設定欄位 ","")&amp;IF(AND(L106&lt;&gt;"Y",G106="連結表單",K106=""),"⚠ 缺連結表號 ","")&amp;IF(AND(K106&lt;&gt;"",COUNTIF(可連結表單!$J$2:$J$501,K106)=0),"⚠ 連結表號不存在（需為本分項的自主檢查表） ",""))))</f>
        <v/>
      </c>
    </row>
    <row r="107">
      <c r="M107" s="2">
        <f>IF(A107="","",IF(B107="","共用",IF(L107="Y","排除（"&amp;B107&amp;"）",IF(SUMPRODUCT(($A$2:$A$500=A107)*($C$2:$C$500=C107)*($B$2:$B$500=""))&gt;0,"覆蓋共用（"&amp;B107&amp;"）","單元新增（"&amp;B107&amp;"）"))))</f>
        <v/>
      </c>
      <c r="N107" s="2">
        <f>IF(A107="","",COUNTIFS(數值欄位!$A$2:$A$500,A107,數值欄位!$C$2:$C$500,C107))</f>
        <v/>
      </c>
      <c r="O107" s="2">
        <f>IF(A107="","",IF(TRIM(IF(COUNTIF(表單!$A$2:$A$500,A107)=0,"⚠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","")&amp;IF(AND(L107&lt;&gt;"Y",G107="數值",N107=0),"⚠ 數值需設定欄位 ","")&amp;IF(AND(L107&lt;&gt;"Y",G107="連結表單",K107=""),"⚠ 缺連結表號 ","")&amp;IF(AND(K107&lt;&gt;"",COUNTIF(可連結表單!$J$2:$J$501,K107)=0),"⚠ 連結表號不存在（需為本分項的自主檢查表） ",""))="","✓",TRIM(IF(COUNTIF(表單!$A$2:$A$500,A107)=0,"⚠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","")&amp;IF(AND(L107&lt;&gt;"Y",G107="數值",N107=0),"⚠ 數值需設定欄位 ","")&amp;IF(AND(L107&lt;&gt;"Y",G107="連結表單",K107=""),"⚠ 缺連結表號 ","")&amp;IF(AND(K107&lt;&gt;"",COUNTIF(可連結表單!$J$2:$J$501,K107)=0),"⚠ 連結表號不存在（需為本分項的自主檢查表） ",""))))</f>
        <v/>
      </c>
    </row>
    <row r="108">
      <c r="M108" s="2">
        <f>IF(A108="","",IF(B108="","共用",IF(L108="Y","排除（"&amp;B108&amp;"）",IF(SUMPRODUCT(($A$2:$A$500=A108)*($C$2:$C$500=C108)*($B$2:$B$500=""))&gt;0,"覆蓋共用（"&amp;B108&amp;"）","單元新增（"&amp;B108&amp;"）"))))</f>
        <v/>
      </c>
      <c r="N108" s="2">
        <f>IF(A108="","",COUNTIFS(數值欄位!$A$2:$A$500,A108,數值欄位!$C$2:$C$500,C108))</f>
        <v/>
      </c>
      <c r="O108" s="2">
        <f>IF(A108="","",IF(TRIM(IF(COUNTIF(表單!$A$2:$A$500,A108)=0,"⚠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","")&amp;IF(AND(L108&lt;&gt;"Y",G108="數值",N108=0),"⚠ 數值需設定欄位 ","")&amp;IF(AND(L108&lt;&gt;"Y",G108="連結表單",K108=""),"⚠ 缺連結表號 ","")&amp;IF(AND(K108&lt;&gt;"",COUNTIF(可連結表單!$J$2:$J$501,K108)=0),"⚠ 連結表號不存在（需為本分項的自主檢查表） ",""))="","✓",TRIM(IF(COUNTIF(表單!$A$2:$A$500,A108)=0,"⚠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","")&amp;IF(AND(L108&lt;&gt;"Y",G108="數值",N108=0),"⚠ 數值需設定欄位 ","")&amp;IF(AND(L108&lt;&gt;"Y",G108="連結表單",K108=""),"⚠ 缺連結表號 ","")&amp;IF(AND(K108&lt;&gt;"",COUNTIF(可連結表單!$J$2:$J$501,K108)=0),"⚠ 連結表號不存在（需為本分項的自主檢查表） ",""))))</f>
        <v/>
      </c>
    </row>
    <row r="109">
      <c r="M109" s="2">
        <f>IF(A109="","",IF(B109="","共用",IF(L109="Y","排除（"&amp;B109&amp;"）",IF(SUMPRODUCT(($A$2:$A$500=A109)*($C$2:$C$500=C109)*($B$2:$B$500=""))&gt;0,"覆蓋共用（"&amp;B109&amp;"）","單元新增（"&amp;B109&amp;"）"))))</f>
        <v/>
      </c>
      <c r="N109" s="2">
        <f>IF(A109="","",COUNTIFS(數值欄位!$A$2:$A$500,A109,數值欄位!$C$2:$C$500,C109))</f>
        <v/>
      </c>
      <c r="O109" s="2">
        <f>IF(A109="","",IF(TRIM(IF(COUNTIF(表單!$A$2:$A$500,A109)=0,"⚠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","")&amp;IF(AND(L109&lt;&gt;"Y",G109="數值",N109=0),"⚠ 數值需設定欄位 ","")&amp;IF(AND(L109&lt;&gt;"Y",G109="連結表單",K109=""),"⚠ 缺連結表號 ","")&amp;IF(AND(K109&lt;&gt;"",COUNTIF(可連結表單!$J$2:$J$501,K109)=0),"⚠ 連結表號不存在（需為本分項的自主檢查表） ",""))="","✓",TRIM(IF(COUNTIF(表單!$A$2:$A$500,A109)=0,"⚠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","")&amp;IF(AND(L109&lt;&gt;"Y",G109="數值",N109=0),"⚠ 數值需設定欄位 ","")&amp;IF(AND(L109&lt;&gt;"Y",G109="連結表單",K109=""),"⚠ 缺連結表號 ","")&amp;IF(AND(K109&lt;&gt;"",COUNTIF(可連結表單!$J$2:$J$501,K109)=0),"⚠ 連結表號不存在（需為本分項的自主檢查表） ",""))))</f>
        <v/>
      </c>
    </row>
    <row r="110">
      <c r="M110" s="2">
        <f>IF(A110="","",IF(B110="","共用",IF(L110="Y","排除（"&amp;B110&amp;"）",IF(SUMPRODUCT(($A$2:$A$500=A110)*($C$2:$C$500=C110)*($B$2:$B$500=""))&gt;0,"覆蓋共用（"&amp;B110&amp;"）","單元新增（"&amp;B110&amp;"）"))))</f>
        <v/>
      </c>
      <c r="N110" s="2">
        <f>IF(A110="","",COUNTIFS(數值欄位!$A$2:$A$500,A110,數值欄位!$C$2:$C$500,C110))</f>
        <v/>
      </c>
      <c r="O110" s="2">
        <f>IF(A110="","",IF(TRIM(IF(COUNTIF(表單!$A$2:$A$500,A110)=0,"⚠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","")&amp;IF(AND(L110&lt;&gt;"Y",G110="數值",N110=0),"⚠ 數值需設定欄位 ","")&amp;IF(AND(L110&lt;&gt;"Y",G110="連結表單",K110=""),"⚠ 缺連結表號 ","")&amp;IF(AND(K110&lt;&gt;"",COUNTIF(可連結表單!$J$2:$J$501,K110)=0),"⚠ 連結表號不存在（需為本分項的自主檢查表） ",""))="","✓",TRIM(IF(COUNTIF(表單!$A$2:$A$500,A110)=0,"⚠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","")&amp;IF(AND(L110&lt;&gt;"Y",G110="數值",N110=0),"⚠ 數值需設定欄位 ","")&amp;IF(AND(L110&lt;&gt;"Y",G110="連結表單",K110=""),"⚠ 缺連結表號 ","")&amp;IF(AND(K110&lt;&gt;"",COUNTIF(可連結表單!$J$2:$J$501,K110)=0),"⚠ 連結表號不存在（需為本分項的自主檢查表） ",""))))</f>
        <v/>
      </c>
    </row>
    <row r="111">
      <c r="M111" s="2">
        <f>IF(A111="","",IF(B111="","共用",IF(L111="Y","排除（"&amp;B111&amp;"）",IF(SUMPRODUCT(($A$2:$A$500=A111)*($C$2:$C$500=C111)*($B$2:$B$500=""))&gt;0,"覆蓋共用（"&amp;B111&amp;"）","單元新增（"&amp;B111&amp;"）"))))</f>
        <v/>
      </c>
      <c r="N111" s="2">
        <f>IF(A111="","",COUNTIFS(數值欄位!$A$2:$A$500,A111,數值欄位!$C$2:$C$500,C111))</f>
        <v/>
      </c>
      <c r="O111" s="2">
        <f>IF(A111="","",IF(TRIM(IF(COUNTIF(表單!$A$2:$A$500,A111)=0,"⚠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","")&amp;IF(AND(L111&lt;&gt;"Y",G111="數值",N111=0),"⚠ 數值需設定欄位 ","")&amp;IF(AND(L111&lt;&gt;"Y",G111="連結表單",K111=""),"⚠ 缺連結表號 ","")&amp;IF(AND(K111&lt;&gt;"",COUNTIF(可連結表單!$J$2:$J$501,K111)=0),"⚠ 連結表號不存在（需為本分項的自主檢查表） ",""))="","✓",TRIM(IF(COUNTIF(表單!$A$2:$A$500,A111)=0,"⚠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","")&amp;IF(AND(L111&lt;&gt;"Y",G111="數值",N111=0),"⚠ 數值需設定欄位 ","")&amp;IF(AND(L111&lt;&gt;"Y",G111="連結表單",K111=""),"⚠ 缺連結表號 ","")&amp;IF(AND(K111&lt;&gt;"",COUNTIF(可連結表單!$J$2:$J$501,K111)=0),"⚠ 連結表號不存在（需為本分項的自主檢查表） ",""))))</f>
        <v/>
      </c>
    </row>
    <row r="112">
      <c r="M112" s="2">
        <f>IF(A112="","",IF(B112="","共用",IF(L112="Y","排除（"&amp;B112&amp;"）",IF(SUMPRODUCT(($A$2:$A$500=A112)*($C$2:$C$500=C112)*($B$2:$B$500=""))&gt;0,"覆蓋共用（"&amp;B112&amp;"）","單元新增（"&amp;B112&amp;"）"))))</f>
        <v/>
      </c>
      <c r="N112" s="2">
        <f>IF(A112="","",COUNTIFS(數值欄位!$A$2:$A$500,A112,數值欄位!$C$2:$C$500,C112))</f>
        <v/>
      </c>
      <c r="O112" s="2">
        <f>IF(A112="","",IF(TRIM(IF(COUNTIF(表單!$A$2:$A$500,A112)=0,"⚠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","")&amp;IF(AND(L112&lt;&gt;"Y",G112="數值",N112=0),"⚠ 數值需設定欄位 ","")&amp;IF(AND(L112&lt;&gt;"Y",G112="連結表單",K112=""),"⚠ 缺連結表號 ","")&amp;IF(AND(K112&lt;&gt;"",COUNTIF(可連結表單!$J$2:$J$501,K112)=0),"⚠ 連結表號不存在（需為本分項的自主檢查表） ",""))="","✓",TRIM(IF(COUNTIF(表單!$A$2:$A$500,A112)=0,"⚠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","")&amp;IF(AND(L112&lt;&gt;"Y",G112="數值",N112=0),"⚠ 數值需設定欄位 ","")&amp;IF(AND(L112&lt;&gt;"Y",G112="連結表單",K112=""),"⚠ 缺連結表號 ","")&amp;IF(AND(K112&lt;&gt;"",COUNTIF(可連結表單!$J$2:$J$501,K112)=0),"⚠ 連結表號不存在（需為本分項的自主檢查表） ",""))))</f>
        <v/>
      </c>
    </row>
    <row r="113">
      <c r="M113" s="2">
        <f>IF(A113="","",IF(B113="","共用",IF(L113="Y","排除（"&amp;B113&amp;"）",IF(SUMPRODUCT(($A$2:$A$500=A113)*($C$2:$C$500=C113)*($B$2:$B$500=""))&gt;0,"覆蓋共用（"&amp;B113&amp;"）","單元新增（"&amp;B113&amp;"）"))))</f>
        <v/>
      </c>
      <c r="N113" s="2">
        <f>IF(A113="","",COUNTIFS(數值欄位!$A$2:$A$500,A113,數值欄位!$C$2:$C$500,C113))</f>
        <v/>
      </c>
      <c r="O113" s="2">
        <f>IF(A113="","",IF(TRIM(IF(COUNTIF(表單!$A$2:$A$500,A113)=0,"⚠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","")&amp;IF(AND(L113&lt;&gt;"Y",G113="數值",N113=0),"⚠ 數值需設定欄位 ","")&amp;IF(AND(L113&lt;&gt;"Y",G113="連結表單",K113=""),"⚠ 缺連結表號 ","")&amp;IF(AND(K113&lt;&gt;"",COUNTIF(可連結表單!$J$2:$J$501,K113)=0),"⚠ 連結表號不存在（需為本分項的自主檢查表） ",""))="","✓",TRIM(IF(COUNTIF(表單!$A$2:$A$500,A113)=0,"⚠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","")&amp;IF(AND(L113&lt;&gt;"Y",G113="數值",N113=0),"⚠ 數值需設定欄位 ","")&amp;IF(AND(L113&lt;&gt;"Y",G113="連結表單",K113=""),"⚠ 缺連結表號 ","")&amp;IF(AND(K113&lt;&gt;"",COUNTIF(可連結表單!$J$2:$J$501,K113)=0),"⚠ 連結表號不存在（需為本分項的自主檢查表） ",""))))</f>
        <v/>
      </c>
    </row>
    <row r="114">
      <c r="M114" s="2">
        <f>IF(A114="","",IF(B114="","共用",IF(L114="Y","排除（"&amp;B114&amp;"）",IF(SUMPRODUCT(($A$2:$A$500=A114)*($C$2:$C$500=C114)*($B$2:$B$500=""))&gt;0,"覆蓋共用（"&amp;B114&amp;"）","單元新增（"&amp;B114&amp;"）"))))</f>
        <v/>
      </c>
      <c r="N114" s="2">
        <f>IF(A114="","",COUNTIFS(數值欄位!$A$2:$A$500,A114,數值欄位!$C$2:$C$500,C114))</f>
        <v/>
      </c>
      <c r="O114" s="2">
        <f>IF(A114="","",IF(TRIM(IF(COUNTIF(表單!$A$2:$A$500,A114)=0,"⚠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","")&amp;IF(AND(L114&lt;&gt;"Y",G114="數值",N114=0),"⚠ 數值需設定欄位 ","")&amp;IF(AND(L114&lt;&gt;"Y",G114="連結表單",K114=""),"⚠ 缺連結表號 ","")&amp;IF(AND(K114&lt;&gt;"",COUNTIF(可連結表單!$J$2:$J$501,K114)=0),"⚠ 連結表號不存在（需為本分項的自主檢查表） ",""))="","✓",TRIM(IF(COUNTIF(表單!$A$2:$A$500,A114)=0,"⚠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","")&amp;IF(AND(L114&lt;&gt;"Y",G114="數值",N114=0),"⚠ 數值需設定欄位 ","")&amp;IF(AND(L114&lt;&gt;"Y",G114="連結表單",K114=""),"⚠ 缺連結表號 ","")&amp;IF(AND(K114&lt;&gt;"",COUNTIF(可連結表單!$J$2:$J$501,K114)=0),"⚠ 連結表號不存在（需為本分項的自主檢查表） ",""))))</f>
        <v/>
      </c>
    </row>
    <row r="115">
      <c r="M115" s="2">
        <f>IF(A115="","",IF(B115="","共用",IF(L115="Y","排除（"&amp;B115&amp;"）",IF(SUMPRODUCT(($A$2:$A$500=A115)*($C$2:$C$500=C115)*($B$2:$B$500=""))&gt;0,"覆蓋共用（"&amp;B115&amp;"）","單元新增（"&amp;B115&amp;"）"))))</f>
        <v/>
      </c>
      <c r="N115" s="2">
        <f>IF(A115="","",COUNTIFS(數值欄位!$A$2:$A$500,A115,數值欄位!$C$2:$C$500,C115))</f>
        <v/>
      </c>
      <c r="O115" s="2">
        <f>IF(A115="","",IF(TRIM(IF(COUNTIF(表單!$A$2:$A$500,A115)=0,"⚠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","")&amp;IF(AND(L115&lt;&gt;"Y",G115="數值",N115=0),"⚠ 數值需設定欄位 ","")&amp;IF(AND(L115&lt;&gt;"Y",G115="連結表單",K115=""),"⚠ 缺連結表號 ","")&amp;IF(AND(K115&lt;&gt;"",COUNTIF(可連結表單!$J$2:$J$501,K115)=0),"⚠ 連結表號不存在（需為本分項的自主檢查表） ",""))="","✓",TRIM(IF(COUNTIF(表單!$A$2:$A$500,A115)=0,"⚠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","")&amp;IF(AND(L115&lt;&gt;"Y",G115="數值",N115=0),"⚠ 數值需設定欄位 ","")&amp;IF(AND(L115&lt;&gt;"Y",G115="連結表單",K115=""),"⚠ 缺連結表號 ","")&amp;IF(AND(K115&lt;&gt;"",COUNTIF(可連結表單!$J$2:$J$501,K115)=0),"⚠ 連結表號不存在（需為本分項的自主檢查表） ",""))))</f>
        <v/>
      </c>
    </row>
    <row r="116">
      <c r="M116" s="2">
        <f>IF(A116="","",IF(B116="","共用",IF(L116="Y","排除（"&amp;B116&amp;"）",IF(SUMPRODUCT(($A$2:$A$500=A116)*($C$2:$C$500=C116)*($B$2:$B$500=""))&gt;0,"覆蓋共用（"&amp;B116&amp;"）","單元新增（"&amp;B116&amp;"）"))))</f>
        <v/>
      </c>
      <c r="N116" s="2">
        <f>IF(A116="","",COUNTIFS(數值欄位!$A$2:$A$500,A116,數值欄位!$C$2:$C$500,C116))</f>
        <v/>
      </c>
      <c r="O116" s="2">
        <f>IF(A116="","",IF(TRIM(IF(COUNTIF(表單!$A$2:$A$500,A116)=0,"⚠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","")&amp;IF(AND(L116&lt;&gt;"Y",G116="數值",N116=0),"⚠ 數值需設定欄位 ","")&amp;IF(AND(L116&lt;&gt;"Y",G116="連結表單",K116=""),"⚠ 缺連結表號 ","")&amp;IF(AND(K116&lt;&gt;"",COUNTIF(可連結表單!$J$2:$J$501,K116)=0),"⚠ 連結表號不存在（需為本分項的自主檢查表） ",""))="","✓",TRIM(IF(COUNTIF(表單!$A$2:$A$500,A116)=0,"⚠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","")&amp;IF(AND(L116&lt;&gt;"Y",G116="數值",N116=0),"⚠ 數值需設定欄位 ","")&amp;IF(AND(L116&lt;&gt;"Y",G116="連結表單",K116=""),"⚠ 缺連結表號 ","")&amp;IF(AND(K116&lt;&gt;"",COUNTIF(可連結表單!$J$2:$J$501,K116)=0),"⚠ 連結表號不存在（需為本分項的自主檢查表） ",""))))</f>
        <v/>
      </c>
    </row>
    <row r="117">
      <c r="M117" s="2">
        <f>IF(A117="","",IF(B117="","共用",IF(L117="Y","排除（"&amp;B117&amp;"）",IF(SUMPRODUCT(($A$2:$A$500=A117)*($C$2:$C$500=C117)*($B$2:$B$500=""))&gt;0,"覆蓋共用（"&amp;B117&amp;"）","單元新增（"&amp;B117&amp;"）"))))</f>
        <v/>
      </c>
      <c r="N117" s="2">
        <f>IF(A117="","",COUNTIFS(數值欄位!$A$2:$A$500,A117,數值欄位!$C$2:$C$500,C117))</f>
        <v/>
      </c>
      <c r="O117" s="2">
        <f>IF(A117="","",IF(TRIM(IF(COUNTIF(表單!$A$2:$A$500,A117)=0,"⚠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","")&amp;IF(AND(L117&lt;&gt;"Y",G117="數值",N117=0),"⚠ 數值需設定欄位 ","")&amp;IF(AND(L117&lt;&gt;"Y",G117="連結表單",K117=""),"⚠ 缺連結表號 ","")&amp;IF(AND(K117&lt;&gt;"",COUNTIF(可連結表單!$J$2:$J$501,K117)=0),"⚠ 連結表號不存在（需為本分項的自主檢查表） ",""))="","✓",TRIM(IF(COUNTIF(表單!$A$2:$A$500,A117)=0,"⚠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","")&amp;IF(AND(L117&lt;&gt;"Y",G117="數值",N117=0),"⚠ 數值需設定欄位 ","")&amp;IF(AND(L117&lt;&gt;"Y",G117="連結表單",K117=""),"⚠ 缺連結表號 ","")&amp;IF(AND(K117&lt;&gt;"",COUNTIF(可連結表單!$J$2:$J$501,K117)=0),"⚠ 連結表號不存在（需為本分項的自主檢查表） ",""))))</f>
        <v/>
      </c>
    </row>
    <row r="118">
      <c r="M118" s="2">
        <f>IF(A118="","",IF(B118="","共用",IF(L118="Y","排除（"&amp;B118&amp;"）",IF(SUMPRODUCT(($A$2:$A$500=A118)*($C$2:$C$500=C118)*($B$2:$B$500=""))&gt;0,"覆蓋共用（"&amp;B118&amp;"）","單元新增（"&amp;B118&amp;"）"))))</f>
        <v/>
      </c>
      <c r="N118" s="2">
        <f>IF(A118="","",COUNTIFS(數值欄位!$A$2:$A$500,A118,數值欄位!$C$2:$C$500,C118))</f>
        <v/>
      </c>
      <c r="O118" s="2">
        <f>IF(A118="","",IF(TRIM(IF(COUNTIF(表單!$A$2:$A$500,A118)=0,"⚠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","")&amp;IF(AND(L118&lt;&gt;"Y",G118="數值",N118=0),"⚠ 數值需設定欄位 ","")&amp;IF(AND(L118&lt;&gt;"Y",G118="連結表單",K118=""),"⚠ 缺連結表號 ","")&amp;IF(AND(K118&lt;&gt;"",COUNTIF(可連結表單!$J$2:$J$501,K118)=0),"⚠ 連結表號不存在（需為本分項的自主檢查表） ",""))="","✓",TRIM(IF(COUNTIF(表單!$A$2:$A$500,A118)=0,"⚠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","")&amp;IF(AND(L118&lt;&gt;"Y",G118="數值",N118=0),"⚠ 數值需設定欄位 ","")&amp;IF(AND(L118&lt;&gt;"Y",G118="連結表單",K118=""),"⚠ 缺連結表號 ","")&amp;IF(AND(K118&lt;&gt;"",COUNTIF(可連結表單!$J$2:$J$501,K118)=0),"⚠ 連結表號不存在（需為本分項的自主檢查表） ",""))))</f>
        <v/>
      </c>
    </row>
    <row r="119">
      <c r="M119" s="2">
        <f>IF(A119="","",IF(B119="","共用",IF(L119="Y","排除（"&amp;B119&amp;"）",IF(SUMPRODUCT(($A$2:$A$500=A119)*($C$2:$C$500=C119)*($B$2:$B$500=""))&gt;0,"覆蓋共用（"&amp;B119&amp;"）","單元新增（"&amp;B119&amp;"）"))))</f>
        <v/>
      </c>
      <c r="N119" s="2">
        <f>IF(A119="","",COUNTIFS(數值欄位!$A$2:$A$500,A119,數值欄位!$C$2:$C$500,C119))</f>
        <v/>
      </c>
      <c r="O119" s="2">
        <f>IF(A119="","",IF(TRIM(IF(COUNTIF(表單!$A$2:$A$500,A119)=0,"⚠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","")&amp;IF(AND(L119&lt;&gt;"Y",G119="數值",N119=0),"⚠ 數值需設定欄位 ","")&amp;IF(AND(L119&lt;&gt;"Y",G119="連結表單",K119=""),"⚠ 缺連結表號 ","")&amp;IF(AND(K119&lt;&gt;"",COUNTIF(可連結表單!$J$2:$J$501,K119)=0),"⚠ 連結表號不存在（需為本分項的自主檢查表） ",""))="","✓",TRIM(IF(COUNTIF(表單!$A$2:$A$500,A119)=0,"⚠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","")&amp;IF(AND(L119&lt;&gt;"Y",G119="數值",N119=0),"⚠ 數值需設定欄位 ","")&amp;IF(AND(L119&lt;&gt;"Y",G119="連結表單",K119=""),"⚠ 缺連結表號 ","")&amp;IF(AND(K119&lt;&gt;"",COUNTIF(可連結表單!$J$2:$J$501,K119)=0),"⚠ 連結表號不存在（需為本分項的自主檢查表） ",""))))</f>
        <v/>
      </c>
    </row>
    <row r="120">
      <c r="M120" s="2">
        <f>IF(A120="","",IF(B120="","共用",IF(L120="Y","排除（"&amp;B120&amp;"）",IF(SUMPRODUCT(($A$2:$A$500=A120)*($C$2:$C$500=C120)*($B$2:$B$500=""))&gt;0,"覆蓋共用（"&amp;B120&amp;"）","單元新增（"&amp;B120&amp;"）"))))</f>
        <v/>
      </c>
      <c r="N120" s="2">
        <f>IF(A120="","",COUNTIFS(數值欄位!$A$2:$A$500,A120,數值欄位!$C$2:$C$500,C120))</f>
        <v/>
      </c>
      <c r="O120" s="2">
        <f>IF(A120="","",IF(TRIM(IF(COUNTIF(表單!$A$2:$A$500,A120)=0,"⚠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","")&amp;IF(AND(L120&lt;&gt;"Y",G120="數值",N120=0),"⚠ 數值需設定欄位 ","")&amp;IF(AND(L120&lt;&gt;"Y",G120="連結表單",K120=""),"⚠ 缺連結表號 ","")&amp;IF(AND(K120&lt;&gt;"",COUNTIF(可連結表單!$J$2:$J$501,K120)=0),"⚠ 連結表號不存在（需為本分項的自主檢查表） ",""))="","✓",TRIM(IF(COUNTIF(表單!$A$2:$A$500,A120)=0,"⚠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","")&amp;IF(AND(L120&lt;&gt;"Y",G120="數值",N120=0),"⚠ 數值需設定欄位 ","")&amp;IF(AND(L120&lt;&gt;"Y",G120="連結表單",K120=""),"⚠ 缺連結表號 ","")&amp;IF(AND(K120&lt;&gt;"",COUNTIF(可連結表單!$J$2:$J$501,K120)=0),"⚠ 連結表號不存在（需為本分項的自主檢查表） ",""))))</f>
        <v/>
      </c>
    </row>
    <row r="121">
      <c r="M121" s="2">
        <f>IF(A121="","",IF(B121="","共用",IF(L121="Y","排除（"&amp;B121&amp;"）",IF(SUMPRODUCT(($A$2:$A$500=A121)*($C$2:$C$500=C121)*($B$2:$B$500=""))&gt;0,"覆蓋共用（"&amp;B121&amp;"）","單元新增（"&amp;B121&amp;"）"))))</f>
        <v/>
      </c>
      <c r="N121" s="2">
        <f>IF(A121="","",COUNTIFS(數值欄位!$A$2:$A$500,A121,數值欄位!$C$2:$C$500,C121))</f>
        <v/>
      </c>
      <c r="O121" s="2">
        <f>IF(A121="","",IF(TRIM(IF(COUNTIF(表單!$A$2:$A$500,A121)=0,"⚠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","")&amp;IF(AND(L121&lt;&gt;"Y",G121="數值",N121=0),"⚠ 數值需設定欄位 ","")&amp;IF(AND(L121&lt;&gt;"Y",G121="連結表單",K121=""),"⚠ 缺連結表號 ","")&amp;IF(AND(K121&lt;&gt;"",COUNTIF(可連結表單!$J$2:$J$501,K121)=0),"⚠ 連結表號不存在（需為本分項的自主檢查表） ",""))="","✓",TRIM(IF(COUNTIF(表單!$A$2:$A$500,A121)=0,"⚠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","")&amp;IF(AND(L121&lt;&gt;"Y",G121="數值",N121=0),"⚠ 數值需設定欄位 ","")&amp;IF(AND(L121&lt;&gt;"Y",G121="連結表單",K121=""),"⚠ 缺連結表號 ","")&amp;IF(AND(K121&lt;&gt;"",COUNTIF(可連結表單!$J$2:$J$501,K121)=0),"⚠ 連結表號不存在（需為本分項的自主檢查表） ",""))))</f>
        <v/>
      </c>
    </row>
    <row r="122">
      <c r="M122" s="2">
        <f>IF(A122="","",IF(B122="","共用",IF(L122="Y","排除（"&amp;B122&amp;"）",IF(SUMPRODUCT(($A$2:$A$500=A122)*($C$2:$C$500=C122)*($B$2:$B$500=""))&gt;0,"覆蓋共用（"&amp;B122&amp;"）","單元新增（"&amp;B122&amp;"）"))))</f>
        <v/>
      </c>
      <c r="N122" s="2">
        <f>IF(A122="","",COUNTIFS(數值欄位!$A$2:$A$500,A122,數值欄位!$C$2:$C$500,C122))</f>
        <v/>
      </c>
      <c r="O122" s="2">
        <f>IF(A122="","",IF(TRIM(IF(COUNTIF(表單!$A$2:$A$500,A122)=0,"⚠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","")&amp;IF(AND(L122&lt;&gt;"Y",G122="數值",N122=0),"⚠ 數值需設定欄位 ","")&amp;IF(AND(L122&lt;&gt;"Y",G122="連結表單",K122=""),"⚠ 缺連結表號 ","")&amp;IF(AND(K122&lt;&gt;"",COUNTIF(可連結表單!$J$2:$J$501,K122)=0),"⚠ 連結表號不存在（需為本分項的自主檢查表） ",""))="","✓",TRIM(IF(COUNTIF(表單!$A$2:$A$500,A122)=0,"⚠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","")&amp;IF(AND(L122&lt;&gt;"Y",G122="數值",N122=0),"⚠ 數值需設定欄位 ","")&amp;IF(AND(L122&lt;&gt;"Y",G122="連結表單",K122=""),"⚠ 缺連結表號 ","")&amp;IF(AND(K122&lt;&gt;"",COUNTIF(可連結表單!$J$2:$J$501,K122)=0),"⚠ 連結表號不存在（需為本分項的自主檢查表） ",""))))</f>
        <v/>
      </c>
    </row>
    <row r="123">
      <c r="M123" s="2">
        <f>IF(A123="","",IF(B123="","共用",IF(L123="Y","排除（"&amp;B123&amp;"）",IF(SUMPRODUCT(($A$2:$A$500=A123)*($C$2:$C$500=C123)*($B$2:$B$500=""))&gt;0,"覆蓋共用（"&amp;B123&amp;"）","單元新增（"&amp;B123&amp;"）"))))</f>
        <v/>
      </c>
      <c r="N123" s="2">
        <f>IF(A123="","",COUNTIFS(數值欄位!$A$2:$A$500,A123,數值欄位!$C$2:$C$500,C123))</f>
        <v/>
      </c>
      <c r="O123" s="2">
        <f>IF(A123="","",IF(TRIM(IF(COUNTIF(表單!$A$2:$A$500,A123)=0,"⚠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","")&amp;IF(AND(L123&lt;&gt;"Y",G123="數值",N123=0),"⚠ 數值需設定欄位 ","")&amp;IF(AND(L123&lt;&gt;"Y",G123="連結表單",K123=""),"⚠ 缺連結表號 ","")&amp;IF(AND(K123&lt;&gt;"",COUNTIF(可連結表單!$J$2:$J$501,K123)=0),"⚠ 連結表號不存在（需為本分項的自主檢查表） ",""))="","✓",TRIM(IF(COUNTIF(表單!$A$2:$A$500,A123)=0,"⚠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","")&amp;IF(AND(L123&lt;&gt;"Y",G123="數值",N123=0),"⚠ 數值需設定欄位 ","")&amp;IF(AND(L123&lt;&gt;"Y",G123="連結表單",K123=""),"⚠ 缺連結表號 ","")&amp;IF(AND(K123&lt;&gt;"",COUNTIF(可連結表單!$J$2:$J$501,K123)=0),"⚠ 連結表號不存在（需為本分項的自主檢查表） ",""))))</f>
        <v/>
      </c>
    </row>
    <row r="124">
      <c r="M124" s="2">
        <f>IF(A124="","",IF(B124="","共用",IF(L124="Y","排除（"&amp;B124&amp;"）",IF(SUMPRODUCT(($A$2:$A$500=A124)*($C$2:$C$500=C124)*($B$2:$B$500=""))&gt;0,"覆蓋共用（"&amp;B124&amp;"）","單元新增（"&amp;B124&amp;"）"))))</f>
        <v/>
      </c>
      <c r="N124" s="2">
        <f>IF(A124="","",COUNTIFS(數值欄位!$A$2:$A$500,A124,數值欄位!$C$2:$C$500,C124))</f>
        <v/>
      </c>
      <c r="O124" s="2">
        <f>IF(A124="","",IF(TRIM(IF(COUNTIF(表單!$A$2:$A$500,A124)=0,"⚠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","")&amp;IF(AND(L124&lt;&gt;"Y",G124="數值",N124=0),"⚠ 數值需設定欄位 ","")&amp;IF(AND(L124&lt;&gt;"Y",G124="連結表單",K124=""),"⚠ 缺連結表號 ","")&amp;IF(AND(K124&lt;&gt;"",COUNTIF(可連結表單!$J$2:$J$501,K124)=0),"⚠ 連結表號不存在（需為本分項的自主檢查表） ",""))="","✓",TRIM(IF(COUNTIF(表單!$A$2:$A$500,A124)=0,"⚠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","")&amp;IF(AND(L124&lt;&gt;"Y",G124="數值",N124=0),"⚠ 數值需設定欄位 ","")&amp;IF(AND(L124&lt;&gt;"Y",G124="連結表單",K124=""),"⚠ 缺連結表號 ","")&amp;IF(AND(K124&lt;&gt;"",COUNTIF(可連結表單!$J$2:$J$501,K124)=0),"⚠ 連結表號不存在（需為本分項的自主檢查表） ",""))))</f>
        <v/>
      </c>
    </row>
    <row r="125">
      <c r="M125" s="2">
        <f>IF(A125="","",IF(B125="","共用",IF(L125="Y","排除（"&amp;B125&amp;"）",IF(SUMPRODUCT(($A$2:$A$500=A125)*($C$2:$C$500=C125)*($B$2:$B$500=""))&gt;0,"覆蓋共用（"&amp;B125&amp;"）","單元新增（"&amp;B125&amp;"）"))))</f>
        <v/>
      </c>
      <c r="N125" s="2">
        <f>IF(A125="","",COUNTIFS(數值欄位!$A$2:$A$500,A125,數值欄位!$C$2:$C$500,C125))</f>
        <v/>
      </c>
      <c r="O125" s="2">
        <f>IF(A125="","",IF(TRIM(IF(COUNTIF(表單!$A$2:$A$500,A125)=0,"⚠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","")&amp;IF(AND(L125&lt;&gt;"Y",G125="數值",N125=0),"⚠ 數值需設定欄位 ","")&amp;IF(AND(L125&lt;&gt;"Y",G125="連結表單",K125=""),"⚠ 缺連結表號 ","")&amp;IF(AND(K125&lt;&gt;"",COUNTIF(可連結表單!$J$2:$J$501,K125)=0),"⚠ 連結表號不存在（需為本分項的自主檢查表） ",""))="","✓",TRIM(IF(COUNTIF(表單!$A$2:$A$500,A125)=0,"⚠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","")&amp;IF(AND(L125&lt;&gt;"Y",G125="數值",N125=0),"⚠ 數值需設定欄位 ","")&amp;IF(AND(L125&lt;&gt;"Y",G125="連結表單",K125=""),"⚠ 缺連結表號 ","")&amp;IF(AND(K125&lt;&gt;"",COUNTIF(可連結表單!$J$2:$J$501,K125)=0),"⚠ 連結表號不存在（需為本分項的自主檢查表） ",""))))</f>
        <v/>
      </c>
    </row>
    <row r="126">
      <c r="M126" s="2">
        <f>IF(A126="","",IF(B126="","共用",IF(L126="Y","排除（"&amp;B126&amp;"）",IF(SUMPRODUCT(($A$2:$A$500=A126)*($C$2:$C$500=C126)*($B$2:$B$500=""))&gt;0,"覆蓋共用（"&amp;B126&amp;"）","單元新增（"&amp;B126&amp;"）"))))</f>
        <v/>
      </c>
      <c r="N126" s="2">
        <f>IF(A126="","",COUNTIFS(數值欄位!$A$2:$A$500,A126,數值欄位!$C$2:$C$500,C126))</f>
        <v/>
      </c>
      <c r="O126" s="2">
        <f>IF(A126="","",IF(TRIM(IF(COUNTIF(表單!$A$2:$A$500,A126)=0,"⚠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","")&amp;IF(AND(L126&lt;&gt;"Y",G126="數值",N126=0),"⚠ 數值需設定欄位 ","")&amp;IF(AND(L126&lt;&gt;"Y",G126="連結表單",K126=""),"⚠ 缺連結表號 ","")&amp;IF(AND(K126&lt;&gt;"",COUNTIF(可連結表單!$J$2:$J$501,K126)=0),"⚠ 連結表號不存在（需為本分項的自主檢查表） ",""))="","✓",TRIM(IF(COUNTIF(表單!$A$2:$A$500,A126)=0,"⚠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","")&amp;IF(AND(L126&lt;&gt;"Y",G126="數值",N126=0),"⚠ 數值需設定欄位 ","")&amp;IF(AND(L126&lt;&gt;"Y",G126="連結表單",K126=""),"⚠ 缺連結表號 ","")&amp;IF(AND(K126&lt;&gt;"",COUNTIF(可連結表單!$J$2:$J$501,K126)=0),"⚠ 連結表號不存在（需為本分項的自主檢查表） ",""))))</f>
        <v/>
      </c>
    </row>
    <row r="127">
      <c r="M127" s="2">
        <f>IF(A127="","",IF(B127="","共用",IF(L127="Y","排除（"&amp;B127&amp;"）",IF(SUMPRODUCT(($A$2:$A$500=A127)*($C$2:$C$500=C127)*($B$2:$B$500=""))&gt;0,"覆蓋共用（"&amp;B127&amp;"）","單元新增（"&amp;B127&amp;"）"))))</f>
        <v/>
      </c>
      <c r="N127" s="2">
        <f>IF(A127="","",COUNTIFS(數值欄位!$A$2:$A$500,A127,數值欄位!$C$2:$C$500,C127))</f>
        <v/>
      </c>
      <c r="O127" s="2">
        <f>IF(A127="","",IF(TRIM(IF(COUNTIF(表單!$A$2:$A$500,A127)=0,"⚠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","")&amp;IF(AND(L127&lt;&gt;"Y",G127="數值",N127=0),"⚠ 數值需設定欄位 ","")&amp;IF(AND(L127&lt;&gt;"Y",G127="連結表單",K127=""),"⚠ 缺連結表號 ","")&amp;IF(AND(K127&lt;&gt;"",COUNTIF(可連結表單!$J$2:$J$501,K127)=0),"⚠ 連結表號不存在（需為本分項的自主檢查表） ",""))="","✓",TRIM(IF(COUNTIF(表單!$A$2:$A$500,A127)=0,"⚠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","")&amp;IF(AND(L127&lt;&gt;"Y",G127="數值",N127=0),"⚠ 數值需設定欄位 ","")&amp;IF(AND(L127&lt;&gt;"Y",G127="連結表單",K127=""),"⚠ 缺連結表號 ","")&amp;IF(AND(K127&lt;&gt;"",COUNTIF(可連結表單!$J$2:$J$501,K127)=0),"⚠ 連結表號不存在（需為本分項的自主檢查表） ",""))))</f>
        <v/>
      </c>
    </row>
    <row r="128">
      <c r="M128" s="2">
        <f>IF(A128="","",IF(B128="","共用",IF(L128="Y","排除（"&amp;B128&amp;"）",IF(SUMPRODUCT(($A$2:$A$500=A128)*($C$2:$C$500=C128)*($B$2:$B$500=""))&gt;0,"覆蓋共用（"&amp;B128&amp;"）","單元新增（"&amp;B128&amp;"）"))))</f>
        <v/>
      </c>
      <c r="N128" s="2">
        <f>IF(A128="","",COUNTIFS(數值欄位!$A$2:$A$500,A128,數值欄位!$C$2:$C$500,C128))</f>
        <v/>
      </c>
      <c r="O128" s="2">
        <f>IF(A128="","",IF(TRIM(IF(COUNTIF(表單!$A$2:$A$500,A128)=0,"⚠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","")&amp;IF(AND(L128&lt;&gt;"Y",G128="數值",N128=0),"⚠ 數值需設定欄位 ","")&amp;IF(AND(L128&lt;&gt;"Y",G128="連結表單",K128=""),"⚠ 缺連結表號 ","")&amp;IF(AND(K128&lt;&gt;"",COUNTIF(可連結表單!$J$2:$J$501,K128)=0),"⚠ 連結表號不存在（需為本分項的自主檢查表） ",""))="","✓",TRIM(IF(COUNTIF(表單!$A$2:$A$500,A128)=0,"⚠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","")&amp;IF(AND(L128&lt;&gt;"Y",G128="數值",N128=0),"⚠ 數值需設定欄位 ","")&amp;IF(AND(L128&lt;&gt;"Y",G128="連結表單",K128=""),"⚠ 缺連結表號 ","")&amp;IF(AND(K128&lt;&gt;"",COUNTIF(可連結表單!$J$2:$J$501,K128)=0),"⚠ 連結表號不存在（需為本分項的自主檢查表） ",""))))</f>
        <v/>
      </c>
    </row>
    <row r="129">
      <c r="M129" s="2">
        <f>IF(A129="","",IF(B129="","共用",IF(L129="Y","排除（"&amp;B129&amp;"）",IF(SUMPRODUCT(($A$2:$A$500=A129)*($C$2:$C$500=C129)*($B$2:$B$500=""))&gt;0,"覆蓋共用（"&amp;B129&amp;"）","單元新增（"&amp;B129&amp;"）"))))</f>
        <v/>
      </c>
      <c r="N129" s="2">
        <f>IF(A129="","",COUNTIFS(數值欄位!$A$2:$A$500,A129,數值欄位!$C$2:$C$500,C129))</f>
        <v/>
      </c>
      <c r="O129" s="2">
        <f>IF(A129="","",IF(TRIM(IF(COUNTIF(表單!$A$2:$A$500,A129)=0,"⚠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","")&amp;IF(AND(L129&lt;&gt;"Y",G129="數值",N129=0),"⚠ 數值需設定欄位 ","")&amp;IF(AND(L129&lt;&gt;"Y",G129="連結表單",K129=""),"⚠ 缺連結表號 ","")&amp;IF(AND(K129&lt;&gt;"",COUNTIF(可連結表單!$J$2:$J$501,K129)=0),"⚠ 連結表號不存在（需為本分項的自主檢查表） ",""))="","✓",TRIM(IF(COUNTIF(表單!$A$2:$A$500,A129)=0,"⚠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","")&amp;IF(AND(L129&lt;&gt;"Y",G129="數值",N129=0),"⚠ 數值需設定欄位 ","")&amp;IF(AND(L129&lt;&gt;"Y",G129="連結表單",K129=""),"⚠ 缺連結表號 ","")&amp;IF(AND(K129&lt;&gt;"",COUNTIF(可連結表單!$J$2:$J$501,K129)=0),"⚠ 連結表號不存在（需為本分項的自主檢查表） ",""))))</f>
        <v/>
      </c>
    </row>
    <row r="130">
      <c r="M130" s="2">
        <f>IF(A130="","",IF(B130="","共用",IF(L130="Y","排除（"&amp;B130&amp;"）",IF(SUMPRODUCT(($A$2:$A$500=A130)*($C$2:$C$500=C130)*($B$2:$B$500=""))&gt;0,"覆蓋共用（"&amp;B130&amp;"）","單元新增（"&amp;B130&amp;"）"))))</f>
        <v/>
      </c>
      <c r="N130" s="2">
        <f>IF(A130="","",COUNTIFS(數值欄位!$A$2:$A$500,A130,數值欄位!$C$2:$C$500,C130))</f>
        <v/>
      </c>
      <c r="O130" s="2">
        <f>IF(A130="","",IF(TRIM(IF(COUNTIF(表單!$A$2:$A$500,A130)=0,"⚠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","")&amp;IF(AND(L130&lt;&gt;"Y",G130="數值",N130=0),"⚠ 數值需設定欄位 ","")&amp;IF(AND(L130&lt;&gt;"Y",G130="連結表單",K130=""),"⚠ 缺連結表號 ","")&amp;IF(AND(K130&lt;&gt;"",COUNTIF(可連結表單!$J$2:$J$501,K130)=0),"⚠ 連結表號不存在（需為本分項的自主檢查表） ",""))="","✓",TRIM(IF(COUNTIF(表單!$A$2:$A$500,A130)=0,"⚠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","")&amp;IF(AND(L130&lt;&gt;"Y",G130="數值",N130=0),"⚠ 數值需設定欄位 ","")&amp;IF(AND(L130&lt;&gt;"Y",G130="連結表單",K130=""),"⚠ 缺連結表號 ","")&amp;IF(AND(K130&lt;&gt;"",COUNTIF(可連結表單!$J$2:$J$501,K130)=0),"⚠ 連結表號不存在（需為本分項的自主檢查表） ",""))))</f>
        <v/>
      </c>
    </row>
    <row r="131">
      <c r="M131" s="2">
        <f>IF(A131="","",IF(B131="","共用",IF(L131="Y","排除（"&amp;B131&amp;"）",IF(SUMPRODUCT(($A$2:$A$500=A131)*($C$2:$C$500=C131)*($B$2:$B$500=""))&gt;0,"覆蓋共用（"&amp;B131&amp;"）","單元新增（"&amp;B131&amp;"）"))))</f>
        <v/>
      </c>
      <c r="N131" s="2">
        <f>IF(A131="","",COUNTIFS(數值欄位!$A$2:$A$500,A131,數值欄位!$C$2:$C$500,C131))</f>
        <v/>
      </c>
      <c r="O131" s="2">
        <f>IF(A131="","",IF(TRIM(IF(COUNTIF(表單!$A$2:$A$500,A131)=0,"⚠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","")&amp;IF(AND(L131&lt;&gt;"Y",G131="數值",N131=0),"⚠ 數值需設定欄位 ","")&amp;IF(AND(L131&lt;&gt;"Y",G131="連結表單",K131=""),"⚠ 缺連結表號 ","")&amp;IF(AND(K131&lt;&gt;"",COUNTIF(可連結表單!$J$2:$J$501,K131)=0),"⚠ 連結表號不存在（需為本分項的自主檢查表） ",""))="","✓",TRIM(IF(COUNTIF(表單!$A$2:$A$500,A131)=0,"⚠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","")&amp;IF(AND(L131&lt;&gt;"Y",G131="數值",N131=0),"⚠ 數值需設定欄位 ","")&amp;IF(AND(L131&lt;&gt;"Y",G131="連結表單",K131=""),"⚠ 缺連結表號 ","")&amp;IF(AND(K131&lt;&gt;"",COUNTIF(可連結表單!$J$2:$J$501,K131)=0),"⚠ 連結表號不存在（需為本分項的自主檢查表） ",""))))</f>
        <v/>
      </c>
    </row>
    <row r="132">
      <c r="M132" s="2">
        <f>IF(A132="","",IF(B132="","共用",IF(L132="Y","排除（"&amp;B132&amp;"）",IF(SUMPRODUCT(($A$2:$A$500=A132)*($C$2:$C$500=C132)*($B$2:$B$500=""))&gt;0,"覆蓋共用（"&amp;B132&amp;"）","單元新增（"&amp;B132&amp;"）"))))</f>
        <v/>
      </c>
      <c r="N132" s="2">
        <f>IF(A132="","",COUNTIFS(數值欄位!$A$2:$A$500,A132,數值欄位!$C$2:$C$500,C132))</f>
        <v/>
      </c>
      <c r="O132" s="2">
        <f>IF(A132="","",IF(TRIM(IF(COUNTIF(表單!$A$2:$A$500,A132)=0,"⚠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","")&amp;IF(AND(L132&lt;&gt;"Y",G132="數值",N132=0),"⚠ 數值需設定欄位 ","")&amp;IF(AND(L132&lt;&gt;"Y",G132="連結表單",K132=""),"⚠ 缺連結表號 ","")&amp;IF(AND(K132&lt;&gt;"",COUNTIF(可連結表單!$J$2:$J$501,K132)=0),"⚠ 連結表號不存在（需為本分項的自主檢查表） ",""))="","✓",TRIM(IF(COUNTIF(表單!$A$2:$A$500,A132)=0,"⚠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","")&amp;IF(AND(L132&lt;&gt;"Y",G132="數值",N132=0),"⚠ 數值需設定欄位 ","")&amp;IF(AND(L132&lt;&gt;"Y",G132="連結表單",K132=""),"⚠ 缺連結表號 ","")&amp;IF(AND(K132&lt;&gt;"",COUNTIF(可連結表單!$J$2:$J$501,K132)=0),"⚠ 連結表號不存在（需為本分項的自主檢查表） ",""))))</f>
        <v/>
      </c>
    </row>
    <row r="133">
      <c r="M133" s="2">
        <f>IF(A133="","",IF(B133="","共用",IF(L133="Y","排除（"&amp;B133&amp;"）",IF(SUMPRODUCT(($A$2:$A$500=A133)*($C$2:$C$500=C133)*($B$2:$B$500=""))&gt;0,"覆蓋共用（"&amp;B133&amp;"）","單元新增（"&amp;B133&amp;"）"))))</f>
        <v/>
      </c>
      <c r="N133" s="2">
        <f>IF(A133="","",COUNTIFS(數值欄位!$A$2:$A$500,A133,數值欄位!$C$2:$C$500,C133))</f>
        <v/>
      </c>
      <c r="O133" s="2">
        <f>IF(A133="","",IF(TRIM(IF(COUNTIF(表單!$A$2:$A$500,A133)=0,"⚠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","")&amp;IF(AND(L133&lt;&gt;"Y",G133="數值",N133=0),"⚠ 數值需設定欄位 ","")&amp;IF(AND(L133&lt;&gt;"Y",G133="連結表單",K133=""),"⚠ 缺連結表號 ","")&amp;IF(AND(K133&lt;&gt;"",COUNTIF(可連結表單!$J$2:$J$501,K133)=0),"⚠ 連結表號不存在（需為本分項的自主檢查表） ",""))="","✓",TRIM(IF(COUNTIF(表單!$A$2:$A$500,A133)=0,"⚠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","")&amp;IF(AND(L133&lt;&gt;"Y",G133="數值",N133=0),"⚠ 數值需設定欄位 ","")&amp;IF(AND(L133&lt;&gt;"Y",G133="連結表單",K133=""),"⚠ 缺連結表號 ","")&amp;IF(AND(K133&lt;&gt;"",COUNTIF(可連結表單!$J$2:$J$501,K133)=0),"⚠ 連結表號不存在（需為本分項的自主檢查表） ",""))))</f>
        <v/>
      </c>
    </row>
    <row r="134">
      <c r="M134" s="2">
        <f>IF(A134="","",IF(B134="","共用",IF(L134="Y","排除（"&amp;B134&amp;"）",IF(SUMPRODUCT(($A$2:$A$500=A134)*($C$2:$C$500=C134)*($B$2:$B$500=""))&gt;0,"覆蓋共用（"&amp;B134&amp;"）","單元新增（"&amp;B134&amp;"）"))))</f>
        <v/>
      </c>
      <c r="N134" s="2">
        <f>IF(A134="","",COUNTIFS(數值欄位!$A$2:$A$500,A134,數值欄位!$C$2:$C$500,C134))</f>
        <v/>
      </c>
      <c r="O134" s="2">
        <f>IF(A134="","",IF(TRIM(IF(COUNTIF(表單!$A$2:$A$500,A134)=0,"⚠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","")&amp;IF(AND(L134&lt;&gt;"Y",G134="數值",N134=0),"⚠ 數值需設定欄位 ","")&amp;IF(AND(L134&lt;&gt;"Y",G134="連結表單",K134=""),"⚠ 缺連結表號 ","")&amp;IF(AND(K134&lt;&gt;"",COUNTIF(可連結表單!$J$2:$J$501,K134)=0),"⚠ 連結表號不存在（需為本分項的自主檢查表） ",""))="","✓",TRIM(IF(COUNTIF(表單!$A$2:$A$500,A134)=0,"⚠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","")&amp;IF(AND(L134&lt;&gt;"Y",G134="數值",N134=0),"⚠ 數值需設定欄位 ","")&amp;IF(AND(L134&lt;&gt;"Y",G134="連結表單",K134=""),"⚠ 缺連結表號 ","")&amp;IF(AND(K134&lt;&gt;"",COUNTIF(可連結表單!$J$2:$J$501,K134)=0),"⚠ 連結表號不存在（需為本分項的自主檢查表） ",""))))</f>
        <v/>
      </c>
    </row>
    <row r="135">
      <c r="M135" s="2">
        <f>IF(A135="","",IF(B135="","共用",IF(L135="Y","排除（"&amp;B135&amp;"）",IF(SUMPRODUCT(($A$2:$A$500=A135)*($C$2:$C$500=C135)*($B$2:$B$500=""))&gt;0,"覆蓋共用（"&amp;B135&amp;"）","單元新增（"&amp;B135&amp;"）"))))</f>
        <v/>
      </c>
      <c r="N135" s="2">
        <f>IF(A135="","",COUNTIFS(數值欄位!$A$2:$A$500,A135,數值欄位!$C$2:$C$500,C135))</f>
        <v/>
      </c>
      <c r="O135" s="2">
        <f>IF(A135="","",IF(TRIM(IF(COUNTIF(表單!$A$2:$A$500,A135)=0,"⚠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","")&amp;IF(AND(L135&lt;&gt;"Y",G135="數值",N135=0),"⚠ 數值需設定欄位 ","")&amp;IF(AND(L135&lt;&gt;"Y",G135="連結表單",K135=""),"⚠ 缺連結表號 ","")&amp;IF(AND(K135&lt;&gt;"",COUNTIF(可連結表單!$J$2:$J$501,K135)=0),"⚠ 連結表號不存在（需為本分項的自主檢查表） ",""))="","✓",TRIM(IF(COUNTIF(表單!$A$2:$A$500,A135)=0,"⚠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","")&amp;IF(AND(L135&lt;&gt;"Y",G135="數值",N135=0),"⚠ 數值需設定欄位 ","")&amp;IF(AND(L135&lt;&gt;"Y",G135="連結表單",K135=""),"⚠ 缺連結表號 ","")&amp;IF(AND(K135&lt;&gt;"",COUNTIF(可連結表單!$J$2:$J$501,K135)=0),"⚠ 連結表號不存在（需為本分項的自主檢查表） ",""))))</f>
        <v/>
      </c>
    </row>
    <row r="136">
      <c r="M136" s="2">
        <f>IF(A136="","",IF(B136="","共用",IF(L136="Y","排除（"&amp;B136&amp;"）",IF(SUMPRODUCT(($A$2:$A$500=A136)*($C$2:$C$500=C136)*($B$2:$B$500=""))&gt;0,"覆蓋共用（"&amp;B136&amp;"）","單元新增（"&amp;B136&amp;"）"))))</f>
        <v/>
      </c>
      <c r="N136" s="2">
        <f>IF(A136="","",COUNTIFS(數值欄位!$A$2:$A$500,A136,數值欄位!$C$2:$C$500,C136))</f>
        <v/>
      </c>
      <c r="O136" s="2">
        <f>IF(A136="","",IF(TRIM(IF(COUNTIF(表單!$A$2:$A$500,A136)=0,"⚠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","")&amp;IF(AND(L136&lt;&gt;"Y",G136="數值",N136=0),"⚠ 數值需設定欄位 ","")&amp;IF(AND(L136&lt;&gt;"Y",G136="連結表單",K136=""),"⚠ 缺連結表號 ","")&amp;IF(AND(K136&lt;&gt;"",COUNTIF(可連結表單!$J$2:$J$501,K136)=0),"⚠ 連結表號不存在（需為本分項的自主檢查表） ",""))="","✓",TRIM(IF(COUNTIF(表單!$A$2:$A$500,A136)=0,"⚠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","")&amp;IF(AND(L136&lt;&gt;"Y",G136="數值",N136=0),"⚠ 數值需設定欄位 ","")&amp;IF(AND(L136&lt;&gt;"Y",G136="連結表單",K136=""),"⚠ 缺連結表號 ","")&amp;IF(AND(K136&lt;&gt;"",COUNTIF(可連結表單!$J$2:$J$501,K136)=0),"⚠ 連結表號不存在（需為本分項的自主檢查表） ",""))))</f>
        <v/>
      </c>
    </row>
    <row r="137">
      <c r="M137" s="2">
        <f>IF(A137="","",IF(B137="","共用",IF(L137="Y","排除（"&amp;B137&amp;"）",IF(SUMPRODUCT(($A$2:$A$500=A137)*($C$2:$C$500=C137)*($B$2:$B$500=""))&gt;0,"覆蓋共用（"&amp;B137&amp;"）","單元新增（"&amp;B137&amp;"）"))))</f>
        <v/>
      </c>
      <c r="N137" s="2">
        <f>IF(A137="","",COUNTIFS(數值欄位!$A$2:$A$500,A137,數值欄位!$C$2:$C$500,C137))</f>
        <v/>
      </c>
      <c r="O137" s="2">
        <f>IF(A137="","",IF(TRIM(IF(COUNTIF(表單!$A$2:$A$500,A137)=0,"⚠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","")&amp;IF(AND(L137&lt;&gt;"Y",G137="數值",N137=0),"⚠ 數值需設定欄位 ","")&amp;IF(AND(L137&lt;&gt;"Y",G137="連結表單",K137=""),"⚠ 缺連結表號 ","")&amp;IF(AND(K137&lt;&gt;"",COUNTIF(可連結表單!$J$2:$J$501,K137)=0),"⚠ 連結表號不存在（需為本分項的自主檢查表） ",""))="","✓",TRIM(IF(COUNTIF(表單!$A$2:$A$500,A137)=0,"⚠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","")&amp;IF(AND(L137&lt;&gt;"Y",G137="數值",N137=0),"⚠ 數值需設定欄位 ","")&amp;IF(AND(L137&lt;&gt;"Y",G137="連結表單",K137=""),"⚠ 缺連結表號 ","")&amp;IF(AND(K137&lt;&gt;"",COUNTIF(可連結表單!$J$2:$J$501,K137)=0),"⚠ 連結表號不存在（需為本分項的自主檢查表） ",""))))</f>
        <v/>
      </c>
    </row>
    <row r="138">
      <c r="M138" s="2">
        <f>IF(A138="","",IF(B138="","共用",IF(L138="Y","排除（"&amp;B138&amp;"）",IF(SUMPRODUCT(($A$2:$A$500=A138)*($C$2:$C$500=C138)*($B$2:$B$500=""))&gt;0,"覆蓋共用（"&amp;B138&amp;"）","單元新增（"&amp;B138&amp;"）"))))</f>
        <v/>
      </c>
      <c r="N138" s="2">
        <f>IF(A138="","",COUNTIFS(數值欄位!$A$2:$A$500,A138,數值欄位!$C$2:$C$500,C138))</f>
        <v/>
      </c>
      <c r="O138" s="2">
        <f>IF(A138="","",IF(TRIM(IF(COUNTIF(表單!$A$2:$A$500,A138)=0,"⚠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","")&amp;IF(AND(L138&lt;&gt;"Y",G138="數值",N138=0),"⚠ 數值需設定欄位 ","")&amp;IF(AND(L138&lt;&gt;"Y",G138="連結表單",K138=""),"⚠ 缺連結表號 ","")&amp;IF(AND(K138&lt;&gt;"",COUNTIF(可連結表單!$J$2:$J$501,K138)=0),"⚠ 連結表號不存在（需為本分項的自主檢查表） ",""))="","✓",TRIM(IF(COUNTIF(表單!$A$2:$A$500,A138)=0,"⚠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","")&amp;IF(AND(L138&lt;&gt;"Y",G138="數值",N138=0),"⚠ 數值需設定欄位 ","")&amp;IF(AND(L138&lt;&gt;"Y",G138="連結表單",K138=""),"⚠ 缺連結表號 ","")&amp;IF(AND(K138&lt;&gt;"",COUNTIF(可連結表單!$J$2:$J$501,K138)=0),"⚠ 連結表號不存在（需為本分項的自主檢查表） ",""))))</f>
        <v/>
      </c>
    </row>
    <row r="139">
      <c r="M139" s="2">
        <f>IF(A139="","",IF(B139="","共用",IF(L139="Y","排除（"&amp;B139&amp;"）",IF(SUMPRODUCT(($A$2:$A$500=A139)*($C$2:$C$500=C139)*($B$2:$B$500=""))&gt;0,"覆蓋共用（"&amp;B139&amp;"）","單元新增（"&amp;B139&amp;"）"))))</f>
        <v/>
      </c>
      <c r="N139" s="2">
        <f>IF(A139="","",COUNTIFS(數值欄位!$A$2:$A$500,A139,數值欄位!$C$2:$C$500,C139))</f>
        <v/>
      </c>
      <c r="O139" s="2">
        <f>IF(A139="","",IF(TRIM(IF(COUNTIF(表單!$A$2:$A$500,A139)=0,"⚠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","")&amp;IF(AND(L139&lt;&gt;"Y",G139="數值",N139=0),"⚠ 數值需設定欄位 ","")&amp;IF(AND(L139&lt;&gt;"Y",G139="連結表單",K139=""),"⚠ 缺連結表號 ","")&amp;IF(AND(K139&lt;&gt;"",COUNTIF(可連結表單!$J$2:$J$501,K139)=0),"⚠ 連結表號不存在（需為本分項的自主檢查表） ",""))="","✓",TRIM(IF(COUNTIF(表單!$A$2:$A$500,A139)=0,"⚠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","")&amp;IF(AND(L139&lt;&gt;"Y",G139="數值",N139=0),"⚠ 數值需設定欄位 ","")&amp;IF(AND(L139&lt;&gt;"Y",G139="連結表單",K139=""),"⚠ 缺連結表號 ","")&amp;IF(AND(K139&lt;&gt;"",COUNTIF(可連結表單!$J$2:$J$501,K139)=0),"⚠ 連結表號不存在（需為本分項的自主檢查表） ",""))))</f>
        <v/>
      </c>
    </row>
    <row r="140">
      <c r="M140" s="2">
        <f>IF(A140="","",IF(B140="","共用",IF(L140="Y","排除（"&amp;B140&amp;"）",IF(SUMPRODUCT(($A$2:$A$500=A140)*($C$2:$C$500=C140)*($B$2:$B$500=""))&gt;0,"覆蓋共用（"&amp;B140&amp;"）","單元新增（"&amp;B140&amp;"）"))))</f>
        <v/>
      </c>
      <c r="N140" s="2">
        <f>IF(A140="","",COUNTIFS(數值欄位!$A$2:$A$500,A140,數值欄位!$C$2:$C$500,C140))</f>
        <v/>
      </c>
      <c r="O140" s="2">
        <f>IF(A140="","",IF(TRIM(IF(COUNTIF(表單!$A$2:$A$500,A140)=0,"⚠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","")&amp;IF(AND(L140&lt;&gt;"Y",G140="數值",N140=0),"⚠ 數值需設定欄位 ","")&amp;IF(AND(L140&lt;&gt;"Y",G140="連結表單",K140=""),"⚠ 缺連結表號 ","")&amp;IF(AND(K140&lt;&gt;"",COUNTIF(可連結表單!$J$2:$J$501,K140)=0),"⚠ 連結表號不存在（需為本分項的自主檢查表） ",""))="","✓",TRIM(IF(COUNTIF(表單!$A$2:$A$500,A140)=0,"⚠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","")&amp;IF(AND(L140&lt;&gt;"Y",G140="數值",N140=0),"⚠ 數值需設定欄位 ","")&amp;IF(AND(L140&lt;&gt;"Y",G140="連結表單",K140=""),"⚠ 缺連結表號 ","")&amp;IF(AND(K140&lt;&gt;"",COUNTIF(可連結表單!$J$2:$J$501,K140)=0),"⚠ 連結表號不存在（需為本分項的自主檢查表） ",""))))</f>
        <v/>
      </c>
    </row>
    <row r="141">
      <c r="M141" s="2">
        <f>IF(A141="","",IF(B141="","共用",IF(L141="Y","排除（"&amp;B141&amp;"）",IF(SUMPRODUCT(($A$2:$A$500=A141)*($C$2:$C$500=C141)*($B$2:$B$500=""))&gt;0,"覆蓋共用（"&amp;B141&amp;"）","單元新增（"&amp;B141&amp;"）"))))</f>
        <v/>
      </c>
      <c r="N141" s="2">
        <f>IF(A141="","",COUNTIFS(數值欄位!$A$2:$A$500,A141,數值欄位!$C$2:$C$500,C141))</f>
        <v/>
      </c>
      <c r="O141" s="2">
        <f>IF(A141="","",IF(TRIM(IF(COUNTIF(表單!$A$2:$A$500,A141)=0,"⚠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","")&amp;IF(AND(L141&lt;&gt;"Y",G141="數值",N141=0),"⚠ 數值需設定欄位 ","")&amp;IF(AND(L141&lt;&gt;"Y",G141="連結表單",K141=""),"⚠ 缺連結表號 ","")&amp;IF(AND(K141&lt;&gt;"",COUNTIF(可連結表單!$J$2:$J$501,K141)=0),"⚠ 連結表號不存在（需為本分項的自主檢查表） ",""))="","✓",TRIM(IF(COUNTIF(表單!$A$2:$A$500,A141)=0,"⚠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","")&amp;IF(AND(L141&lt;&gt;"Y",G141="數值",N141=0),"⚠ 數值需設定欄位 ","")&amp;IF(AND(L141&lt;&gt;"Y",G141="連結表單",K141=""),"⚠ 缺連結表號 ","")&amp;IF(AND(K141&lt;&gt;"",COUNTIF(可連結表單!$J$2:$J$501,K141)=0),"⚠ 連結表號不存在（需為本分項的自主檢查表） ",""))))</f>
        <v/>
      </c>
    </row>
    <row r="142">
      <c r="M142" s="2">
        <f>IF(A142="","",IF(B142="","共用",IF(L142="Y","排除（"&amp;B142&amp;"）",IF(SUMPRODUCT(($A$2:$A$500=A142)*($C$2:$C$500=C142)*($B$2:$B$500=""))&gt;0,"覆蓋共用（"&amp;B142&amp;"）","單元新增（"&amp;B142&amp;"）"))))</f>
        <v/>
      </c>
      <c r="N142" s="2">
        <f>IF(A142="","",COUNTIFS(數值欄位!$A$2:$A$500,A142,數值欄位!$C$2:$C$500,C142))</f>
        <v/>
      </c>
      <c r="O142" s="2">
        <f>IF(A142="","",IF(TRIM(IF(COUNTIF(表單!$A$2:$A$500,A142)=0,"⚠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","")&amp;IF(AND(L142&lt;&gt;"Y",G142="數值",N142=0),"⚠ 數值需設定欄位 ","")&amp;IF(AND(L142&lt;&gt;"Y",G142="連結表單",K142=""),"⚠ 缺連結表號 ","")&amp;IF(AND(K142&lt;&gt;"",COUNTIF(可連結表單!$J$2:$J$501,K142)=0),"⚠ 連結表號不存在（需為本分項的自主檢查表） ",""))="","✓",TRIM(IF(COUNTIF(表單!$A$2:$A$500,A142)=0,"⚠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","")&amp;IF(AND(L142&lt;&gt;"Y",G142="數值",N142=0),"⚠ 數值需設定欄位 ","")&amp;IF(AND(L142&lt;&gt;"Y",G142="連結表單",K142=""),"⚠ 缺連結表號 ","")&amp;IF(AND(K142&lt;&gt;"",COUNTIF(可連結表單!$J$2:$J$501,K142)=0),"⚠ 連結表號不存在（需為本分項的自主檢查表） ",""))))</f>
        <v/>
      </c>
    </row>
    <row r="143">
      <c r="M143" s="2">
        <f>IF(A143="","",IF(B143="","共用",IF(L143="Y","排除（"&amp;B143&amp;"）",IF(SUMPRODUCT(($A$2:$A$500=A143)*($C$2:$C$500=C143)*($B$2:$B$500=""))&gt;0,"覆蓋共用（"&amp;B143&amp;"）","單元新增（"&amp;B143&amp;"）"))))</f>
        <v/>
      </c>
      <c r="N143" s="2">
        <f>IF(A143="","",COUNTIFS(數值欄位!$A$2:$A$500,A143,數值欄位!$C$2:$C$500,C143))</f>
        <v/>
      </c>
      <c r="O143" s="2">
        <f>IF(A143="","",IF(TRIM(IF(COUNTIF(表單!$A$2:$A$500,A143)=0,"⚠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","")&amp;IF(AND(L143&lt;&gt;"Y",G143="數值",N143=0),"⚠ 數值需設定欄位 ","")&amp;IF(AND(L143&lt;&gt;"Y",G143="連結表單",K143=""),"⚠ 缺連結表號 ","")&amp;IF(AND(K143&lt;&gt;"",COUNTIF(可連結表單!$J$2:$J$501,K143)=0),"⚠ 連結表號不存在（需為本分項的自主檢查表） ",""))="","✓",TRIM(IF(COUNTIF(表單!$A$2:$A$500,A143)=0,"⚠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","")&amp;IF(AND(L143&lt;&gt;"Y",G143="數值",N143=0),"⚠ 數值需設定欄位 ","")&amp;IF(AND(L143&lt;&gt;"Y",G143="連結表單",K143=""),"⚠ 缺連結表號 ","")&amp;IF(AND(K143&lt;&gt;"",COUNTIF(可連結表單!$J$2:$J$501,K143)=0),"⚠ 連結表號不存在（需為本分項的自主檢查表） ",""))))</f>
        <v/>
      </c>
    </row>
    <row r="144">
      <c r="M144" s="2">
        <f>IF(A144="","",IF(B144="","共用",IF(L144="Y","排除（"&amp;B144&amp;"）",IF(SUMPRODUCT(($A$2:$A$500=A144)*($C$2:$C$500=C144)*($B$2:$B$500=""))&gt;0,"覆蓋共用（"&amp;B144&amp;"）","單元新增（"&amp;B144&amp;"）"))))</f>
        <v/>
      </c>
      <c r="N144" s="2">
        <f>IF(A144="","",COUNTIFS(數值欄位!$A$2:$A$500,A144,數值欄位!$C$2:$C$500,C144))</f>
        <v/>
      </c>
      <c r="O144" s="2">
        <f>IF(A144="","",IF(TRIM(IF(COUNTIF(表單!$A$2:$A$500,A144)=0,"⚠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","")&amp;IF(AND(L144&lt;&gt;"Y",G144="數值",N144=0),"⚠ 數值需設定欄位 ","")&amp;IF(AND(L144&lt;&gt;"Y",G144="連結表單",K144=""),"⚠ 缺連結表號 ","")&amp;IF(AND(K144&lt;&gt;"",COUNTIF(可連結表單!$J$2:$J$501,K144)=0),"⚠ 連結表號不存在（需為本分項的自主檢查表） ",""))="","✓",TRIM(IF(COUNTIF(表單!$A$2:$A$500,A144)=0,"⚠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","")&amp;IF(AND(L144&lt;&gt;"Y",G144="數值",N144=0),"⚠ 數值需設定欄位 ","")&amp;IF(AND(L144&lt;&gt;"Y",G144="連結表單",K144=""),"⚠ 缺連結表號 ","")&amp;IF(AND(K144&lt;&gt;"",COUNTIF(可連結表單!$J$2:$J$501,K144)=0),"⚠ 連結表號不存在（需為本分項的自主檢查表） ",""))))</f>
        <v/>
      </c>
    </row>
    <row r="145">
      <c r="M145" s="2">
        <f>IF(A145="","",IF(B145="","共用",IF(L145="Y","排除（"&amp;B145&amp;"）",IF(SUMPRODUCT(($A$2:$A$500=A145)*($C$2:$C$500=C145)*($B$2:$B$500=""))&gt;0,"覆蓋共用（"&amp;B145&amp;"）","單元新增（"&amp;B145&amp;"）"))))</f>
        <v/>
      </c>
      <c r="N145" s="2">
        <f>IF(A145="","",COUNTIFS(數值欄位!$A$2:$A$500,A145,數值欄位!$C$2:$C$500,C145))</f>
        <v/>
      </c>
      <c r="O145" s="2">
        <f>IF(A145="","",IF(TRIM(IF(COUNTIF(表單!$A$2:$A$500,A145)=0,"⚠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","")&amp;IF(AND(L145&lt;&gt;"Y",G145="數值",N145=0),"⚠ 數值需設定欄位 ","")&amp;IF(AND(L145&lt;&gt;"Y",G145="連結表單",K145=""),"⚠ 缺連結表號 ","")&amp;IF(AND(K145&lt;&gt;"",COUNTIF(可連結表單!$J$2:$J$501,K145)=0),"⚠ 連結表號不存在（需為本分項的自主檢查表） ",""))="","✓",TRIM(IF(COUNTIF(表單!$A$2:$A$500,A145)=0,"⚠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","")&amp;IF(AND(L145&lt;&gt;"Y",G145="數值",N145=0),"⚠ 數值需設定欄位 ","")&amp;IF(AND(L145&lt;&gt;"Y",G145="連結表單",K145=""),"⚠ 缺連結表號 ","")&amp;IF(AND(K145&lt;&gt;"",COUNTIF(可連結表單!$J$2:$J$501,K145)=0),"⚠ 連結表號不存在（需為本分項的自主檢查表） ",""))))</f>
        <v/>
      </c>
    </row>
    <row r="146">
      <c r="M146" s="2">
        <f>IF(A146="","",IF(B146="","共用",IF(L146="Y","排除（"&amp;B146&amp;"）",IF(SUMPRODUCT(($A$2:$A$500=A146)*($C$2:$C$500=C146)*($B$2:$B$500=""))&gt;0,"覆蓋共用（"&amp;B146&amp;"）","單元新增（"&amp;B146&amp;"）"))))</f>
        <v/>
      </c>
      <c r="N146" s="2">
        <f>IF(A146="","",COUNTIFS(數值欄位!$A$2:$A$500,A146,數值欄位!$C$2:$C$500,C146))</f>
        <v/>
      </c>
      <c r="O146" s="2">
        <f>IF(A146="","",IF(TRIM(IF(COUNTIF(表單!$A$2:$A$500,A146)=0,"⚠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","")&amp;IF(AND(L146&lt;&gt;"Y",G146="數值",N146=0),"⚠ 數值需設定欄位 ","")&amp;IF(AND(L146&lt;&gt;"Y",G146="連結表單",K146=""),"⚠ 缺連結表號 ","")&amp;IF(AND(K146&lt;&gt;"",COUNTIF(可連結表單!$J$2:$J$501,K146)=0),"⚠ 連結表號不存在（需為本分項的自主檢查表） ",""))="","✓",TRIM(IF(COUNTIF(表單!$A$2:$A$500,A146)=0,"⚠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","")&amp;IF(AND(L146&lt;&gt;"Y",G146="數值",N146=0),"⚠ 數值需設定欄位 ","")&amp;IF(AND(L146&lt;&gt;"Y",G146="連結表單",K146=""),"⚠ 缺連結表號 ","")&amp;IF(AND(K146&lt;&gt;"",COUNTIF(可連結表單!$J$2:$J$501,K146)=0),"⚠ 連結表號不存在（需為本分項的自主檢查表） ",""))))</f>
        <v/>
      </c>
    </row>
    <row r="147">
      <c r="M147" s="2">
        <f>IF(A147="","",IF(B147="","共用",IF(L147="Y","排除（"&amp;B147&amp;"）",IF(SUMPRODUCT(($A$2:$A$500=A147)*($C$2:$C$500=C147)*($B$2:$B$500=""))&gt;0,"覆蓋共用（"&amp;B147&amp;"）","單元新增（"&amp;B147&amp;"）"))))</f>
        <v/>
      </c>
      <c r="N147" s="2">
        <f>IF(A147="","",COUNTIFS(數值欄位!$A$2:$A$500,A147,數值欄位!$C$2:$C$500,C147))</f>
        <v/>
      </c>
      <c r="O147" s="2">
        <f>IF(A147="","",IF(TRIM(IF(COUNTIF(表單!$A$2:$A$500,A147)=0,"⚠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","")&amp;IF(AND(L147&lt;&gt;"Y",G147="數值",N147=0),"⚠ 數值需設定欄位 ","")&amp;IF(AND(L147&lt;&gt;"Y",G147="連結表單",K147=""),"⚠ 缺連結表號 ","")&amp;IF(AND(K147&lt;&gt;"",COUNTIF(可連結表單!$J$2:$J$501,K147)=0),"⚠ 連結表號不存在（需為本分項的自主檢查表） ",""))="","✓",TRIM(IF(COUNTIF(表單!$A$2:$A$500,A147)=0,"⚠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","")&amp;IF(AND(L147&lt;&gt;"Y",G147="數值",N147=0),"⚠ 數值需設定欄位 ","")&amp;IF(AND(L147&lt;&gt;"Y",G147="連結表單",K147=""),"⚠ 缺連結表號 ","")&amp;IF(AND(K147&lt;&gt;"",COUNTIF(可連結表單!$J$2:$J$501,K147)=0),"⚠ 連結表號不存在（需為本分項的自主檢查表） ",""))))</f>
        <v/>
      </c>
    </row>
    <row r="148">
      <c r="M148" s="2">
        <f>IF(A148="","",IF(B148="","共用",IF(L148="Y","排除（"&amp;B148&amp;"）",IF(SUMPRODUCT(($A$2:$A$500=A148)*($C$2:$C$500=C148)*($B$2:$B$500=""))&gt;0,"覆蓋共用（"&amp;B148&amp;"）","單元新增（"&amp;B148&amp;"）"))))</f>
        <v/>
      </c>
      <c r="N148" s="2">
        <f>IF(A148="","",COUNTIFS(數值欄位!$A$2:$A$500,A148,數值欄位!$C$2:$C$500,C148))</f>
        <v/>
      </c>
      <c r="O148" s="2">
        <f>IF(A148="","",IF(TRIM(IF(COUNTIF(表單!$A$2:$A$500,A148)=0,"⚠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","")&amp;IF(AND(L148&lt;&gt;"Y",G148="數值",N148=0),"⚠ 數值需設定欄位 ","")&amp;IF(AND(L148&lt;&gt;"Y",G148="連結表單",K148=""),"⚠ 缺連結表號 ","")&amp;IF(AND(K148&lt;&gt;"",COUNTIF(可連結表單!$J$2:$J$501,K148)=0),"⚠ 連結表號不存在（需為本分項的自主檢查表） ",""))="","✓",TRIM(IF(COUNTIF(表單!$A$2:$A$500,A148)=0,"⚠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","")&amp;IF(AND(L148&lt;&gt;"Y",G148="數值",N148=0),"⚠ 數值需設定欄位 ","")&amp;IF(AND(L148&lt;&gt;"Y",G148="連結表單",K148=""),"⚠ 缺連結表號 ","")&amp;IF(AND(K148&lt;&gt;"",COUNTIF(可連結表單!$J$2:$J$501,K148)=0),"⚠ 連結表號不存在（需為本分項的自主檢查表） ",""))))</f>
        <v/>
      </c>
    </row>
    <row r="149">
      <c r="M149" s="2">
        <f>IF(A149="","",IF(B149="","共用",IF(L149="Y","排除（"&amp;B149&amp;"）",IF(SUMPRODUCT(($A$2:$A$500=A149)*($C$2:$C$500=C149)*($B$2:$B$500=""))&gt;0,"覆蓋共用（"&amp;B149&amp;"）","單元新增（"&amp;B149&amp;"）"))))</f>
        <v/>
      </c>
      <c r="N149" s="2">
        <f>IF(A149="","",COUNTIFS(數值欄位!$A$2:$A$500,A149,數值欄位!$C$2:$C$500,C149))</f>
        <v/>
      </c>
      <c r="O149" s="2">
        <f>IF(A149="","",IF(TRIM(IF(COUNTIF(表單!$A$2:$A$500,A149)=0,"⚠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","")&amp;IF(AND(L149&lt;&gt;"Y",G149="數值",N149=0),"⚠ 數值需設定欄位 ","")&amp;IF(AND(L149&lt;&gt;"Y",G149="連結表單",K149=""),"⚠ 缺連結表號 ","")&amp;IF(AND(K149&lt;&gt;"",COUNTIF(可連結表單!$J$2:$J$501,K149)=0),"⚠ 連結表號不存在（需為本分項的自主檢查表） ",""))="","✓",TRIM(IF(COUNTIF(表單!$A$2:$A$500,A149)=0,"⚠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","")&amp;IF(AND(L149&lt;&gt;"Y",G149="數值",N149=0),"⚠ 數值需設定欄位 ","")&amp;IF(AND(L149&lt;&gt;"Y",G149="連結表單",K149=""),"⚠ 缺連結表號 ","")&amp;IF(AND(K149&lt;&gt;"",COUNTIF(可連結表單!$J$2:$J$501,K149)=0),"⚠ 連結表號不存在（需為本分項的自主檢查表） ",""))))</f>
        <v/>
      </c>
    </row>
    <row r="150">
      <c r="M150" s="2">
        <f>IF(A150="","",IF(B150="","共用",IF(L150="Y","排除（"&amp;B150&amp;"）",IF(SUMPRODUCT(($A$2:$A$500=A150)*($C$2:$C$500=C150)*($B$2:$B$500=""))&gt;0,"覆蓋共用（"&amp;B150&amp;"）","單元新增（"&amp;B150&amp;"）"))))</f>
        <v/>
      </c>
      <c r="N150" s="2">
        <f>IF(A150="","",COUNTIFS(數值欄位!$A$2:$A$500,A150,數值欄位!$C$2:$C$500,C150))</f>
        <v/>
      </c>
      <c r="O150" s="2">
        <f>IF(A150="","",IF(TRIM(IF(COUNTIF(表單!$A$2:$A$500,A150)=0,"⚠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","")&amp;IF(AND(L150&lt;&gt;"Y",G150="數值",N150=0),"⚠ 數值需設定欄位 ","")&amp;IF(AND(L150&lt;&gt;"Y",G150="連結表單",K150=""),"⚠ 缺連結表號 ","")&amp;IF(AND(K150&lt;&gt;"",COUNTIF(可連結表單!$J$2:$J$501,K150)=0),"⚠ 連結表號不存在（需為本分項的自主檢查表） ",""))="","✓",TRIM(IF(COUNTIF(表單!$A$2:$A$500,A150)=0,"⚠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","")&amp;IF(AND(L150&lt;&gt;"Y",G150="數值",N150=0),"⚠ 數值需設定欄位 ","")&amp;IF(AND(L150&lt;&gt;"Y",G150="連結表單",K150=""),"⚠ 缺連結表號 ","")&amp;IF(AND(K150&lt;&gt;"",COUNTIF(可連結表單!$J$2:$J$501,K150)=0),"⚠ 連結表號不存在（需為本分項的自主檢查表） ",""))))</f>
        <v/>
      </c>
    </row>
    <row r="151">
      <c r="M151" s="2">
        <f>IF(A151="","",IF(B151="","共用",IF(L151="Y","排除（"&amp;B151&amp;"）",IF(SUMPRODUCT(($A$2:$A$500=A151)*($C$2:$C$500=C151)*($B$2:$B$500=""))&gt;0,"覆蓋共用（"&amp;B151&amp;"）","單元新增（"&amp;B151&amp;"）"))))</f>
        <v/>
      </c>
      <c r="N151" s="2">
        <f>IF(A151="","",COUNTIFS(數值欄位!$A$2:$A$500,A151,數值欄位!$C$2:$C$500,C151))</f>
        <v/>
      </c>
      <c r="O151" s="2">
        <f>IF(A151="","",IF(TRIM(IF(COUNTIF(表單!$A$2:$A$500,A151)=0,"⚠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","")&amp;IF(AND(L151&lt;&gt;"Y",G151="數值",N151=0),"⚠ 數值需設定欄位 ","")&amp;IF(AND(L151&lt;&gt;"Y",G151="連結表單",K151=""),"⚠ 缺連結表號 ","")&amp;IF(AND(K151&lt;&gt;"",COUNTIF(可連結表單!$J$2:$J$501,K151)=0),"⚠ 連結表號不存在（需為本分項的自主檢查表） ",""))="","✓",TRIM(IF(COUNTIF(表單!$A$2:$A$500,A151)=0,"⚠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","")&amp;IF(AND(L151&lt;&gt;"Y",G151="數值",N151=0),"⚠ 數值需設定欄位 ","")&amp;IF(AND(L151&lt;&gt;"Y",G151="連結表單",K151=""),"⚠ 缺連結表號 ","")&amp;IF(AND(K151&lt;&gt;"",COUNTIF(可連結表單!$J$2:$J$501,K151)=0),"⚠ 連結表號不存在（需為本分項的自主檢查表） ",""))))</f>
        <v/>
      </c>
    </row>
    <row r="152">
      <c r="M152" s="2">
        <f>IF(A152="","",IF(B152="","共用",IF(L152="Y","排除（"&amp;B152&amp;"）",IF(SUMPRODUCT(($A$2:$A$500=A152)*($C$2:$C$500=C152)*($B$2:$B$500=""))&gt;0,"覆蓋共用（"&amp;B152&amp;"）","單元新增（"&amp;B152&amp;"）"))))</f>
        <v/>
      </c>
      <c r="N152" s="2">
        <f>IF(A152="","",COUNTIFS(數值欄位!$A$2:$A$500,A152,數值欄位!$C$2:$C$500,C152))</f>
        <v/>
      </c>
      <c r="O152" s="2">
        <f>IF(A152="","",IF(TRIM(IF(COUNTIF(表單!$A$2:$A$500,A152)=0,"⚠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","")&amp;IF(AND(L152&lt;&gt;"Y",G152="數值",N152=0),"⚠ 數值需設定欄位 ","")&amp;IF(AND(L152&lt;&gt;"Y",G152="連結表單",K152=""),"⚠ 缺連結表號 ","")&amp;IF(AND(K152&lt;&gt;"",COUNTIF(可連結表單!$J$2:$J$501,K152)=0),"⚠ 連結表號不存在（需為本分項的自主檢查表） ",""))="","✓",TRIM(IF(COUNTIF(表單!$A$2:$A$500,A152)=0,"⚠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","")&amp;IF(AND(L152&lt;&gt;"Y",G152="數值",N152=0),"⚠ 數值需設定欄位 ","")&amp;IF(AND(L152&lt;&gt;"Y",G152="連結表單",K152=""),"⚠ 缺連結表號 ","")&amp;IF(AND(K152&lt;&gt;"",COUNTIF(可連結表單!$J$2:$J$501,K152)=0),"⚠ 連結表號不存在（需為本分項的自主檢查表） ",""))))</f>
        <v/>
      </c>
    </row>
    <row r="153">
      <c r="M153" s="2">
        <f>IF(A153="","",IF(B153="","共用",IF(L153="Y","排除（"&amp;B153&amp;"）",IF(SUMPRODUCT(($A$2:$A$500=A153)*($C$2:$C$500=C153)*($B$2:$B$500=""))&gt;0,"覆蓋共用（"&amp;B153&amp;"）","單元新增（"&amp;B153&amp;"）"))))</f>
        <v/>
      </c>
      <c r="N153" s="2">
        <f>IF(A153="","",COUNTIFS(數值欄位!$A$2:$A$500,A153,數值欄位!$C$2:$C$500,C153))</f>
        <v/>
      </c>
      <c r="O153" s="2">
        <f>IF(A153="","",IF(TRIM(IF(COUNTIF(表單!$A$2:$A$500,A153)=0,"⚠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","")&amp;IF(AND(L153&lt;&gt;"Y",G153="數值",N153=0),"⚠ 數值需設定欄位 ","")&amp;IF(AND(L153&lt;&gt;"Y",G153="連結表單",K153=""),"⚠ 缺連結表號 ","")&amp;IF(AND(K153&lt;&gt;"",COUNTIF(可連結表單!$J$2:$J$501,K153)=0),"⚠ 連結表號不存在（需為本分項的自主檢查表） ",""))="","✓",TRIM(IF(COUNTIF(表單!$A$2:$A$500,A153)=0,"⚠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","")&amp;IF(AND(L153&lt;&gt;"Y",G153="數值",N153=0),"⚠ 數值需設定欄位 ","")&amp;IF(AND(L153&lt;&gt;"Y",G153="連結表單",K153=""),"⚠ 缺連結表號 ","")&amp;IF(AND(K153&lt;&gt;"",COUNTIF(可連結表單!$J$2:$J$501,K153)=0),"⚠ 連結表號不存在（需為本分項的自主檢查表） ",""))))</f>
        <v/>
      </c>
    </row>
    <row r="154">
      <c r="M154" s="2">
        <f>IF(A154="","",IF(B154="","共用",IF(L154="Y","排除（"&amp;B154&amp;"）",IF(SUMPRODUCT(($A$2:$A$500=A154)*($C$2:$C$500=C154)*($B$2:$B$500=""))&gt;0,"覆蓋共用（"&amp;B154&amp;"）","單元新增（"&amp;B154&amp;"）"))))</f>
        <v/>
      </c>
      <c r="N154" s="2">
        <f>IF(A154="","",COUNTIFS(數值欄位!$A$2:$A$500,A154,數值欄位!$C$2:$C$500,C154))</f>
        <v/>
      </c>
      <c r="O154" s="2">
        <f>IF(A154="","",IF(TRIM(IF(COUNTIF(表單!$A$2:$A$500,A154)=0,"⚠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","")&amp;IF(AND(L154&lt;&gt;"Y",G154="數值",N154=0),"⚠ 數值需設定欄位 ","")&amp;IF(AND(L154&lt;&gt;"Y",G154="連結表單",K154=""),"⚠ 缺連結表號 ","")&amp;IF(AND(K154&lt;&gt;"",COUNTIF(可連結表單!$J$2:$J$501,K154)=0),"⚠ 連結表號不存在（需為本分項的自主檢查表） ",""))="","✓",TRIM(IF(COUNTIF(表單!$A$2:$A$500,A154)=0,"⚠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","")&amp;IF(AND(L154&lt;&gt;"Y",G154="數值",N154=0),"⚠ 數值需設定欄位 ","")&amp;IF(AND(L154&lt;&gt;"Y",G154="連結表單",K154=""),"⚠ 缺連結表號 ","")&amp;IF(AND(K154&lt;&gt;"",COUNTIF(可連結表單!$J$2:$J$501,K154)=0),"⚠ 連結表號不存在（需為本分項的自主檢查表） ",""))))</f>
        <v/>
      </c>
    </row>
    <row r="155">
      <c r="M155" s="2">
        <f>IF(A155="","",IF(B155="","共用",IF(L155="Y","排除（"&amp;B155&amp;"）",IF(SUMPRODUCT(($A$2:$A$500=A155)*($C$2:$C$500=C155)*($B$2:$B$500=""))&gt;0,"覆蓋共用（"&amp;B155&amp;"）","單元新增（"&amp;B155&amp;"）"))))</f>
        <v/>
      </c>
      <c r="N155" s="2">
        <f>IF(A155="","",COUNTIFS(數值欄位!$A$2:$A$500,A155,數值欄位!$C$2:$C$500,C155))</f>
        <v/>
      </c>
      <c r="O155" s="2">
        <f>IF(A155="","",IF(TRIM(IF(COUNTIF(表單!$A$2:$A$500,A155)=0,"⚠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","")&amp;IF(AND(L155&lt;&gt;"Y",G155="數值",N155=0),"⚠ 數值需設定欄位 ","")&amp;IF(AND(L155&lt;&gt;"Y",G155="連結表單",K155=""),"⚠ 缺連結表號 ","")&amp;IF(AND(K155&lt;&gt;"",COUNTIF(可連結表單!$J$2:$J$501,K155)=0),"⚠ 連結表號不存在（需為本分項的自主檢查表） ",""))="","✓",TRIM(IF(COUNTIF(表單!$A$2:$A$500,A155)=0,"⚠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","")&amp;IF(AND(L155&lt;&gt;"Y",G155="數值",N155=0),"⚠ 數值需設定欄位 ","")&amp;IF(AND(L155&lt;&gt;"Y",G155="連結表單",K155=""),"⚠ 缺連結表號 ","")&amp;IF(AND(K155&lt;&gt;"",COUNTIF(可連結表單!$J$2:$J$501,K155)=0),"⚠ 連結表號不存在（需為本分項的自主檢查表） ",""))))</f>
        <v/>
      </c>
    </row>
    <row r="156">
      <c r="M156" s="2">
        <f>IF(A156="","",IF(B156="","共用",IF(L156="Y","排除（"&amp;B156&amp;"）",IF(SUMPRODUCT(($A$2:$A$500=A156)*($C$2:$C$500=C156)*($B$2:$B$500=""))&gt;0,"覆蓋共用（"&amp;B156&amp;"）","單元新增（"&amp;B156&amp;"）"))))</f>
        <v/>
      </c>
      <c r="N156" s="2">
        <f>IF(A156="","",COUNTIFS(數值欄位!$A$2:$A$500,A156,數值欄位!$C$2:$C$500,C156))</f>
        <v/>
      </c>
      <c r="O156" s="2">
        <f>IF(A156="","",IF(TRIM(IF(COUNTIF(表單!$A$2:$A$500,A156)=0,"⚠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","")&amp;IF(AND(L156&lt;&gt;"Y",G156="數值",N156=0),"⚠ 數值需設定欄位 ","")&amp;IF(AND(L156&lt;&gt;"Y",G156="連結表單",K156=""),"⚠ 缺連結表號 ","")&amp;IF(AND(K156&lt;&gt;"",COUNTIF(可連結表單!$J$2:$J$501,K156)=0),"⚠ 連結表號不存在（需為本分項的自主檢查表） ",""))="","✓",TRIM(IF(COUNTIF(表單!$A$2:$A$500,A156)=0,"⚠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","")&amp;IF(AND(L156&lt;&gt;"Y",G156="數值",N156=0),"⚠ 數值需設定欄位 ","")&amp;IF(AND(L156&lt;&gt;"Y",G156="連結表單",K156=""),"⚠ 缺連結表號 ","")&amp;IF(AND(K156&lt;&gt;"",COUNTIF(可連結表單!$J$2:$J$501,K156)=0),"⚠ 連結表號不存在（需為本分項的自主檢查表） ",""))))</f>
        <v/>
      </c>
    </row>
    <row r="157">
      <c r="M157" s="2">
        <f>IF(A157="","",IF(B157="","共用",IF(L157="Y","排除（"&amp;B157&amp;"）",IF(SUMPRODUCT(($A$2:$A$500=A157)*($C$2:$C$500=C157)*($B$2:$B$500=""))&gt;0,"覆蓋共用（"&amp;B157&amp;"）","單元新增（"&amp;B157&amp;"）"))))</f>
        <v/>
      </c>
      <c r="N157" s="2">
        <f>IF(A157="","",COUNTIFS(數值欄位!$A$2:$A$500,A157,數值欄位!$C$2:$C$500,C157))</f>
        <v/>
      </c>
      <c r="O157" s="2">
        <f>IF(A157="","",IF(TRIM(IF(COUNTIF(表單!$A$2:$A$500,A157)=0,"⚠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","")&amp;IF(AND(L157&lt;&gt;"Y",G157="數值",N157=0),"⚠ 數值需設定欄位 ","")&amp;IF(AND(L157&lt;&gt;"Y",G157="連結表單",K157=""),"⚠ 缺連結表號 ","")&amp;IF(AND(K157&lt;&gt;"",COUNTIF(可連結表單!$J$2:$J$501,K157)=0),"⚠ 連結表號不存在（需為本分項的自主檢查表） ",""))="","✓",TRIM(IF(COUNTIF(表單!$A$2:$A$500,A157)=0,"⚠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","")&amp;IF(AND(L157&lt;&gt;"Y",G157="數值",N157=0),"⚠ 數值需設定欄位 ","")&amp;IF(AND(L157&lt;&gt;"Y",G157="連結表單",K157=""),"⚠ 缺連結表號 ","")&amp;IF(AND(K157&lt;&gt;"",COUNTIF(可連結表單!$J$2:$J$501,K157)=0),"⚠ 連結表號不存在（需為本分項的自主檢查表） ",""))))</f>
        <v/>
      </c>
    </row>
    <row r="158">
      <c r="M158" s="2">
        <f>IF(A158="","",IF(B158="","共用",IF(L158="Y","排除（"&amp;B158&amp;"）",IF(SUMPRODUCT(($A$2:$A$500=A158)*($C$2:$C$500=C158)*($B$2:$B$500=""))&gt;0,"覆蓋共用（"&amp;B158&amp;"）","單元新增（"&amp;B158&amp;"）"))))</f>
        <v/>
      </c>
      <c r="N158" s="2">
        <f>IF(A158="","",COUNTIFS(數值欄位!$A$2:$A$500,A158,數值欄位!$C$2:$C$500,C158))</f>
        <v/>
      </c>
      <c r="O158" s="2">
        <f>IF(A158="","",IF(TRIM(IF(COUNTIF(表單!$A$2:$A$500,A158)=0,"⚠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","")&amp;IF(AND(L158&lt;&gt;"Y",G158="數值",N158=0),"⚠ 數值需設定欄位 ","")&amp;IF(AND(L158&lt;&gt;"Y",G158="連結表單",K158=""),"⚠ 缺連結表號 ","")&amp;IF(AND(K158&lt;&gt;"",COUNTIF(可連結表單!$J$2:$J$501,K158)=0),"⚠ 連結表號不存在（需為本分項的自主檢查表） ",""))="","✓",TRIM(IF(COUNTIF(表單!$A$2:$A$500,A158)=0,"⚠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","")&amp;IF(AND(L158&lt;&gt;"Y",G158="數值",N158=0),"⚠ 數值需設定欄位 ","")&amp;IF(AND(L158&lt;&gt;"Y",G158="連結表單",K158=""),"⚠ 缺連結表號 ","")&amp;IF(AND(K158&lt;&gt;"",COUNTIF(可連結表單!$J$2:$J$501,K158)=0),"⚠ 連結表號不存在（需為本分項的自主檢查表） ",""))))</f>
        <v/>
      </c>
    </row>
    <row r="159">
      <c r="M159" s="2">
        <f>IF(A159="","",IF(B159="","共用",IF(L159="Y","排除（"&amp;B159&amp;"）",IF(SUMPRODUCT(($A$2:$A$500=A159)*($C$2:$C$500=C159)*($B$2:$B$500=""))&gt;0,"覆蓋共用（"&amp;B159&amp;"）","單元新增（"&amp;B159&amp;"）"))))</f>
        <v/>
      </c>
      <c r="N159" s="2">
        <f>IF(A159="","",COUNTIFS(數值欄位!$A$2:$A$500,A159,數值欄位!$C$2:$C$500,C159))</f>
        <v/>
      </c>
      <c r="O159" s="2">
        <f>IF(A159="","",IF(TRIM(IF(COUNTIF(表單!$A$2:$A$500,A159)=0,"⚠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","")&amp;IF(AND(L159&lt;&gt;"Y",G159="數值",N159=0),"⚠ 數值需設定欄位 ","")&amp;IF(AND(L159&lt;&gt;"Y",G159="連結表單",K159=""),"⚠ 缺連結表號 ","")&amp;IF(AND(K159&lt;&gt;"",COUNTIF(可連結表單!$J$2:$J$501,K159)=0),"⚠ 連結表號不存在（需為本分項的自主檢查表） ",""))="","✓",TRIM(IF(COUNTIF(表單!$A$2:$A$500,A159)=0,"⚠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","")&amp;IF(AND(L159&lt;&gt;"Y",G159="數值",N159=0),"⚠ 數值需設定欄位 ","")&amp;IF(AND(L159&lt;&gt;"Y",G159="連結表單",K159=""),"⚠ 缺連結表號 ","")&amp;IF(AND(K159&lt;&gt;"",COUNTIF(可連結表單!$J$2:$J$501,K159)=0),"⚠ 連結表號不存在（需為本分項的自主檢查表） ",""))))</f>
        <v/>
      </c>
    </row>
    <row r="160">
      <c r="M160" s="2">
        <f>IF(A160="","",IF(B160="","共用",IF(L160="Y","排除（"&amp;B160&amp;"）",IF(SUMPRODUCT(($A$2:$A$500=A160)*($C$2:$C$500=C160)*($B$2:$B$500=""))&gt;0,"覆蓋共用（"&amp;B160&amp;"）","單元新增（"&amp;B160&amp;"）"))))</f>
        <v/>
      </c>
      <c r="N160" s="2">
        <f>IF(A160="","",COUNTIFS(數值欄位!$A$2:$A$500,A160,數值欄位!$C$2:$C$500,C160))</f>
        <v/>
      </c>
      <c r="O160" s="2">
        <f>IF(A160="","",IF(TRIM(IF(COUNTIF(表單!$A$2:$A$500,A160)=0,"⚠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","")&amp;IF(AND(L160&lt;&gt;"Y",G160="數值",N160=0),"⚠ 數值需設定欄位 ","")&amp;IF(AND(L160&lt;&gt;"Y",G160="連結表單",K160=""),"⚠ 缺連結表號 ","")&amp;IF(AND(K160&lt;&gt;"",COUNTIF(可連結表單!$J$2:$J$501,K160)=0),"⚠ 連結表號不存在（需為本分項的自主檢查表） ",""))="","✓",TRIM(IF(COUNTIF(表單!$A$2:$A$500,A160)=0,"⚠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","")&amp;IF(AND(L160&lt;&gt;"Y",G160="數值",N160=0),"⚠ 數值需設定欄位 ","")&amp;IF(AND(L160&lt;&gt;"Y",G160="連結表單",K160=""),"⚠ 缺連結表號 ","")&amp;IF(AND(K160&lt;&gt;"",COUNTIF(可連結表單!$J$2:$J$501,K160)=0),"⚠ 連結表號不存在（需為本分項的自主檢查表） ",""))))</f>
        <v/>
      </c>
    </row>
    <row r="161">
      <c r="M161" s="2">
        <f>IF(A161="","",IF(B161="","共用",IF(L161="Y","排除（"&amp;B161&amp;"）",IF(SUMPRODUCT(($A$2:$A$500=A161)*($C$2:$C$500=C161)*($B$2:$B$500=""))&gt;0,"覆蓋共用（"&amp;B161&amp;"）","單元新增（"&amp;B161&amp;"）"))))</f>
        <v/>
      </c>
      <c r="N161" s="2">
        <f>IF(A161="","",COUNTIFS(數值欄位!$A$2:$A$500,A161,數值欄位!$C$2:$C$500,C161))</f>
        <v/>
      </c>
      <c r="O161" s="2">
        <f>IF(A161="","",IF(TRIM(IF(COUNTIF(表單!$A$2:$A$500,A161)=0,"⚠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","")&amp;IF(AND(L161&lt;&gt;"Y",G161="數值",N161=0),"⚠ 數值需設定欄位 ","")&amp;IF(AND(L161&lt;&gt;"Y",G161="連結表單",K161=""),"⚠ 缺連結表號 ","")&amp;IF(AND(K161&lt;&gt;"",COUNTIF(可連結表單!$J$2:$J$501,K161)=0),"⚠ 連結表號不存在（需為本分項的自主檢查表） ",""))="","✓",TRIM(IF(COUNTIF(表單!$A$2:$A$500,A161)=0,"⚠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","")&amp;IF(AND(L161&lt;&gt;"Y",G161="數值",N161=0),"⚠ 數值需設定欄位 ","")&amp;IF(AND(L161&lt;&gt;"Y",G161="連結表單",K161=""),"⚠ 缺連結表號 ","")&amp;IF(AND(K161&lt;&gt;"",COUNTIF(可連結表單!$J$2:$J$501,K161)=0),"⚠ 連結表號不存在（需為本分項的自主檢查表） ",""))))</f>
        <v/>
      </c>
    </row>
    <row r="162">
      <c r="M162" s="2">
        <f>IF(A162="","",IF(B162="","共用",IF(L162="Y","排除（"&amp;B162&amp;"）",IF(SUMPRODUCT(($A$2:$A$500=A162)*($C$2:$C$500=C162)*($B$2:$B$500=""))&gt;0,"覆蓋共用（"&amp;B162&amp;"）","單元新增（"&amp;B162&amp;"）"))))</f>
        <v/>
      </c>
      <c r="N162" s="2">
        <f>IF(A162="","",COUNTIFS(數值欄位!$A$2:$A$500,A162,數值欄位!$C$2:$C$500,C162))</f>
        <v/>
      </c>
      <c r="O162" s="2">
        <f>IF(A162="","",IF(TRIM(IF(COUNTIF(表單!$A$2:$A$500,A162)=0,"⚠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","")&amp;IF(AND(L162&lt;&gt;"Y",G162="數值",N162=0),"⚠ 數值需設定欄位 ","")&amp;IF(AND(L162&lt;&gt;"Y",G162="連結表單",K162=""),"⚠ 缺連結表號 ","")&amp;IF(AND(K162&lt;&gt;"",COUNTIF(可連結表單!$J$2:$J$501,K162)=0),"⚠ 連結表號不存在（需為本分項的自主檢查表） ",""))="","✓",TRIM(IF(COUNTIF(表單!$A$2:$A$500,A162)=0,"⚠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","")&amp;IF(AND(L162&lt;&gt;"Y",G162="數值",N162=0),"⚠ 數值需設定欄位 ","")&amp;IF(AND(L162&lt;&gt;"Y",G162="連結表單",K162=""),"⚠ 缺連結表號 ","")&amp;IF(AND(K162&lt;&gt;"",COUNTIF(可連結表單!$J$2:$J$501,K162)=0),"⚠ 連結表號不存在（需為本分項的自主檢查表） ",""))))</f>
        <v/>
      </c>
    </row>
    <row r="163">
      <c r="M163" s="2">
        <f>IF(A163="","",IF(B163="","共用",IF(L163="Y","排除（"&amp;B163&amp;"）",IF(SUMPRODUCT(($A$2:$A$500=A163)*($C$2:$C$500=C163)*($B$2:$B$500=""))&gt;0,"覆蓋共用（"&amp;B163&amp;"）","單元新增（"&amp;B163&amp;"）"))))</f>
        <v/>
      </c>
      <c r="N163" s="2">
        <f>IF(A163="","",COUNTIFS(數值欄位!$A$2:$A$500,A163,數值欄位!$C$2:$C$500,C163))</f>
        <v/>
      </c>
      <c r="O163" s="2">
        <f>IF(A163="","",IF(TRIM(IF(COUNTIF(表單!$A$2:$A$500,A163)=0,"⚠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","")&amp;IF(AND(L163&lt;&gt;"Y",G163="數值",N163=0),"⚠ 數值需設定欄位 ","")&amp;IF(AND(L163&lt;&gt;"Y",G163="連結表單",K163=""),"⚠ 缺連結表號 ","")&amp;IF(AND(K163&lt;&gt;"",COUNTIF(可連結表單!$J$2:$J$501,K163)=0),"⚠ 連結表號不存在（需為本分項的自主檢查表） ",""))="","✓",TRIM(IF(COUNTIF(表單!$A$2:$A$500,A163)=0,"⚠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","")&amp;IF(AND(L163&lt;&gt;"Y",G163="數值",N163=0),"⚠ 數值需設定欄位 ","")&amp;IF(AND(L163&lt;&gt;"Y",G163="連結表單",K163=""),"⚠ 缺連結表號 ","")&amp;IF(AND(K163&lt;&gt;"",COUNTIF(可連結表單!$J$2:$J$501,K163)=0),"⚠ 連結表號不存在（需為本分項的自主檢查表） ",""))))</f>
        <v/>
      </c>
    </row>
    <row r="164">
      <c r="M164" s="2">
        <f>IF(A164="","",IF(B164="","共用",IF(L164="Y","排除（"&amp;B164&amp;"）",IF(SUMPRODUCT(($A$2:$A$500=A164)*($C$2:$C$500=C164)*($B$2:$B$500=""))&gt;0,"覆蓋共用（"&amp;B164&amp;"）","單元新增（"&amp;B164&amp;"）"))))</f>
        <v/>
      </c>
      <c r="N164" s="2">
        <f>IF(A164="","",COUNTIFS(數值欄位!$A$2:$A$500,A164,數值欄位!$C$2:$C$500,C164))</f>
        <v/>
      </c>
      <c r="O164" s="2">
        <f>IF(A164="","",IF(TRIM(IF(COUNTIF(表單!$A$2:$A$500,A164)=0,"⚠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","")&amp;IF(AND(L164&lt;&gt;"Y",G164="數值",N164=0),"⚠ 數值需設定欄位 ","")&amp;IF(AND(L164&lt;&gt;"Y",G164="連結表單",K164=""),"⚠ 缺連結表號 ","")&amp;IF(AND(K164&lt;&gt;"",COUNTIF(可連結表單!$J$2:$J$501,K164)=0),"⚠ 連結表號不存在（需為本分項的自主檢查表） ",""))="","✓",TRIM(IF(COUNTIF(表單!$A$2:$A$500,A164)=0,"⚠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","")&amp;IF(AND(L164&lt;&gt;"Y",G164="數值",N164=0),"⚠ 數值需設定欄位 ","")&amp;IF(AND(L164&lt;&gt;"Y",G164="連結表單",K164=""),"⚠ 缺連結表號 ","")&amp;IF(AND(K164&lt;&gt;"",COUNTIF(可連結表單!$J$2:$J$501,K164)=0),"⚠ 連結表號不存在（需為本分項的自主檢查表） ",""))))</f>
        <v/>
      </c>
    </row>
    <row r="165">
      <c r="M165" s="2">
        <f>IF(A165="","",IF(B165="","共用",IF(L165="Y","排除（"&amp;B165&amp;"）",IF(SUMPRODUCT(($A$2:$A$500=A165)*($C$2:$C$500=C165)*($B$2:$B$500=""))&gt;0,"覆蓋共用（"&amp;B165&amp;"）","單元新增（"&amp;B165&amp;"）"))))</f>
        <v/>
      </c>
      <c r="N165" s="2">
        <f>IF(A165="","",COUNTIFS(數值欄位!$A$2:$A$500,A165,數值欄位!$C$2:$C$500,C165))</f>
        <v/>
      </c>
      <c r="O165" s="2">
        <f>IF(A165="","",IF(TRIM(IF(COUNTIF(表單!$A$2:$A$500,A165)=0,"⚠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","")&amp;IF(AND(L165&lt;&gt;"Y",G165="數值",N165=0),"⚠ 數值需設定欄位 ","")&amp;IF(AND(L165&lt;&gt;"Y",G165="連結表單",K165=""),"⚠ 缺連結表號 ","")&amp;IF(AND(K165&lt;&gt;"",COUNTIF(可連結表單!$J$2:$J$501,K165)=0),"⚠ 連結表號不存在（需為本分項的自主檢查表） ",""))="","✓",TRIM(IF(COUNTIF(表單!$A$2:$A$500,A165)=0,"⚠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","")&amp;IF(AND(L165&lt;&gt;"Y",G165="數值",N165=0),"⚠ 數值需設定欄位 ","")&amp;IF(AND(L165&lt;&gt;"Y",G165="連結表單",K165=""),"⚠ 缺連結表號 ","")&amp;IF(AND(K165&lt;&gt;"",COUNTIF(可連結表單!$J$2:$J$501,K165)=0),"⚠ 連結表號不存在（需為本分項的自主檢查表） ",""))))</f>
        <v/>
      </c>
    </row>
    <row r="166">
      <c r="M166" s="2">
        <f>IF(A166="","",IF(B166="","共用",IF(L166="Y","排除（"&amp;B166&amp;"）",IF(SUMPRODUCT(($A$2:$A$500=A166)*($C$2:$C$500=C166)*($B$2:$B$500=""))&gt;0,"覆蓋共用（"&amp;B166&amp;"）","單元新增（"&amp;B166&amp;"）"))))</f>
        <v/>
      </c>
      <c r="N166" s="2">
        <f>IF(A166="","",COUNTIFS(數值欄位!$A$2:$A$500,A166,數值欄位!$C$2:$C$500,C166))</f>
        <v/>
      </c>
      <c r="O166" s="2">
        <f>IF(A166="","",IF(TRIM(IF(COUNTIF(表單!$A$2:$A$500,A166)=0,"⚠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","")&amp;IF(AND(L166&lt;&gt;"Y",G166="數值",N166=0),"⚠ 數值需設定欄位 ","")&amp;IF(AND(L166&lt;&gt;"Y",G166="連結表單",K166=""),"⚠ 缺連結表號 ","")&amp;IF(AND(K166&lt;&gt;"",COUNTIF(可連結表單!$J$2:$J$501,K166)=0),"⚠ 連結表號不存在（需為本分項的自主檢查表） ",""))="","✓",TRIM(IF(COUNTIF(表單!$A$2:$A$500,A166)=0,"⚠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","")&amp;IF(AND(L166&lt;&gt;"Y",G166="數值",N166=0),"⚠ 數值需設定欄位 ","")&amp;IF(AND(L166&lt;&gt;"Y",G166="連結表單",K166=""),"⚠ 缺連結表號 ","")&amp;IF(AND(K166&lt;&gt;"",COUNTIF(可連結表單!$J$2:$J$501,K166)=0),"⚠ 連結表號不存在（需為本分項的自主檢查表） ",""))))</f>
        <v/>
      </c>
    </row>
    <row r="167">
      <c r="M167" s="2">
        <f>IF(A167="","",IF(B167="","共用",IF(L167="Y","排除（"&amp;B167&amp;"）",IF(SUMPRODUCT(($A$2:$A$500=A167)*($C$2:$C$500=C167)*($B$2:$B$500=""))&gt;0,"覆蓋共用（"&amp;B167&amp;"）","單元新增（"&amp;B167&amp;"）"))))</f>
        <v/>
      </c>
      <c r="N167" s="2">
        <f>IF(A167="","",COUNTIFS(數值欄位!$A$2:$A$500,A167,數值欄位!$C$2:$C$500,C167))</f>
        <v/>
      </c>
      <c r="O167" s="2">
        <f>IF(A167="","",IF(TRIM(IF(COUNTIF(表單!$A$2:$A$500,A167)=0,"⚠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","")&amp;IF(AND(L167&lt;&gt;"Y",G167="數值",N167=0),"⚠ 數值需設定欄位 ","")&amp;IF(AND(L167&lt;&gt;"Y",G167="連結表單",K167=""),"⚠ 缺連結表號 ","")&amp;IF(AND(K167&lt;&gt;"",COUNTIF(可連結表單!$J$2:$J$501,K167)=0),"⚠ 連結表號不存在（需為本分項的自主檢查表） ",""))="","✓",TRIM(IF(COUNTIF(表單!$A$2:$A$500,A167)=0,"⚠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","")&amp;IF(AND(L167&lt;&gt;"Y",G167="數值",N167=0),"⚠ 數值需設定欄位 ","")&amp;IF(AND(L167&lt;&gt;"Y",G167="連結表單",K167=""),"⚠ 缺連結表號 ","")&amp;IF(AND(K167&lt;&gt;"",COUNTIF(可連結表單!$J$2:$J$501,K167)=0),"⚠ 連結表號不存在（需為本分項的自主檢查表） ",""))))</f>
        <v/>
      </c>
    </row>
    <row r="168">
      <c r="M168" s="2">
        <f>IF(A168="","",IF(B168="","共用",IF(L168="Y","排除（"&amp;B168&amp;"）",IF(SUMPRODUCT(($A$2:$A$500=A168)*($C$2:$C$500=C168)*($B$2:$B$500=""))&gt;0,"覆蓋共用（"&amp;B168&amp;"）","單元新增（"&amp;B168&amp;"）"))))</f>
        <v/>
      </c>
      <c r="N168" s="2">
        <f>IF(A168="","",COUNTIFS(數值欄位!$A$2:$A$500,A168,數值欄位!$C$2:$C$500,C168))</f>
        <v/>
      </c>
      <c r="O168" s="2">
        <f>IF(A168="","",IF(TRIM(IF(COUNTIF(表單!$A$2:$A$500,A168)=0,"⚠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","")&amp;IF(AND(L168&lt;&gt;"Y",G168="數值",N168=0),"⚠ 數值需設定欄位 ","")&amp;IF(AND(L168&lt;&gt;"Y",G168="連結表單",K168=""),"⚠ 缺連結表號 ","")&amp;IF(AND(K168&lt;&gt;"",COUNTIF(可連結表單!$J$2:$J$501,K168)=0),"⚠ 連結表號不存在（需為本分項的自主檢查表） ",""))="","✓",TRIM(IF(COUNTIF(表單!$A$2:$A$500,A168)=0,"⚠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","")&amp;IF(AND(L168&lt;&gt;"Y",G168="數值",N168=0),"⚠ 數值需設定欄位 ","")&amp;IF(AND(L168&lt;&gt;"Y",G168="連結表單",K168=""),"⚠ 缺連結表號 ","")&amp;IF(AND(K168&lt;&gt;"",COUNTIF(可連結表單!$J$2:$J$501,K168)=0),"⚠ 連結表號不存在（需為本分項的自主檢查表） ",""))))</f>
        <v/>
      </c>
    </row>
    <row r="169">
      <c r="M169" s="2">
        <f>IF(A169="","",IF(B169="","共用",IF(L169="Y","排除（"&amp;B169&amp;"）",IF(SUMPRODUCT(($A$2:$A$500=A169)*($C$2:$C$500=C169)*($B$2:$B$500=""))&gt;0,"覆蓋共用（"&amp;B169&amp;"）","單元新增（"&amp;B169&amp;"）"))))</f>
        <v/>
      </c>
      <c r="N169" s="2">
        <f>IF(A169="","",COUNTIFS(數值欄位!$A$2:$A$500,A169,數值欄位!$C$2:$C$500,C169))</f>
        <v/>
      </c>
      <c r="O169" s="2">
        <f>IF(A169="","",IF(TRIM(IF(COUNTIF(表單!$A$2:$A$500,A169)=0,"⚠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","")&amp;IF(AND(L169&lt;&gt;"Y",G169="數值",N169=0),"⚠ 數值需設定欄位 ","")&amp;IF(AND(L169&lt;&gt;"Y",G169="連結表單",K169=""),"⚠ 缺連結表號 ","")&amp;IF(AND(K169&lt;&gt;"",COUNTIF(可連結表單!$J$2:$J$501,K169)=0),"⚠ 連結表號不存在（需為本分項的自主檢查表） ",""))="","✓",TRIM(IF(COUNTIF(表單!$A$2:$A$500,A169)=0,"⚠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","")&amp;IF(AND(L169&lt;&gt;"Y",G169="數值",N169=0),"⚠ 數值需設定欄位 ","")&amp;IF(AND(L169&lt;&gt;"Y",G169="連結表單",K169=""),"⚠ 缺連結表號 ","")&amp;IF(AND(K169&lt;&gt;"",COUNTIF(可連結表單!$J$2:$J$501,K169)=0),"⚠ 連結表號不存在（需為本分項的自主檢查表） ",""))))</f>
        <v/>
      </c>
    </row>
    <row r="170">
      <c r="M170" s="2">
        <f>IF(A170="","",IF(B170="","共用",IF(L170="Y","排除（"&amp;B170&amp;"）",IF(SUMPRODUCT(($A$2:$A$500=A170)*($C$2:$C$500=C170)*($B$2:$B$500=""))&gt;0,"覆蓋共用（"&amp;B170&amp;"）","單元新增（"&amp;B170&amp;"）"))))</f>
        <v/>
      </c>
      <c r="N170" s="2">
        <f>IF(A170="","",COUNTIFS(數值欄位!$A$2:$A$500,A170,數值欄位!$C$2:$C$500,C170))</f>
        <v/>
      </c>
      <c r="O170" s="2">
        <f>IF(A170="","",IF(TRIM(IF(COUNTIF(表單!$A$2:$A$500,A170)=0,"⚠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","")&amp;IF(AND(L170&lt;&gt;"Y",G170="數值",N170=0),"⚠ 數值需設定欄位 ","")&amp;IF(AND(L170&lt;&gt;"Y",G170="連結表單",K170=""),"⚠ 缺連結表號 ","")&amp;IF(AND(K170&lt;&gt;"",COUNTIF(可連結表單!$J$2:$J$501,K170)=0),"⚠ 連結表號不存在（需為本分項的自主檢查表） ",""))="","✓",TRIM(IF(COUNTIF(表單!$A$2:$A$500,A170)=0,"⚠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","")&amp;IF(AND(L170&lt;&gt;"Y",G170="數值",N170=0),"⚠ 數值需設定欄位 ","")&amp;IF(AND(L170&lt;&gt;"Y",G170="連結表單",K170=""),"⚠ 缺連結表號 ","")&amp;IF(AND(K170&lt;&gt;"",COUNTIF(可連結表單!$J$2:$J$501,K170)=0),"⚠ 連結表號不存在（需為本分項的自主檢查表） ",""))))</f>
        <v/>
      </c>
    </row>
    <row r="171">
      <c r="M171" s="2">
        <f>IF(A171="","",IF(B171="","共用",IF(L171="Y","排除（"&amp;B171&amp;"）",IF(SUMPRODUCT(($A$2:$A$500=A171)*($C$2:$C$500=C171)*($B$2:$B$500=""))&gt;0,"覆蓋共用（"&amp;B171&amp;"）","單元新增（"&amp;B171&amp;"）"))))</f>
        <v/>
      </c>
      <c r="N171" s="2">
        <f>IF(A171="","",COUNTIFS(數值欄位!$A$2:$A$500,A171,數值欄位!$C$2:$C$500,C171))</f>
        <v/>
      </c>
      <c r="O171" s="2">
        <f>IF(A171="","",IF(TRIM(IF(COUNTIF(表單!$A$2:$A$500,A171)=0,"⚠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","")&amp;IF(AND(L171&lt;&gt;"Y",G171="數值",N171=0),"⚠ 數值需設定欄位 ","")&amp;IF(AND(L171&lt;&gt;"Y",G171="連結表單",K171=""),"⚠ 缺連結表號 ","")&amp;IF(AND(K171&lt;&gt;"",COUNTIF(可連結表單!$J$2:$J$501,K171)=0),"⚠ 連結表號不存在（需為本分項的自主檢查表） ",""))="","✓",TRIM(IF(COUNTIF(表單!$A$2:$A$500,A171)=0,"⚠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","")&amp;IF(AND(L171&lt;&gt;"Y",G171="數值",N171=0),"⚠ 數值需設定欄位 ","")&amp;IF(AND(L171&lt;&gt;"Y",G171="連結表單",K171=""),"⚠ 缺連結表號 ","")&amp;IF(AND(K171&lt;&gt;"",COUNTIF(可連結表單!$J$2:$J$501,K171)=0),"⚠ 連結表號不存在（需為本分項的自主檢查表） ",""))))</f>
        <v/>
      </c>
    </row>
    <row r="172">
      <c r="M172" s="2">
        <f>IF(A172="","",IF(B172="","共用",IF(L172="Y","排除（"&amp;B172&amp;"）",IF(SUMPRODUCT(($A$2:$A$500=A172)*($C$2:$C$500=C172)*($B$2:$B$500=""))&gt;0,"覆蓋共用（"&amp;B172&amp;"）","單元新增（"&amp;B172&amp;"）"))))</f>
        <v/>
      </c>
      <c r="N172" s="2">
        <f>IF(A172="","",COUNTIFS(數值欄位!$A$2:$A$500,A172,數值欄位!$C$2:$C$500,C172))</f>
        <v/>
      </c>
      <c r="O172" s="2">
        <f>IF(A172="","",IF(TRIM(IF(COUNTIF(表單!$A$2:$A$500,A172)=0,"⚠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","")&amp;IF(AND(L172&lt;&gt;"Y",G172="數值",N172=0),"⚠ 數值需設定欄位 ","")&amp;IF(AND(L172&lt;&gt;"Y",G172="連結表單",K172=""),"⚠ 缺連結表號 ","")&amp;IF(AND(K172&lt;&gt;"",COUNTIF(可連結表單!$J$2:$J$501,K172)=0),"⚠ 連結表號不存在（需為本分項的自主檢查表） ",""))="","✓",TRIM(IF(COUNTIF(表單!$A$2:$A$500,A172)=0,"⚠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","")&amp;IF(AND(L172&lt;&gt;"Y",G172="數值",N172=0),"⚠ 數值需設定欄位 ","")&amp;IF(AND(L172&lt;&gt;"Y",G172="連結表單",K172=""),"⚠ 缺連結表號 ","")&amp;IF(AND(K172&lt;&gt;"",COUNTIF(可連結表單!$J$2:$J$501,K172)=0),"⚠ 連結表號不存在（需為本分項的自主檢查表） ",""))))</f>
        <v/>
      </c>
    </row>
    <row r="173">
      <c r="M173" s="2">
        <f>IF(A173="","",IF(B173="","共用",IF(L173="Y","排除（"&amp;B173&amp;"）",IF(SUMPRODUCT(($A$2:$A$500=A173)*($C$2:$C$500=C173)*($B$2:$B$500=""))&gt;0,"覆蓋共用（"&amp;B173&amp;"）","單元新增（"&amp;B173&amp;"）"))))</f>
        <v/>
      </c>
      <c r="N173" s="2">
        <f>IF(A173="","",COUNTIFS(數值欄位!$A$2:$A$500,A173,數值欄位!$C$2:$C$500,C173))</f>
        <v/>
      </c>
      <c r="O173" s="2">
        <f>IF(A173="","",IF(TRIM(IF(COUNTIF(表單!$A$2:$A$500,A173)=0,"⚠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","")&amp;IF(AND(L173&lt;&gt;"Y",G173="數值",N173=0),"⚠ 數值需設定欄位 ","")&amp;IF(AND(L173&lt;&gt;"Y",G173="連結表單",K173=""),"⚠ 缺連結表號 ","")&amp;IF(AND(K173&lt;&gt;"",COUNTIF(可連結表單!$J$2:$J$501,K173)=0),"⚠ 連結表號不存在（需為本分項的自主檢查表） ",""))="","✓",TRIM(IF(COUNTIF(表單!$A$2:$A$500,A173)=0,"⚠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","")&amp;IF(AND(L173&lt;&gt;"Y",G173="數值",N173=0),"⚠ 數值需設定欄位 ","")&amp;IF(AND(L173&lt;&gt;"Y",G173="連結表單",K173=""),"⚠ 缺連結表號 ","")&amp;IF(AND(K173&lt;&gt;"",COUNTIF(可連結表單!$J$2:$J$501,K173)=0),"⚠ 連結表號不存在（需為本分項的自主檢查表） ",""))))</f>
        <v/>
      </c>
    </row>
    <row r="174">
      <c r="M174" s="2">
        <f>IF(A174="","",IF(B174="","共用",IF(L174="Y","排除（"&amp;B174&amp;"）",IF(SUMPRODUCT(($A$2:$A$500=A174)*($C$2:$C$500=C174)*($B$2:$B$500=""))&gt;0,"覆蓋共用（"&amp;B174&amp;"）","單元新增（"&amp;B174&amp;"）"))))</f>
        <v/>
      </c>
      <c r="N174" s="2">
        <f>IF(A174="","",COUNTIFS(數值欄位!$A$2:$A$500,A174,數值欄位!$C$2:$C$500,C174))</f>
        <v/>
      </c>
      <c r="O174" s="2">
        <f>IF(A174="","",IF(TRIM(IF(COUNTIF(表單!$A$2:$A$500,A174)=0,"⚠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","")&amp;IF(AND(L174&lt;&gt;"Y",G174="數值",N174=0),"⚠ 數值需設定欄位 ","")&amp;IF(AND(L174&lt;&gt;"Y",G174="連結表單",K174=""),"⚠ 缺連結表號 ","")&amp;IF(AND(K174&lt;&gt;"",COUNTIF(可連結表單!$J$2:$J$501,K174)=0),"⚠ 連結表號不存在（需為本分項的自主檢查表） ",""))="","✓",TRIM(IF(COUNTIF(表單!$A$2:$A$500,A174)=0,"⚠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","")&amp;IF(AND(L174&lt;&gt;"Y",G174="數值",N174=0),"⚠ 數值需設定欄位 ","")&amp;IF(AND(L174&lt;&gt;"Y",G174="連結表單",K174=""),"⚠ 缺連結表號 ","")&amp;IF(AND(K174&lt;&gt;"",COUNTIF(可連結表單!$J$2:$J$501,K174)=0),"⚠ 連結表號不存在（需為本分項的自主檢查表） ",""))))</f>
        <v/>
      </c>
    </row>
    <row r="175">
      <c r="M175" s="2">
        <f>IF(A175="","",IF(B175="","共用",IF(L175="Y","排除（"&amp;B175&amp;"）",IF(SUMPRODUCT(($A$2:$A$500=A175)*($C$2:$C$500=C175)*($B$2:$B$500=""))&gt;0,"覆蓋共用（"&amp;B175&amp;"）","單元新增（"&amp;B175&amp;"）"))))</f>
        <v/>
      </c>
      <c r="N175" s="2">
        <f>IF(A175="","",COUNTIFS(數值欄位!$A$2:$A$500,A175,數值欄位!$C$2:$C$500,C175))</f>
        <v/>
      </c>
      <c r="O175" s="2">
        <f>IF(A175="","",IF(TRIM(IF(COUNTIF(表單!$A$2:$A$500,A175)=0,"⚠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","")&amp;IF(AND(L175&lt;&gt;"Y",G175="數值",N175=0),"⚠ 數值需設定欄位 ","")&amp;IF(AND(L175&lt;&gt;"Y",G175="連結表單",K175=""),"⚠ 缺連結表號 ","")&amp;IF(AND(K175&lt;&gt;"",COUNTIF(可連結表單!$J$2:$J$501,K175)=0),"⚠ 連結表號不存在（需為本分項的自主檢查表） ",""))="","✓",TRIM(IF(COUNTIF(表單!$A$2:$A$500,A175)=0,"⚠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","")&amp;IF(AND(L175&lt;&gt;"Y",G175="數值",N175=0),"⚠ 數值需設定欄位 ","")&amp;IF(AND(L175&lt;&gt;"Y",G175="連結表單",K175=""),"⚠ 缺連結表號 ","")&amp;IF(AND(K175&lt;&gt;"",COUNTIF(可連結表單!$J$2:$J$501,K175)=0),"⚠ 連結表號不存在（需為本分項的自主檢查表） ",""))))</f>
        <v/>
      </c>
    </row>
    <row r="176">
      <c r="M176" s="2">
        <f>IF(A176="","",IF(B176="","共用",IF(L176="Y","排除（"&amp;B176&amp;"）",IF(SUMPRODUCT(($A$2:$A$500=A176)*($C$2:$C$500=C176)*($B$2:$B$500=""))&gt;0,"覆蓋共用（"&amp;B176&amp;"）","單元新增（"&amp;B176&amp;"）"))))</f>
        <v/>
      </c>
      <c r="N176" s="2">
        <f>IF(A176="","",COUNTIFS(數值欄位!$A$2:$A$500,A176,數值欄位!$C$2:$C$500,C176))</f>
        <v/>
      </c>
      <c r="O176" s="2">
        <f>IF(A176="","",IF(TRIM(IF(COUNTIF(表單!$A$2:$A$500,A176)=0,"⚠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","")&amp;IF(AND(L176&lt;&gt;"Y",G176="數值",N176=0),"⚠ 數值需設定欄位 ","")&amp;IF(AND(L176&lt;&gt;"Y",G176="連結表單",K176=""),"⚠ 缺連結表號 ","")&amp;IF(AND(K176&lt;&gt;"",COUNTIF(可連結表單!$J$2:$J$501,K176)=0),"⚠ 連結表號不存在（需為本分項的自主檢查表） ",""))="","✓",TRIM(IF(COUNTIF(表單!$A$2:$A$500,A176)=0,"⚠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","")&amp;IF(AND(L176&lt;&gt;"Y",G176="數值",N176=0),"⚠ 數值需設定欄位 ","")&amp;IF(AND(L176&lt;&gt;"Y",G176="連結表單",K176=""),"⚠ 缺連結表號 ","")&amp;IF(AND(K176&lt;&gt;"",COUNTIF(可連結表單!$J$2:$J$501,K176)=0),"⚠ 連結表號不存在（需為本分項的自主檢查表） ",""))))</f>
        <v/>
      </c>
    </row>
    <row r="177">
      <c r="M177" s="2">
        <f>IF(A177="","",IF(B177="","共用",IF(L177="Y","排除（"&amp;B177&amp;"）",IF(SUMPRODUCT(($A$2:$A$500=A177)*($C$2:$C$500=C177)*($B$2:$B$500=""))&gt;0,"覆蓋共用（"&amp;B177&amp;"）","單元新增（"&amp;B177&amp;"）"))))</f>
        <v/>
      </c>
      <c r="N177" s="2">
        <f>IF(A177="","",COUNTIFS(數值欄位!$A$2:$A$500,A177,數值欄位!$C$2:$C$500,C177))</f>
        <v/>
      </c>
      <c r="O177" s="2">
        <f>IF(A177="","",IF(TRIM(IF(COUNTIF(表單!$A$2:$A$500,A177)=0,"⚠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","")&amp;IF(AND(L177&lt;&gt;"Y",G177="數值",N177=0),"⚠ 數值需設定欄位 ","")&amp;IF(AND(L177&lt;&gt;"Y",G177="連結表單",K177=""),"⚠ 缺連結表號 ","")&amp;IF(AND(K177&lt;&gt;"",COUNTIF(可連結表單!$J$2:$J$501,K177)=0),"⚠ 連結表號不存在（需為本分項的自主檢查表） ",""))="","✓",TRIM(IF(COUNTIF(表單!$A$2:$A$500,A177)=0,"⚠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","")&amp;IF(AND(L177&lt;&gt;"Y",G177="數值",N177=0),"⚠ 數值需設定欄位 ","")&amp;IF(AND(L177&lt;&gt;"Y",G177="連結表單",K177=""),"⚠ 缺連結表號 ","")&amp;IF(AND(K177&lt;&gt;"",COUNTIF(可連結表單!$J$2:$J$501,K177)=0),"⚠ 連結表號不存在（需為本分項的自主檢查表） ",""))))</f>
        <v/>
      </c>
    </row>
    <row r="178">
      <c r="M178" s="2">
        <f>IF(A178="","",IF(B178="","共用",IF(L178="Y","排除（"&amp;B178&amp;"）",IF(SUMPRODUCT(($A$2:$A$500=A178)*($C$2:$C$500=C178)*($B$2:$B$500=""))&gt;0,"覆蓋共用（"&amp;B178&amp;"）","單元新增（"&amp;B178&amp;"）"))))</f>
        <v/>
      </c>
      <c r="N178" s="2">
        <f>IF(A178="","",COUNTIFS(數值欄位!$A$2:$A$500,A178,數值欄位!$C$2:$C$500,C178))</f>
        <v/>
      </c>
      <c r="O178" s="2">
        <f>IF(A178="","",IF(TRIM(IF(COUNTIF(表單!$A$2:$A$500,A178)=0,"⚠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","")&amp;IF(AND(L178&lt;&gt;"Y",G178="數值",N178=0),"⚠ 數值需設定欄位 ","")&amp;IF(AND(L178&lt;&gt;"Y",G178="連結表單",K178=""),"⚠ 缺連結表號 ","")&amp;IF(AND(K178&lt;&gt;"",COUNTIF(可連結表單!$J$2:$J$501,K178)=0),"⚠ 連結表號不存在（需為本分項的自主檢查表） ",""))="","✓",TRIM(IF(COUNTIF(表單!$A$2:$A$500,A178)=0,"⚠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","")&amp;IF(AND(L178&lt;&gt;"Y",G178="數值",N178=0),"⚠ 數值需設定欄位 ","")&amp;IF(AND(L178&lt;&gt;"Y",G178="連結表單",K178=""),"⚠ 缺連結表號 ","")&amp;IF(AND(K178&lt;&gt;"",COUNTIF(可連結表單!$J$2:$J$501,K178)=0),"⚠ 連結表號不存在（需為本分項的自主檢查表） ",""))))</f>
        <v/>
      </c>
    </row>
    <row r="179">
      <c r="M179" s="2">
        <f>IF(A179="","",IF(B179="","共用",IF(L179="Y","排除（"&amp;B179&amp;"）",IF(SUMPRODUCT(($A$2:$A$500=A179)*($C$2:$C$500=C179)*($B$2:$B$500=""))&gt;0,"覆蓋共用（"&amp;B179&amp;"）","單元新增（"&amp;B179&amp;"）"))))</f>
        <v/>
      </c>
      <c r="N179" s="2">
        <f>IF(A179="","",COUNTIFS(數值欄位!$A$2:$A$500,A179,數值欄位!$C$2:$C$500,C179))</f>
        <v/>
      </c>
      <c r="O179" s="2">
        <f>IF(A179="","",IF(TRIM(IF(COUNTIF(表單!$A$2:$A$500,A179)=0,"⚠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","")&amp;IF(AND(L179&lt;&gt;"Y",G179="數值",N179=0),"⚠ 數值需設定欄位 ","")&amp;IF(AND(L179&lt;&gt;"Y",G179="連結表單",K179=""),"⚠ 缺連結表號 ","")&amp;IF(AND(K179&lt;&gt;"",COUNTIF(可連結表單!$J$2:$J$501,K179)=0),"⚠ 連結表號不存在（需為本分項的自主檢查表） ",""))="","✓",TRIM(IF(COUNTIF(表單!$A$2:$A$500,A179)=0,"⚠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","")&amp;IF(AND(L179&lt;&gt;"Y",G179="數值",N179=0),"⚠ 數值需設定欄位 ","")&amp;IF(AND(L179&lt;&gt;"Y",G179="連結表單",K179=""),"⚠ 缺連結表號 ","")&amp;IF(AND(K179&lt;&gt;"",COUNTIF(可連結表單!$J$2:$J$501,K179)=0),"⚠ 連結表號不存在（需為本分項的自主檢查表） ",""))))</f>
        <v/>
      </c>
    </row>
    <row r="180">
      <c r="M180" s="2">
        <f>IF(A180="","",IF(B180="","共用",IF(L180="Y","排除（"&amp;B180&amp;"）",IF(SUMPRODUCT(($A$2:$A$500=A180)*($C$2:$C$500=C180)*($B$2:$B$500=""))&gt;0,"覆蓋共用（"&amp;B180&amp;"）","單元新增（"&amp;B180&amp;"）"))))</f>
        <v/>
      </c>
      <c r="N180" s="2">
        <f>IF(A180="","",COUNTIFS(數值欄位!$A$2:$A$500,A180,數值欄位!$C$2:$C$500,C180))</f>
        <v/>
      </c>
      <c r="O180" s="2">
        <f>IF(A180="","",IF(TRIM(IF(COUNTIF(表單!$A$2:$A$500,A180)=0,"⚠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","")&amp;IF(AND(L180&lt;&gt;"Y",G180="數值",N180=0),"⚠ 數值需設定欄位 ","")&amp;IF(AND(L180&lt;&gt;"Y",G180="連結表單",K180=""),"⚠ 缺連結表號 ","")&amp;IF(AND(K180&lt;&gt;"",COUNTIF(可連結表單!$J$2:$J$501,K180)=0),"⚠ 連結表號不存在（需為本分項的自主檢查表） ",""))="","✓",TRIM(IF(COUNTIF(表單!$A$2:$A$500,A180)=0,"⚠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","")&amp;IF(AND(L180&lt;&gt;"Y",G180="數值",N180=0),"⚠ 數值需設定欄位 ","")&amp;IF(AND(L180&lt;&gt;"Y",G180="連結表單",K180=""),"⚠ 缺連結表號 ","")&amp;IF(AND(K180&lt;&gt;"",COUNTIF(可連結表單!$J$2:$J$501,K180)=0),"⚠ 連結表號不存在（需為本分項的自主檢查表） ",""))))</f>
        <v/>
      </c>
    </row>
    <row r="181">
      <c r="M181" s="2">
        <f>IF(A181="","",IF(B181="","共用",IF(L181="Y","排除（"&amp;B181&amp;"）",IF(SUMPRODUCT(($A$2:$A$500=A181)*($C$2:$C$500=C181)*($B$2:$B$500=""))&gt;0,"覆蓋共用（"&amp;B181&amp;"）","單元新增（"&amp;B181&amp;"）"))))</f>
        <v/>
      </c>
      <c r="N181" s="2">
        <f>IF(A181="","",COUNTIFS(數值欄位!$A$2:$A$500,A181,數值欄位!$C$2:$C$500,C181))</f>
        <v/>
      </c>
      <c r="O181" s="2">
        <f>IF(A181="","",IF(TRIM(IF(COUNTIF(表單!$A$2:$A$500,A181)=0,"⚠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","")&amp;IF(AND(L181&lt;&gt;"Y",G181="數值",N181=0),"⚠ 數值需設定欄位 ","")&amp;IF(AND(L181&lt;&gt;"Y",G181="連結表單",K181=""),"⚠ 缺連結表號 ","")&amp;IF(AND(K181&lt;&gt;"",COUNTIF(可連結表單!$J$2:$J$501,K181)=0),"⚠ 連結表號不存在（需為本分項的自主檢查表） ",""))="","✓",TRIM(IF(COUNTIF(表單!$A$2:$A$500,A181)=0,"⚠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","")&amp;IF(AND(L181&lt;&gt;"Y",G181="數值",N181=0),"⚠ 數值需設定欄位 ","")&amp;IF(AND(L181&lt;&gt;"Y",G181="連結表單",K181=""),"⚠ 缺連結表號 ","")&amp;IF(AND(K181&lt;&gt;"",COUNTIF(可連結表單!$J$2:$J$501,K181)=0),"⚠ 連結表號不存在（需為本分項的自主檢查表） ",""))))</f>
        <v/>
      </c>
    </row>
    <row r="182">
      <c r="M182" s="2">
        <f>IF(A182="","",IF(B182="","共用",IF(L182="Y","排除（"&amp;B182&amp;"）",IF(SUMPRODUCT(($A$2:$A$500=A182)*($C$2:$C$500=C182)*($B$2:$B$500=""))&gt;0,"覆蓋共用（"&amp;B182&amp;"）","單元新增（"&amp;B182&amp;"）"))))</f>
        <v/>
      </c>
      <c r="N182" s="2">
        <f>IF(A182="","",COUNTIFS(數值欄位!$A$2:$A$500,A182,數值欄位!$C$2:$C$500,C182))</f>
        <v/>
      </c>
      <c r="O182" s="2">
        <f>IF(A182="","",IF(TRIM(IF(COUNTIF(表單!$A$2:$A$500,A182)=0,"⚠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","")&amp;IF(AND(L182&lt;&gt;"Y",G182="數值",N182=0),"⚠ 數值需設定欄位 ","")&amp;IF(AND(L182&lt;&gt;"Y",G182="連結表單",K182=""),"⚠ 缺連結表號 ","")&amp;IF(AND(K182&lt;&gt;"",COUNTIF(可連結表單!$J$2:$J$501,K182)=0),"⚠ 連結表號不存在（需為本分項的自主檢查表） ",""))="","✓",TRIM(IF(COUNTIF(表單!$A$2:$A$500,A182)=0,"⚠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","")&amp;IF(AND(L182&lt;&gt;"Y",G182="數值",N182=0),"⚠ 數值需設定欄位 ","")&amp;IF(AND(L182&lt;&gt;"Y",G182="連結表單",K182=""),"⚠ 缺連結表號 ","")&amp;IF(AND(K182&lt;&gt;"",COUNTIF(可連結表單!$J$2:$J$501,K182)=0),"⚠ 連結表號不存在（需為本分項的自主檢查表） ",""))))</f>
        <v/>
      </c>
    </row>
    <row r="183">
      <c r="M183" s="2">
        <f>IF(A183="","",IF(B183="","共用",IF(L183="Y","排除（"&amp;B183&amp;"）",IF(SUMPRODUCT(($A$2:$A$500=A183)*($C$2:$C$500=C183)*($B$2:$B$500=""))&gt;0,"覆蓋共用（"&amp;B183&amp;"）","單元新增（"&amp;B183&amp;"）"))))</f>
        <v/>
      </c>
      <c r="N183" s="2">
        <f>IF(A183="","",COUNTIFS(數值欄位!$A$2:$A$500,A183,數值欄位!$C$2:$C$500,C183))</f>
        <v/>
      </c>
      <c r="O183" s="2">
        <f>IF(A183="","",IF(TRIM(IF(COUNTIF(表單!$A$2:$A$500,A183)=0,"⚠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","")&amp;IF(AND(L183&lt;&gt;"Y",G183="數值",N183=0),"⚠ 數值需設定欄位 ","")&amp;IF(AND(L183&lt;&gt;"Y",G183="連結表單",K183=""),"⚠ 缺連結表號 ","")&amp;IF(AND(K183&lt;&gt;"",COUNTIF(可連結表單!$J$2:$J$501,K183)=0),"⚠ 連結表號不存在（需為本分項的自主檢查表） ",""))="","✓",TRIM(IF(COUNTIF(表單!$A$2:$A$500,A183)=0,"⚠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","")&amp;IF(AND(L183&lt;&gt;"Y",G183="數值",N183=0),"⚠ 數值需設定欄位 ","")&amp;IF(AND(L183&lt;&gt;"Y",G183="連結表單",K183=""),"⚠ 缺連結表號 ","")&amp;IF(AND(K183&lt;&gt;"",COUNTIF(可連結表單!$J$2:$J$501,K183)=0),"⚠ 連結表號不存在（需為本分項的自主檢查表） ",""))))</f>
        <v/>
      </c>
    </row>
    <row r="184">
      <c r="M184" s="2">
        <f>IF(A184="","",IF(B184="","共用",IF(L184="Y","排除（"&amp;B184&amp;"）",IF(SUMPRODUCT(($A$2:$A$500=A184)*($C$2:$C$500=C184)*($B$2:$B$500=""))&gt;0,"覆蓋共用（"&amp;B184&amp;"）","單元新增（"&amp;B184&amp;"）"))))</f>
        <v/>
      </c>
      <c r="N184" s="2">
        <f>IF(A184="","",COUNTIFS(數值欄位!$A$2:$A$500,A184,數值欄位!$C$2:$C$500,C184))</f>
        <v/>
      </c>
      <c r="O184" s="2">
        <f>IF(A184="","",IF(TRIM(IF(COUNTIF(表單!$A$2:$A$500,A184)=0,"⚠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","")&amp;IF(AND(L184&lt;&gt;"Y",G184="數值",N184=0),"⚠ 數值需設定欄位 ","")&amp;IF(AND(L184&lt;&gt;"Y",G184="連結表單",K184=""),"⚠ 缺連結表號 ","")&amp;IF(AND(K184&lt;&gt;"",COUNTIF(可連結表單!$J$2:$J$501,K184)=0),"⚠ 連結表號不存在（需為本分項的自主檢查表） ",""))="","✓",TRIM(IF(COUNTIF(表單!$A$2:$A$500,A184)=0,"⚠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","")&amp;IF(AND(L184&lt;&gt;"Y",G184="數值",N184=0),"⚠ 數值需設定欄位 ","")&amp;IF(AND(L184&lt;&gt;"Y",G184="連結表單",K184=""),"⚠ 缺連結表號 ","")&amp;IF(AND(K184&lt;&gt;"",COUNTIF(可連結表單!$J$2:$J$501,K184)=0),"⚠ 連結表號不存在（需為本分項的自主檢查表） ",""))))</f>
        <v/>
      </c>
    </row>
    <row r="185">
      <c r="M185" s="2">
        <f>IF(A185="","",IF(B185="","共用",IF(L185="Y","排除（"&amp;B185&amp;"）",IF(SUMPRODUCT(($A$2:$A$500=A185)*($C$2:$C$500=C185)*($B$2:$B$500=""))&gt;0,"覆蓋共用（"&amp;B185&amp;"）","單元新增（"&amp;B185&amp;"）"))))</f>
        <v/>
      </c>
      <c r="N185" s="2">
        <f>IF(A185="","",COUNTIFS(數值欄位!$A$2:$A$500,A185,數值欄位!$C$2:$C$500,C185))</f>
        <v/>
      </c>
      <c r="O185" s="2">
        <f>IF(A185="","",IF(TRIM(IF(COUNTIF(表單!$A$2:$A$500,A185)=0,"⚠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","")&amp;IF(AND(L185&lt;&gt;"Y",G185="數值",N185=0),"⚠ 數值需設定欄位 ","")&amp;IF(AND(L185&lt;&gt;"Y",G185="連結表單",K185=""),"⚠ 缺連結表號 ","")&amp;IF(AND(K185&lt;&gt;"",COUNTIF(可連結表單!$J$2:$J$501,K185)=0),"⚠ 連結表號不存在（需為本分項的自主檢查表） ",""))="","✓",TRIM(IF(COUNTIF(表單!$A$2:$A$500,A185)=0,"⚠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","")&amp;IF(AND(L185&lt;&gt;"Y",G185="數值",N185=0),"⚠ 數值需設定欄位 ","")&amp;IF(AND(L185&lt;&gt;"Y",G185="連結表單",K185=""),"⚠ 缺連結表號 ","")&amp;IF(AND(K185&lt;&gt;"",COUNTIF(可連結表單!$J$2:$J$501,K185)=0),"⚠ 連結表號不存在（需為本分項的自主檢查表） ",""))))</f>
        <v/>
      </c>
    </row>
    <row r="186">
      <c r="M186" s="2">
        <f>IF(A186="","",IF(B186="","共用",IF(L186="Y","排除（"&amp;B186&amp;"）",IF(SUMPRODUCT(($A$2:$A$500=A186)*($C$2:$C$500=C186)*($B$2:$B$500=""))&gt;0,"覆蓋共用（"&amp;B186&amp;"）","單元新增（"&amp;B186&amp;"）"))))</f>
        <v/>
      </c>
      <c r="N186" s="2">
        <f>IF(A186="","",COUNTIFS(數值欄位!$A$2:$A$500,A186,數值欄位!$C$2:$C$500,C186))</f>
        <v/>
      </c>
      <c r="O186" s="2">
        <f>IF(A186="","",IF(TRIM(IF(COUNTIF(表單!$A$2:$A$500,A186)=0,"⚠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","")&amp;IF(AND(L186&lt;&gt;"Y",G186="數值",N186=0),"⚠ 數值需設定欄位 ","")&amp;IF(AND(L186&lt;&gt;"Y",G186="連結表單",K186=""),"⚠ 缺連結表號 ","")&amp;IF(AND(K186&lt;&gt;"",COUNTIF(可連結表單!$J$2:$J$501,K186)=0),"⚠ 連結表號不存在（需為本分項的自主檢查表） ",""))="","✓",TRIM(IF(COUNTIF(表單!$A$2:$A$500,A186)=0,"⚠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","")&amp;IF(AND(L186&lt;&gt;"Y",G186="數值",N186=0),"⚠ 數值需設定欄位 ","")&amp;IF(AND(L186&lt;&gt;"Y",G186="連結表單",K186=""),"⚠ 缺連結表號 ","")&amp;IF(AND(K186&lt;&gt;"",COUNTIF(可連結表單!$J$2:$J$501,K186)=0),"⚠ 連結表號不存在（需為本分項的自主檢查表） ",""))))</f>
        <v/>
      </c>
    </row>
    <row r="187">
      <c r="M187" s="2">
        <f>IF(A187="","",IF(B187="","共用",IF(L187="Y","排除（"&amp;B187&amp;"）",IF(SUMPRODUCT(($A$2:$A$500=A187)*($C$2:$C$500=C187)*($B$2:$B$500=""))&gt;0,"覆蓋共用（"&amp;B187&amp;"）","單元新增（"&amp;B187&amp;"）"))))</f>
        <v/>
      </c>
      <c r="N187" s="2">
        <f>IF(A187="","",COUNTIFS(數值欄位!$A$2:$A$500,A187,數值欄位!$C$2:$C$500,C187))</f>
        <v/>
      </c>
      <c r="O187" s="2">
        <f>IF(A187="","",IF(TRIM(IF(COUNTIF(表單!$A$2:$A$500,A187)=0,"⚠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","")&amp;IF(AND(L187&lt;&gt;"Y",G187="數值",N187=0),"⚠ 數值需設定欄位 ","")&amp;IF(AND(L187&lt;&gt;"Y",G187="連結表單",K187=""),"⚠ 缺連結表號 ","")&amp;IF(AND(K187&lt;&gt;"",COUNTIF(可連結表單!$J$2:$J$501,K187)=0),"⚠ 連結表號不存在（需為本分項的自主檢查表） ",""))="","✓",TRIM(IF(COUNTIF(表單!$A$2:$A$500,A187)=0,"⚠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","")&amp;IF(AND(L187&lt;&gt;"Y",G187="數值",N187=0),"⚠ 數值需設定欄位 ","")&amp;IF(AND(L187&lt;&gt;"Y",G187="連結表單",K187=""),"⚠ 缺連結表號 ","")&amp;IF(AND(K187&lt;&gt;"",COUNTIF(可連結表單!$J$2:$J$501,K187)=0),"⚠ 連結表號不存在（需為本分項的自主檢查表） ",""))))</f>
        <v/>
      </c>
    </row>
    <row r="188">
      <c r="M188" s="2">
        <f>IF(A188="","",IF(B188="","共用",IF(L188="Y","排除（"&amp;B188&amp;"）",IF(SUMPRODUCT(($A$2:$A$500=A188)*($C$2:$C$500=C188)*($B$2:$B$500=""))&gt;0,"覆蓋共用（"&amp;B188&amp;"）","單元新增（"&amp;B188&amp;"）"))))</f>
        <v/>
      </c>
      <c r="N188" s="2">
        <f>IF(A188="","",COUNTIFS(數值欄位!$A$2:$A$500,A188,數值欄位!$C$2:$C$500,C188))</f>
        <v/>
      </c>
      <c r="O188" s="2">
        <f>IF(A188="","",IF(TRIM(IF(COUNTIF(表單!$A$2:$A$500,A188)=0,"⚠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","")&amp;IF(AND(L188&lt;&gt;"Y",G188="數值",N188=0),"⚠ 數值需設定欄位 ","")&amp;IF(AND(L188&lt;&gt;"Y",G188="連結表單",K188=""),"⚠ 缺連結表號 ","")&amp;IF(AND(K188&lt;&gt;"",COUNTIF(可連結表單!$J$2:$J$501,K188)=0),"⚠ 連結表號不存在（需為本分項的自主檢查表） ",""))="","✓",TRIM(IF(COUNTIF(表單!$A$2:$A$500,A188)=0,"⚠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","")&amp;IF(AND(L188&lt;&gt;"Y",G188="數值",N188=0),"⚠ 數值需設定欄位 ","")&amp;IF(AND(L188&lt;&gt;"Y",G188="連結表單",K188=""),"⚠ 缺連結表號 ","")&amp;IF(AND(K188&lt;&gt;"",COUNTIF(可連結表單!$J$2:$J$501,K188)=0),"⚠ 連結表號不存在（需為本分項的自主檢查表） ",""))))</f>
        <v/>
      </c>
    </row>
    <row r="189">
      <c r="M189" s="2">
        <f>IF(A189="","",IF(B189="","共用",IF(L189="Y","排除（"&amp;B189&amp;"）",IF(SUMPRODUCT(($A$2:$A$500=A189)*($C$2:$C$500=C189)*($B$2:$B$500=""))&gt;0,"覆蓋共用（"&amp;B189&amp;"）","單元新增（"&amp;B189&amp;"）"))))</f>
        <v/>
      </c>
      <c r="N189" s="2">
        <f>IF(A189="","",COUNTIFS(數值欄位!$A$2:$A$500,A189,數值欄位!$C$2:$C$500,C189))</f>
        <v/>
      </c>
      <c r="O189" s="2">
        <f>IF(A189="","",IF(TRIM(IF(COUNTIF(表單!$A$2:$A$500,A189)=0,"⚠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","")&amp;IF(AND(L189&lt;&gt;"Y",G189="數值",N189=0),"⚠ 數值需設定欄位 ","")&amp;IF(AND(L189&lt;&gt;"Y",G189="連結表單",K189=""),"⚠ 缺連結表號 ","")&amp;IF(AND(K189&lt;&gt;"",COUNTIF(可連結表單!$J$2:$J$501,K189)=0),"⚠ 連結表號不存在（需為本分項的自主檢查表） ",""))="","✓",TRIM(IF(COUNTIF(表單!$A$2:$A$500,A189)=0,"⚠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","")&amp;IF(AND(L189&lt;&gt;"Y",G189="數值",N189=0),"⚠ 數值需設定欄位 ","")&amp;IF(AND(L189&lt;&gt;"Y",G189="連結表單",K189=""),"⚠ 缺連結表號 ","")&amp;IF(AND(K189&lt;&gt;"",COUNTIF(可連結表單!$J$2:$J$501,K189)=0),"⚠ 連結表號不存在（需為本分項的自主檢查表） ",""))))</f>
        <v/>
      </c>
    </row>
    <row r="190">
      <c r="M190" s="2">
        <f>IF(A190="","",IF(B190="","共用",IF(L190="Y","排除（"&amp;B190&amp;"）",IF(SUMPRODUCT(($A$2:$A$500=A190)*($C$2:$C$500=C190)*($B$2:$B$500=""))&gt;0,"覆蓋共用（"&amp;B190&amp;"）","單元新增（"&amp;B190&amp;"）"))))</f>
        <v/>
      </c>
      <c r="N190" s="2">
        <f>IF(A190="","",COUNTIFS(數值欄位!$A$2:$A$500,A190,數值欄位!$C$2:$C$500,C190))</f>
        <v/>
      </c>
      <c r="O190" s="2">
        <f>IF(A190="","",IF(TRIM(IF(COUNTIF(表單!$A$2:$A$500,A190)=0,"⚠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","")&amp;IF(AND(L190&lt;&gt;"Y",G190="數值",N190=0),"⚠ 數值需設定欄位 ","")&amp;IF(AND(L190&lt;&gt;"Y",G190="連結表單",K190=""),"⚠ 缺連結表號 ","")&amp;IF(AND(K190&lt;&gt;"",COUNTIF(可連結表單!$J$2:$J$501,K190)=0),"⚠ 連結表號不存在（需為本分項的自主檢查表） ",""))="","✓",TRIM(IF(COUNTIF(表單!$A$2:$A$500,A190)=0,"⚠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","")&amp;IF(AND(L190&lt;&gt;"Y",G190="數值",N190=0),"⚠ 數值需設定欄位 ","")&amp;IF(AND(L190&lt;&gt;"Y",G190="連結表單",K190=""),"⚠ 缺連結表號 ","")&amp;IF(AND(K190&lt;&gt;"",COUNTIF(可連結表單!$J$2:$J$501,K190)=0),"⚠ 連結表號不存在（需為本分項的自主檢查表） ",""))))</f>
        <v/>
      </c>
    </row>
    <row r="191">
      <c r="M191" s="2">
        <f>IF(A191="","",IF(B191="","共用",IF(L191="Y","排除（"&amp;B191&amp;"）",IF(SUMPRODUCT(($A$2:$A$500=A191)*($C$2:$C$500=C191)*($B$2:$B$500=""))&gt;0,"覆蓋共用（"&amp;B191&amp;"）","單元新增（"&amp;B191&amp;"）"))))</f>
        <v/>
      </c>
      <c r="N191" s="2">
        <f>IF(A191="","",COUNTIFS(數值欄位!$A$2:$A$500,A191,數值欄位!$C$2:$C$500,C191))</f>
        <v/>
      </c>
      <c r="O191" s="2">
        <f>IF(A191="","",IF(TRIM(IF(COUNTIF(表單!$A$2:$A$500,A191)=0,"⚠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","")&amp;IF(AND(L191&lt;&gt;"Y",G191="數值",N191=0),"⚠ 數值需設定欄位 ","")&amp;IF(AND(L191&lt;&gt;"Y",G191="連結表單",K191=""),"⚠ 缺連結表號 ","")&amp;IF(AND(K191&lt;&gt;"",COUNTIF(可連結表單!$J$2:$J$501,K191)=0),"⚠ 連結表號不存在（需為本分項的自主檢查表） ",""))="","✓",TRIM(IF(COUNTIF(表單!$A$2:$A$500,A191)=0,"⚠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","")&amp;IF(AND(L191&lt;&gt;"Y",G191="數值",N191=0),"⚠ 數值需設定欄位 ","")&amp;IF(AND(L191&lt;&gt;"Y",G191="連結表單",K191=""),"⚠ 缺連結表號 ","")&amp;IF(AND(K191&lt;&gt;"",COUNTIF(可連結表單!$J$2:$J$501,K191)=0),"⚠ 連結表號不存在（需為本分項的自主檢查表） ",""))))</f>
        <v/>
      </c>
    </row>
    <row r="192">
      <c r="M192" s="2">
        <f>IF(A192="","",IF(B192="","共用",IF(L192="Y","排除（"&amp;B192&amp;"）",IF(SUMPRODUCT(($A$2:$A$500=A192)*($C$2:$C$500=C192)*($B$2:$B$500=""))&gt;0,"覆蓋共用（"&amp;B192&amp;"）","單元新增（"&amp;B192&amp;"）"))))</f>
        <v/>
      </c>
      <c r="N192" s="2">
        <f>IF(A192="","",COUNTIFS(數值欄位!$A$2:$A$500,A192,數值欄位!$C$2:$C$500,C192))</f>
        <v/>
      </c>
      <c r="O192" s="2">
        <f>IF(A192="","",IF(TRIM(IF(COUNTIF(表單!$A$2:$A$500,A192)=0,"⚠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","")&amp;IF(AND(L192&lt;&gt;"Y",G192="數值",N192=0),"⚠ 數值需設定欄位 ","")&amp;IF(AND(L192&lt;&gt;"Y",G192="連結表單",K192=""),"⚠ 缺連結表號 ","")&amp;IF(AND(K192&lt;&gt;"",COUNTIF(可連結表單!$J$2:$J$501,K192)=0),"⚠ 連結表號不存在（需為本分項的自主檢查表） ",""))="","✓",TRIM(IF(COUNTIF(表單!$A$2:$A$500,A192)=0,"⚠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","")&amp;IF(AND(L192&lt;&gt;"Y",G192="數值",N192=0),"⚠ 數值需設定欄位 ","")&amp;IF(AND(L192&lt;&gt;"Y",G192="連結表單",K192=""),"⚠ 缺連結表號 ","")&amp;IF(AND(K192&lt;&gt;"",COUNTIF(可連結表單!$J$2:$J$501,K192)=0),"⚠ 連結表號不存在（需為本分項的自主檢查表） ",""))))</f>
        <v/>
      </c>
    </row>
    <row r="193">
      <c r="M193" s="2">
        <f>IF(A193="","",IF(B193="","共用",IF(L193="Y","排除（"&amp;B193&amp;"）",IF(SUMPRODUCT(($A$2:$A$500=A193)*($C$2:$C$500=C193)*($B$2:$B$500=""))&gt;0,"覆蓋共用（"&amp;B193&amp;"）","單元新增（"&amp;B193&amp;"）"))))</f>
        <v/>
      </c>
      <c r="N193" s="2">
        <f>IF(A193="","",COUNTIFS(數值欄位!$A$2:$A$500,A193,數值欄位!$C$2:$C$500,C193))</f>
        <v/>
      </c>
      <c r="O193" s="2">
        <f>IF(A193="","",IF(TRIM(IF(COUNTIF(表單!$A$2:$A$500,A193)=0,"⚠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","")&amp;IF(AND(L193&lt;&gt;"Y",G193="數值",N193=0),"⚠ 數值需設定欄位 ","")&amp;IF(AND(L193&lt;&gt;"Y",G193="連結表單",K193=""),"⚠ 缺連結表號 ","")&amp;IF(AND(K193&lt;&gt;"",COUNTIF(可連結表單!$J$2:$J$501,K193)=0),"⚠ 連結表號不存在（需為本分項的自主檢查表） ",""))="","✓",TRIM(IF(COUNTIF(表單!$A$2:$A$500,A193)=0,"⚠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","")&amp;IF(AND(L193&lt;&gt;"Y",G193="數值",N193=0),"⚠ 數值需設定欄位 ","")&amp;IF(AND(L193&lt;&gt;"Y",G193="連結表單",K193=""),"⚠ 缺連結表號 ","")&amp;IF(AND(K193&lt;&gt;"",COUNTIF(可連結表單!$J$2:$J$501,K193)=0),"⚠ 連結表號不存在（需為本分項的自主檢查表） ",""))))</f>
        <v/>
      </c>
    </row>
    <row r="194">
      <c r="M194" s="2">
        <f>IF(A194="","",IF(B194="","共用",IF(L194="Y","排除（"&amp;B194&amp;"）",IF(SUMPRODUCT(($A$2:$A$500=A194)*($C$2:$C$500=C194)*($B$2:$B$500=""))&gt;0,"覆蓋共用（"&amp;B194&amp;"）","單元新增（"&amp;B194&amp;"）"))))</f>
        <v/>
      </c>
      <c r="N194" s="2">
        <f>IF(A194="","",COUNTIFS(數值欄位!$A$2:$A$500,A194,數值欄位!$C$2:$C$500,C194))</f>
        <v/>
      </c>
      <c r="O194" s="2">
        <f>IF(A194="","",IF(TRIM(IF(COUNTIF(表單!$A$2:$A$500,A194)=0,"⚠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","")&amp;IF(AND(L194&lt;&gt;"Y",G194="數值",N194=0),"⚠ 數值需設定欄位 ","")&amp;IF(AND(L194&lt;&gt;"Y",G194="連結表單",K194=""),"⚠ 缺連結表號 ","")&amp;IF(AND(K194&lt;&gt;"",COUNTIF(可連結表單!$J$2:$J$501,K194)=0),"⚠ 連結表號不存在（需為本分項的自主檢查表） ",""))="","✓",TRIM(IF(COUNTIF(表單!$A$2:$A$500,A194)=0,"⚠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","")&amp;IF(AND(L194&lt;&gt;"Y",G194="數值",N194=0),"⚠ 數值需設定欄位 ","")&amp;IF(AND(L194&lt;&gt;"Y",G194="連結表單",K194=""),"⚠ 缺連結表號 ","")&amp;IF(AND(K194&lt;&gt;"",COUNTIF(可連結表單!$J$2:$J$501,K194)=0),"⚠ 連結表號不存在（需為本分項的自主檢查表） ",""))))</f>
        <v/>
      </c>
    </row>
    <row r="195">
      <c r="M195" s="2">
        <f>IF(A195="","",IF(B195="","共用",IF(L195="Y","排除（"&amp;B195&amp;"）",IF(SUMPRODUCT(($A$2:$A$500=A195)*($C$2:$C$500=C195)*($B$2:$B$500=""))&gt;0,"覆蓋共用（"&amp;B195&amp;"）","單元新增（"&amp;B195&amp;"）"))))</f>
        <v/>
      </c>
      <c r="N195" s="2">
        <f>IF(A195="","",COUNTIFS(數值欄位!$A$2:$A$500,A195,數值欄位!$C$2:$C$500,C195))</f>
        <v/>
      </c>
      <c r="O195" s="2">
        <f>IF(A195="","",IF(TRIM(IF(COUNTIF(表單!$A$2:$A$500,A195)=0,"⚠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","")&amp;IF(AND(L195&lt;&gt;"Y",G195="數值",N195=0),"⚠ 數值需設定欄位 ","")&amp;IF(AND(L195&lt;&gt;"Y",G195="連結表單",K195=""),"⚠ 缺連結表號 ","")&amp;IF(AND(K195&lt;&gt;"",COUNTIF(可連結表單!$J$2:$J$501,K195)=0),"⚠ 連結表號不存在（需為本分項的自主檢查表） ",""))="","✓",TRIM(IF(COUNTIF(表單!$A$2:$A$500,A195)=0,"⚠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","")&amp;IF(AND(L195&lt;&gt;"Y",G195="數值",N195=0),"⚠ 數值需設定欄位 ","")&amp;IF(AND(L195&lt;&gt;"Y",G195="連結表單",K195=""),"⚠ 缺連結表號 ","")&amp;IF(AND(K195&lt;&gt;"",COUNTIF(可連結表單!$J$2:$J$501,K195)=0),"⚠ 連結表號不存在（需為本分項的自主檢查表） ",""))))</f>
        <v/>
      </c>
    </row>
    <row r="196">
      <c r="M196" s="2">
        <f>IF(A196="","",IF(B196="","共用",IF(L196="Y","排除（"&amp;B196&amp;"）",IF(SUMPRODUCT(($A$2:$A$500=A196)*($C$2:$C$500=C196)*($B$2:$B$500=""))&gt;0,"覆蓋共用（"&amp;B196&amp;"）","單元新增（"&amp;B196&amp;"）"))))</f>
        <v/>
      </c>
      <c r="N196" s="2">
        <f>IF(A196="","",COUNTIFS(數值欄位!$A$2:$A$500,A196,數值欄位!$C$2:$C$500,C196))</f>
        <v/>
      </c>
      <c r="O196" s="2">
        <f>IF(A196="","",IF(TRIM(IF(COUNTIF(表單!$A$2:$A$500,A196)=0,"⚠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","")&amp;IF(AND(L196&lt;&gt;"Y",G196="數值",N196=0),"⚠ 數值需設定欄位 ","")&amp;IF(AND(L196&lt;&gt;"Y",G196="連結表單",K196=""),"⚠ 缺連結表號 ","")&amp;IF(AND(K196&lt;&gt;"",COUNTIF(可連結表單!$J$2:$J$501,K196)=0),"⚠ 連結表號不存在（需為本分項的自主檢查表） ",""))="","✓",TRIM(IF(COUNTIF(表單!$A$2:$A$500,A196)=0,"⚠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","")&amp;IF(AND(L196&lt;&gt;"Y",G196="數值",N196=0),"⚠ 數值需設定欄位 ","")&amp;IF(AND(L196&lt;&gt;"Y",G196="連結表單",K196=""),"⚠ 缺連結表號 ","")&amp;IF(AND(K196&lt;&gt;"",COUNTIF(可連結表單!$J$2:$J$501,K196)=0),"⚠ 連結表號不存在（需為本分項的自主檢查表） ",""))))</f>
        <v/>
      </c>
    </row>
    <row r="197">
      <c r="M197" s="2">
        <f>IF(A197="","",IF(B197="","共用",IF(L197="Y","排除（"&amp;B197&amp;"）",IF(SUMPRODUCT(($A$2:$A$500=A197)*($C$2:$C$500=C197)*($B$2:$B$500=""))&gt;0,"覆蓋共用（"&amp;B197&amp;"）","單元新增（"&amp;B197&amp;"）"))))</f>
        <v/>
      </c>
      <c r="N197" s="2">
        <f>IF(A197="","",COUNTIFS(數值欄位!$A$2:$A$500,A197,數值欄位!$C$2:$C$500,C197))</f>
        <v/>
      </c>
      <c r="O197" s="2">
        <f>IF(A197="","",IF(TRIM(IF(COUNTIF(表單!$A$2:$A$500,A197)=0,"⚠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","")&amp;IF(AND(L197&lt;&gt;"Y",G197="數值",N197=0),"⚠ 數值需設定欄位 ","")&amp;IF(AND(L197&lt;&gt;"Y",G197="連結表單",K197=""),"⚠ 缺連結表號 ","")&amp;IF(AND(K197&lt;&gt;"",COUNTIF(可連結表單!$J$2:$J$501,K197)=0),"⚠ 連結表號不存在（需為本分項的自主檢查表） ",""))="","✓",TRIM(IF(COUNTIF(表單!$A$2:$A$500,A197)=0,"⚠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","")&amp;IF(AND(L197&lt;&gt;"Y",G197="數值",N197=0),"⚠ 數值需設定欄位 ","")&amp;IF(AND(L197&lt;&gt;"Y",G197="連結表單",K197=""),"⚠ 缺連結表號 ","")&amp;IF(AND(K197&lt;&gt;"",COUNTIF(可連結表單!$J$2:$J$501,K197)=0),"⚠ 連結表號不存在（需為本分項的自主檢查表） ",""))))</f>
        <v/>
      </c>
    </row>
    <row r="198">
      <c r="M198" s="2">
        <f>IF(A198="","",IF(B198="","共用",IF(L198="Y","排除（"&amp;B198&amp;"）",IF(SUMPRODUCT(($A$2:$A$500=A198)*($C$2:$C$500=C198)*($B$2:$B$500=""))&gt;0,"覆蓋共用（"&amp;B198&amp;"）","單元新增（"&amp;B198&amp;"）"))))</f>
        <v/>
      </c>
      <c r="N198" s="2">
        <f>IF(A198="","",COUNTIFS(數值欄位!$A$2:$A$500,A198,數值欄位!$C$2:$C$500,C198))</f>
        <v/>
      </c>
      <c r="O198" s="2">
        <f>IF(A198="","",IF(TRIM(IF(COUNTIF(表單!$A$2:$A$500,A198)=0,"⚠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","")&amp;IF(AND(L198&lt;&gt;"Y",G198="數值",N198=0),"⚠ 數值需設定欄位 ","")&amp;IF(AND(L198&lt;&gt;"Y",G198="連結表單",K198=""),"⚠ 缺連結表號 ","")&amp;IF(AND(K198&lt;&gt;"",COUNTIF(可連結表單!$J$2:$J$501,K198)=0),"⚠ 連結表號不存在（需為本分項的自主檢查表） ",""))="","✓",TRIM(IF(COUNTIF(表單!$A$2:$A$500,A198)=0,"⚠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","")&amp;IF(AND(L198&lt;&gt;"Y",G198="數值",N198=0),"⚠ 數值需設定欄位 ","")&amp;IF(AND(L198&lt;&gt;"Y",G198="連結表單",K198=""),"⚠ 缺連結表號 ","")&amp;IF(AND(K198&lt;&gt;"",COUNTIF(可連結表單!$J$2:$J$501,K198)=0),"⚠ 連結表號不存在（需為本分項的自主檢查表） ",""))))</f>
        <v/>
      </c>
    </row>
    <row r="199">
      <c r="M199" s="2">
        <f>IF(A199="","",IF(B199="","共用",IF(L199="Y","排除（"&amp;B199&amp;"）",IF(SUMPRODUCT(($A$2:$A$500=A199)*($C$2:$C$500=C199)*($B$2:$B$500=""))&gt;0,"覆蓋共用（"&amp;B199&amp;"）","單元新增（"&amp;B199&amp;"）"))))</f>
        <v/>
      </c>
      <c r="N199" s="2">
        <f>IF(A199="","",COUNTIFS(數值欄位!$A$2:$A$500,A199,數值欄位!$C$2:$C$500,C199))</f>
        <v/>
      </c>
      <c r="O199" s="2">
        <f>IF(A199="","",IF(TRIM(IF(COUNTIF(表單!$A$2:$A$500,A199)=0,"⚠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","")&amp;IF(AND(L199&lt;&gt;"Y",G199="數值",N199=0),"⚠ 數值需設定欄位 ","")&amp;IF(AND(L199&lt;&gt;"Y",G199="連結表單",K199=""),"⚠ 缺連結表號 ","")&amp;IF(AND(K199&lt;&gt;"",COUNTIF(可連結表單!$J$2:$J$501,K199)=0),"⚠ 連結表號不存在（需為本分項的自主檢查表） ",""))="","✓",TRIM(IF(COUNTIF(表單!$A$2:$A$500,A199)=0,"⚠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","")&amp;IF(AND(L199&lt;&gt;"Y",G199="數值",N199=0),"⚠ 數值需設定欄位 ","")&amp;IF(AND(L199&lt;&gt;"Y",G199="連結表單",K199=""),"⚠ 缺連結表號 ","")&amp;IF(AND(K199&lt;&gt;"",COUNTIF(可連結表單!$J$2:$J$501,K199)=0),"⚠ 連結表號不存在（需為本分項的自主檢查表） ",""))))</f>
        <v/>
      </c>
    </row>
    <row r="200">
      <c r="M200" s="2">
        <f>IF(A200="","",IF(B200="","共用",IF(L200="Y","排除（"&amp;B200&amp;"）",IF(SUMPRODUCT(($A$2:$A$500=A200)*($C$2:$C$500=C200)*($B$2:$B$500=""))&gt;0,"覆蓋共用（"&amp;B200&amp;"）","單元新增（"&amp;B200&amp;"）"))))</f>
        <v/>
      </c>
      <c r="N200" s="2">
        <f>IF(A200="","",COUNTIFS(數值欄位!$A$2:$A$500,A200,數值欄位!$C$2:$C$500,C200))</f>
        <v/>
      </c>
      <c r="O200" s="2">
        <f>IF(A200="","",IF(TRIM(IF(COUNTIF(表單!$A$2:$A$500,A200)=0,"⚠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","")&amp;IF(AND(L200&lt;&gt;"Y",G200="數值",N200=0),"⚠ 數值需設定欄位 ","")&amp;IF(AND(L200&lt;&gt;"Y",G200="連結表單",K200=""),"⚠ 缺連結表號 ","")&amp;IF(AND(K200&lt;&gt;"",COUNTIF(可連結表單!$J$2:$J$501,K200)=0),"⚠ 連結表號不存在（需為本分項的自主檢查表） ",""))="","✓",TRIM(IF(COUNTIF(表單!$A$2:$A$500,A200)=0,"⚠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","")&amp;IF(AND(L200&lt;&gt;"Y",G200="數值",N200=0),"⚠ 數值需設定欄位 ","")&amp;IF(AND(L200&lt;&gt;"Y",G200="連結表單",K200=""),"⚠ 缺連結表號 ","")&amp;IF(AND(K200&lt;&gt;"",COUNTIF(可連結表單!$J$2:$J$501,K200)=0),"⚠ 連結表號不存在（需為本分項的自主檢查表） ",""))))</f>
        <v/>
      </c>
    </row>
    <row r="201">
      <c r="M201" s="2">
        <f>IF(A201="","",IF(B201="","共用",IF(L201="Y","排除（"&amp;B201&amp;"）",IF(SUMPRODUCT(($A$2:$A$500=A201)*($C$2:$C$500=C201)*($B$2:$B$500=""))&gt;0,"覆蓋共用（"&amp;B201&amp;"）","單元新增（"&amp;B201&amp;"）"))))</f>
        <v/>
      </c>
      <c r="N201" s="2">
        <f>IF(A201="","",COUNTIFS(數值欄位!$A$2:$A$500,A201,數值欄位!$C$2:$C$500,C201))</f>
        <v/>
      </c>
      <c r="O201" s="2">
        <f>IF(A201="","",IF(TRIM(IF(COUNTIF(表單!$A$2:$A$500,A201)=0,"⚠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","")&amp;IF(AND(L201&lt;&gt;"Y",G201="數值",N201=0),"⚠ 數值需設定欄位 ","")&amp;IF(AND(L201&lt;&gt;"Y",G201="連結表單",K201=""),"⚠ 缺連結表號 ","")&amp;IF(AND(K201&lt;&gt;"",COUNTIF(可連結表單!$J$2:$J$501,K201)=0),"⚠ 連結表號不存在（需為本分項的自主檢查表） ",""))="","✓",TRIM(IF(COUNTIF(表單!$A$2:$A$500,A201)=0,"⚠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","")&amp;IF(AND(L201&lt;&gt;"Y",G201="數值",N201=0),"⚠ 數值需設定欄位 ","")&amp;IF(AND(L201&lt;&gt;"Y",G201="連結表單",K201=""),"⚠ 缺連結表號 ","")&amp;IF(AND(K201&lt;&gt;"",COUNTIF(可連結表單!$J$2:$J$501,K201)=0),"⚠ 連結表號不存在（需為本分項的自主檢查表） ",""))))</f>
        <v/>
      </c>
    </row>
    <row r="202">
      <c r="M202" s="2">
        <f>IF(A202="","",IF(B202="","共用",IF(L202="Y","排除（"&amp;B202&amp;"）",IF(SUMPRODUCT(($A$2:$A$500=A202)*($C$2:$C$500=C202)*($B$2:$B$500=""))&gt;0,"覆蓋共用（"&amp;B202&amp;"）","單元新增（"&amp;B202&amp;"）"))))</f>
        <v/>
      </c>
      <c r="N202" s="2">
        <f>IF(A202="","",COUNTIFS(數值欄位!$A$2:$A$500,A202,數值欄位!$C$2:$C$500,C202))</f>
        <v/>
      </c>
      <c r="O202" s="2">
        <f>IF(A202="","",IF(TRIM(IF(COUNTIF(表單!$A$2:$A$500,A202)=0,"⚠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","")&amp;IF(AND(L202&lt;&gt;"Y",G202="數值",N202=0),"⚠ 數值需設定欄位 ","")&amp;IF(AND(L202&lt;&gt;"Y",G202="連結表單",K202=""),"⚠ 缺連結表號 ","")&amp;IF(AND(K202&lt;&gt;"",COUNTIF(可連結表單!$J$2:$J$501,K202)=0),"⚠ 連結表號不存在（需為本分項的自主檢查表） ",""))="","✓",TRIM(IF(COUNTIF(表單!$A$2:$A$500,A202)=0,"⚠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","")&amp;IF(AND(L202&lt;&gt;"Y",G202="數值",N202=0),"⚠ 數值需設定欄位 ","")&amp;IF(AND(L202&lt;&gt;"Y",G202="連結表單",K202=""),"⚠ 缺連結表號 ","")&amp;IF(AND(K202&lt;&gt;"",COUNTIF(可連結表單!$J$2:$J$501,K202)=0),"⚠ 連結表號不存在（需為本分項的自主檢查表） ",""))))</f>
        <v/>
      </c>
    </row>
    <row r="203">
      <c r="M203" s="2">
        <f>IF(A203="","",IF(B203="","共用",IF(L203="Y","排除（"&amp;B203&amp;"）",IF(SUMPRODUCT(($A$2:$A$500=A203)*($C$2:$C$500=C203)*($B$2:$B$500=""))&gt;0,"覆蓋共用（"&amp;B203&amp;"）","單元新增（"&amp;B203&amp;"）"))))</f>
        <v/>
      </c>
      <c r="N203" s="2">
        <f>IF(A203="","",COUNTIFS(數值欄位!$A$2:$A$500,A203,數值欄位!$C$2:$C$500,C203))</f>
        <v/>
      </c>
      <c r="O203" s="2">
        <f>IF(A203="","",IF(TRIM(IF(COUNTIF(表單!$A$2:$A$500,A203)=0,"⚠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","")&amp;IF(AND(L203&lt;&gt;"Y",G203="數值",N203=0),"⚠ 數值需設定欄位 ","")&amp;IF(AND(L203&lt;&gt;"Y",G203="連結表單",K203=""),"⚠ 缺連結表號 ","")&amp;IF(AND(K203&lt;&gt;"",COUNTIF(可連結表單!$J$2:$J$501,K203)=0),"⚠ 連結表號不存在（需為本分項的自主檢查表） ",""))="","✓",TRIM(IF(COUNTIF(表單!$A$2:$A$500,A203)=0,"⚠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","")&amp;IF(AND(L203&lt;&gt;"Y",G203="數值",N203=0),"⚠ 數值需設定欄位 ","")&amp;IF(AND(L203&lt;&gt;"Y",G203="連結表單",K203=""),"⚠ 缺連結表號 ","")&amp;IF(AND(K203&lt;&gt;"",COUNTIF(可連結表單!$J$2:$J$501,K203)=0),"⚠ 連結表號不存在（需為本分項的自主檢查表） ",""))))</f>
        <v/>
      </c>
    </row>
    <row r="204">
      <c r="M204" s="2">
        <f>IF(A204="","",IF(B204="","共用",IF(L204="Y","排除（"&amp;B204&amp;"）",IF(SUMPRODUCT(($A$2:$A$500=A204)*($C$2:$C$500=C204)*($B$2:$B$500=""))&gt;0,"覆蓋共用（"&amp;B204&amp;"）","單元新增（"&amp;B204&amp;"）"))))</f>
        <v/>
      </c>
      <c r="N204" s="2">
        <f>IF(A204="","",COUNTIFS(數值欄位!$A$2:$A$500,A204,數值欄位!$C$2:$C$500,C204))</f>
        <v/>
      </c>
      <c r="O204" s="2">
        <f>IF(A204="","",IF(TRIM(IF(COUNTIF(表單!$A$2:$A$500,A204)=0,"⚠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","")&amp;IF(AND(L204&lt;&gt;"Y",G204="數值",N204=0),"⚠ 數值需設定欄位 ","")&amp;IF(AND(L204&lt;&gt;"Y",G204="連結表單",K204=""),"⚠ 缺連結表號 ","")&amp;IF(AND(K204&lt;&gt;"",COUNTIF(可連結表單!$J$2:$J$501,K204)=0),"⚠ 連結表號不存在（需為本分項的自主檢查表） ",""))="","✓",TRIM(IF(COUNTIF(表單!$A$2:$A$500,A204)=0,"⚠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","")&amp;IF(AND(L204&lt;&gt;"Y",G204="數值",N204=0),"⚠ 數值需設定欄位 ","")&amp;IF(AND(L204&lt;&gt;"Y",G204="連結表單",K204=""),"⚠ 缺連結表號 ","")&amp;IF(AND(K204&lt;&gt;"",COUNTIF(可連結表單!$J$2:$J$501,K204)=0),"⚠ 連結表號不存在（需為本分項的自主檢查表） ",""))))</f>
        <v/>
      </c>
    </row>
    <row r="205">
      <c r="M205" s="2">
        <f>IF(A205="","",IF(B205="","共用",IF(L205="Y","排除（"&amp;B205&amp;"）",IF(SUMPRODUCT(($A$2:$A$500=A205)*($C$2:$C$500=C205)*($B$2:$B$500=""))&gt;0,"覆蓋共用（"&amp;B205&amp;"）","單元新增（"&amp;B205&amp;"）"))))</f>
        <v/>
      </c>
      <c r="N205" s="2">
        <f>IF(A205="","",COUNTIFS(數值欄位!$A$2:$A$500,A205,數值欄位!$C$2:$C$500,C205))</f>
        <v/>
      </c>
      <c r="O205" s="2">
        <f>IF(A205="","",IF(TRIM(IF(COUNTIF(表單!$A$2:$A$500,A205)=0,"⚠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","")&amp;IF(AND(L205&lt;&gt;"Y",G205="數值",N205=0),"⚠ 數值需設定欄位 ","")&amp;IF(AND(L205&lt;&gt;"Y",G205="連結表單",K205=""),"⚠ 缺連結表號 ","")&amp;IF(AND(K205&lt;&gt;"",COUNTIF(可連結表單!$J$2:$J$501,K205)=0),"⚠ 連結表號不存在（需為本分項的自主檢查表） ",""))="","✓",TRIM(IF(COUNTIF(表單!$A$2:$A$500,A205)=0,"⚠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","")&amp;IF(AND(L205&lt;&gt;"Y",G205="數值",N205=0),"⚠ 數值需設定欄位 ","")&amp;IF(AND(L205&lt;&gt;"Y",G205="連結表單",K205=""),"⚠ 缺連結表號 ","")&amp;IF(AND(K205&lt;&gt;"",COUNTIF(可連結表單!$J$2:$J$501,K205)=0),"⚠ 連結表號不存在（需為本分項的自主檢查表） ",""))))</f>
        <v/>
      </c>
    </row>
    <row r="206">
      <c r="M206" s="2">
        <f>IF(A206="","",IF(B206="","共用",IF(L206="Y","排除（"&amp;B206&amp;"）",IF(SUMPRODUCT(($A$2:$A$500=A206)*($C$2:$C$500=C206)*($B$2:$B$500=""))&gt;0,"覆蓋共用（"&amp;B206&amp;"）","單元新增（"&amp;B206&amp;"）"))))</f>
        <v/>
      </c>
      <c r="N206" s="2">
        <f>IF(A206="","",COUNTIFS(數值欄位!$A$2:$A$500,A206,數值欄位!$C$2:$C$500,C206))</f>
        <v/>
      </c>
      <c r="O206" s="2">
        <f>IF(A206="","",IF(TRIM(IF(COUNTIF(表單!$A$2:$A$500,A206)=0,"⚠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","")&amp;IF(AND(L206&lt;&gt;"Y",G206="數值",N206=0),"⚠ 數值需設定欄位 ","")&amp;IF(AND(L206&lt;&gt;"Y",G206="連結表單",K206=""),"⚠ 缺連結表號 ","")&amp;IF(AND(K206&lt;&gt;"",COUNTIF(可連結表單!$J$2:$J$501,K206)=0),"⚠ 連結表號不存在（需為本分項的自主檢查表） ",""))="","✓",TRIM(IF(COUNTIF(表單!$A$2:$A$500,A206)=0,"⚠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","")&amp;IF(AND(L206&lt;&gt;"Y",G206="數值",N206=0),"⚠ 數值需設定欄位 ","")&amp;IF(AND(L206&lt;&gt;"Y",G206="連結表單",K206=""),"⚠ 缺連結表號 ","")&amp;IF(AND(K206&lt;&gt;"",COUNTIF(可連結表單!$J$2:$J$501,K206)=0),"⚠ 連結表號不存在（需為本分項的自主檢查表） ",""))))</f>
        <v/>
      </c>
    </row>
    <row r="207">
      <c r="M207" s="2">
        <f>IF(A207="","",IF(B207="","共用",IF(L207="Y","排除（"&amp;B207&amp;"）",IF(SUMPRODUCT(($A$2:$A$500=A207)*($C$2:$C$500=C207)*($B$2:$B$500=""))&gt;0,"覆蓋共用（"&amp;B207&amp;"）","單元新增（"&amp;B207&amp;"）"))))</f>
        <v/>
      </c>
      <c r="N207" s="2">
        <f>IF(A207="","",COUNTIFS(數值欄位!$A$2:$A$500,A207,數值欄位!$C$2:$C$500,C207))</f>
        <v/>
      </c>
      <c r="O207" s="2">
        <f>IF(A207="","",IF(TRIM(IF(COUNTIF(表單!$A$2:$A$500,A207)=0,"⚠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","")&amp;IF(AND(L207&lt;&gt;"Y",G207="數值",N207=0),"⚠ 數值需設定欄位 ","")&amp;IF(AND(L207&lt;&gt;"Y",G207="連結表單",K207=""),"⚠ 缺連結表號 ","")&amp;IF(AND(K207&lt;&gt;"",COUNTIF(可連結表單!$J$2:$J$501,K207)=0),"⚠ 連結表號不存在（需為本分項的自主檢查表） ",""))="","✓",TRIM(IF(COUNTIF(表單!$A$2:$A$500,A207)=0,"⚠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","")&amp;IF(AND(L207&lt;&gt;"Y",G207="數值",N207=0),"⚠ 數值需設定欄位 ","")&amp;IF(AND(L207&lt;&gt;"Y",G207="連結表單",K207=""),"⚠ 缺連結表號 ","")&amp;IF(AND(K207&lt;&gt;"",COUNTIF(可連結表單!$J$2:$J$501,K207)=0),"⚠ 連結表號不存在（需為本分項的自主檢查表） ",""))))</f>
        <v/>
      </c>
    </row>
    <row r="208">
      <c r="M208" s="2">
        <f>IF(A208="","",IF(B208="","共用",IF(L208="Y","排除（"&amp;B208&amp;"）",IF(SUMPRODUCT(($A$2:$A$500=A208)*($C$2:$C$500=C208)*($B$2:$B$500=""))&gt;0,"覆蓋共用（"&amp;B208&amp;"）","單元新增（"&amp;B208&amp;"）"))))</f>
        <v/>
      </c>
      <c r="N208" s="2">
        <f>IF(A208="","",COUNTIFS(數值欄位!$A$2:$A$500,A208,數值欄位!$C$2:$C$500,C208))</f>
        <v/>
      </c>
      <c r="O208" s="2">
        <f>IF(A208="","",IF(TRIM(IF(COUNTIF(表單!$A$2:$A$500,A208)=0,"⚠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","")&amp;IF(AND(L208&lt;&gt;"Y",G208="數值",N208=0),"⚠ 數值需設定欄位 ","")&amp;IF(AND(L208&lt;&gt;"Y",G208="連結表單",K208=""),"⚠ 缺連結表號 ","")&amp;IF(AND(K208&lt;&gt;"",COUNTIF(可連結表單!$J$2:$J$501,K208)=0),"⚠ 連結表號不存在（需為本分項的自主檢查表） ",""))="","✓",TRIM(IF(COUNTIF(表單!$A$2:$A$500,A208)=0,"⚠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","")&amp;IF(AND(L208&lt;&gt;"Y",G208="數值",N208=0),"⚠ 數值需設定欄位 ","")&amp;IF(AND(L208&lt;&gt;"Y",G208="連結表單",K208=""),"⚠ 缺連結表號 ","")&amp;IF(AND(K208&lt;&gt;"",COUNTIF(可連結表單!$J$2:$J$501,K208)=0),"⚠ 連結表號不存在（需為本分項的自主檢查表） ",""))))</f>
        <v/>
      </c>
    </row>
    <row r="209">
      <c r="M209" s="2">
        <f>IF(A209="","",IF(B209="","共用",IF(L209="Y","排除（"&amp;B209&amp;"）",IF(SUMPRODUCT(($A$2:$A$500=A209)*($C$2:$C$500=C209)*($B$2:$B$500=""))&gt;0,"覆蓋共用（"&amp;B209&amp;"）","單元新增（"&amp;B209&amp;"）"))))</f>
        <v/>
      </c>
      <c r="N209" s="2">
        <f>IF(A209="","",COUNTIFS(數值欄位!$A$2:$A$500,A209,數值欄位!$C$2:$C$500,C209))</f>
        <v/>
      </c>
      <c r="O209" s="2">
        <f>IF(A209="","",IF(TRIM(IF(COUNTIF(表單!$A$2:$A$500,A209)=0,"⚠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","")&amp;IF(AND(L209&lt;&gt;"Y",G209="數值",N209=0),"⚠ 數值需設定欄位 ","")&amp;IF(AND(L209&lt;&gt;"Y",G209="連結表單",K209=""),"⚠ 缺連結表號 ","")&amp;IF(AND(K209&lt;&gt;"",COUNTIF(可連結表單!$J$2:$J$501,K209)=0),"⚠ 連結表號不存在（需為本分項的自主檢查表） ",""))="","✓",TRIM(IF(COUNTIF(表單!$A$2:$A$500,A209)=0,"⚠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","")&amp;IF(AND(L209&lt;&gt;"Y",G209="數值",N209=0),"⚠ 數值需設定欄位 ","")&amp;IF(AND(L209&lt;&gt;"Y",G209="連結表單",K209=""),"⚠ 缺連結表號 ","")&amp;IF(AND(K209&lt;&gt;"",COUNTIF(可連結表單!$J$2:$J$501,K209)=0),"⚠ 連結表號不存在（需為本分項的自主檢查表） ",""))))</f>
        <v/>
      </c>
    </row>
    <row r="210">
      <c r="M210" s="2">
        <f>IF(A210="","",IF(B210="","共用",IF(L210="Y","排除（"&amp;B210&amp;"）",IF(SUMPRODUCT(($A$2:$A$500=A210)*($C$2:$C$500=C210)*($B$2:$B$500=""))&gt;0,"覆蓋共用（"&amp;B210&amp;"）","單元新增（"&amp;B210&amp;"）"))))</f>
        <v/>
      </c>
      <c r="N210" s="2">
        <f>IF(A210="","",COUNTIFS(數值欄位!$A$2:$A$500,A210,數值欄位!$C$2:$C$500,C210))</f>
        <v/>
      </c>
      <c r="O210" s="2">
        <f>IF(A210="","",IF(TRIM(IF(COUNTIF(表單!$A$2:$A$500,A210)=0,"⚠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","")&amp;IF(AND(L210&lt;&gt;"Y",G210="數值",N210=0),"⚠ 數值需設定欄位 ","")&amp;IF(AND(L210&lt;&gt;"Y",G210="連結表單",K210=""),"⚠ 缺連結表號 ","")&amp;IF(AND(K210&lt;&gt;"",COUNTIF(可連結表單!$J$2:$J$501,K210)=0),"⚠ 連結表號不存在（需為本分項的自主檢查表） ",""))="","✓",TRIM(IF(COUNTIF(表單!$A$2:$A$500,A210)=0,"⚠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","")&amp;IF(AND(L210&lt;&gt;"Y",G210="數值",N210=0),"⚠ 數值需設定欄位 ","")&amp;IF(AND(L210&lt;&gt;"Y",G210="連結表單",K210=""),"⚠ 缺連結表號 ","")&amp;IF(AND(K210&lt;&gt;"",COUNTIF(可連結表單!$J$2:$J$501,K210)=0),"⚠ 連結表號不存在（需為本分項的自主檢查表） ",""))))</f>
        <v/>
      </c>
    </row>
    <row r="211">
      <c r="M211" s="2">
        <f>IF(A211="","",IF(B211="","共用",IF(L211="Y","排除（"&amp;B211&amp;"）",IF(SUMPRODUCT(($A$2:$A$500=A211)*($C$2:$C$500=C211)*($B$2:$B$500=""))&gt;0,"覆蓋共用（"&amp;B211&amp;"）","單元新增（"&amp;B211&amp;"）"))))</f>
        <v/>
      </c>
      <c r="N211" s="2">
        <f>IF(A211="","",COUNTIFS(數值欄位!$A$2:$A$500,A211,數值欄位!$C$2:$C$500,C211))</f>
        <v/>
      </c>
      <c r="O211" s="2">
        <f>IF(A211="","",IF(TRIM(IF(COUNTIF(表單!$A$2:$A$500,A211)=0,"⚠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","")&amp;IF(AND(L211&lt;&gt;"Y",G211="數值",N211=0),"⚠ 數值需設定欄位 ","")&amp;IF(AND(L211&lt;&gt;"Y",G211="連結表單",K211=""),"⚠ 缺連結表號 ","")&amp;IF(AND(K211&lt;&gt;"",COUNTIF(可連結表單!$J$2:$J$501,K211)=0),"⚠ 連結表號不存在（需為本分項的自主檢查表） ",""))="","✓",TRIM(IF(COUNTIF(表單!$A$2:$A$500,A211)=0,"⚠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","")&amp;IF(AND(L211&lt;&gt;"Y",G211="數值",N211=0),"⚠ 數值需設定欄位 ","")&amp;IF(AND(L211&lt;&gt;"Y",G211="連結表單",K211=""),"⚠ 缺連結表號 ","")&amp;IF(AND(K211&lt;&gt;"",COUNTIF(可連結表單!$J$2:$J$501,K211)=0),"⚠ 連結表號不存在（需為本分項的自主檢查表） ",""))))</f>
        <v/>
      </c>
    </row>
    <row r="212">
      <c r="M212" s="2">
        <f>IF(A212="","",IF(B212="","共用",IF(L212="Y","排除（"&amp;B212&amp;"）",IF(SUMPRODUCT(($A$2:$A$500=A212)*($C$2:$C$500=C212)*($B$2:$B$500=""))&gt;0,"覆蓋共用（"&amp;B212&amp;"）","單元新增（"&amp;B212&amp;"）"))))</f>
        <v/>
      </c>
      <c r="N212" s="2">
        <f>IF(A212="","",COUNTIFS(數值欄位!$A$2:$A$500,A212,數值欄位!$C$2:$C$500,C212))</f>
        <v/>
      </c>
      <c r="O212" s="2">
        <f>IF(A212="","",IF(TRIM(IF(COUNTIF(表單!$A$2:$A$500,A212)=0,"⚠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","")&amp;IF(AND(L212&lt;&gt;"Y",G212="數值",N212=0),"⚠ 數值需設定欄位 ","")&amp;IF(AND(L212&lt;&gt;"Y",G212="連結表單",K212=""),"⚠ 缺連結表號 ","")&amp;IF(AND(K212&lt;&gt;"",COUNTIF(可連結表單!$J$2:$J$501,K212)=0),"⚠ 連結表號不存在（需為本分項的自主檢查表） ",""))="","✓",TRIM(IF(COUNTIF(表單!$A$2:$A$500,A212)=0,"⚠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","")&amp;IF(AND(L212&lt;&gt;"Y",G212="數值",N212=0),"⚠ 數值需設定欄位 ","")&amp;IF(AND(L212&lt;&gt;"Y",G212="連結表單",K212=""),"⚠ 缺連結表號 ","")&amp;IF(AND(K212&lt;&gt;"",COUNTIF(可連結表單!$J$2:$J$501,K212)=0),"⚠ 連結表號不存在（需為本分項的自主檢查表） ",""))))</f>
        <v/>
      </c>
    </row>
    <row r="213">
      <c r="M213" s="2">
        <f>IF(A213="","",IF(B213="","共用",IF(L213="Y","排除（"&amp;B213&amp;"）",IF(SUMPRODUCT(($A$2:$A$500=A213)*($C$2:$C$500=C213)*($B$2:$B$500=""))&gt;0,"覆蓋共用（"&amp;B213&amp;"）","單元新增（"&amp;B213&amp;"）"))))</f>
        <v/>
      </c>
      <c r="N213" s="2">
        <f>IF(A213="","",COUNTIFS(數值欄位!$A$2:$A$500,A213,數值欄位!$C$2:$C$500,C213))</f>
        <v/>
      </c>
      <c r="O213" s="2">
        <f>IF(A213="","",IF(TRIM(IF(COUNTIF(表單!$A$2:$A$500,A213)=0,"⚠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","")&amp;IF(AND(L213&lt;&gt;"Y",G213="數值",N213=0),"⚠ 數值需設定欄位 ","")&amp;IF(AND(L213&lt;&gt;"Y",G213="連結表單",K213=""),"⚠ 缺連結表號 ","")&amp;IF(AND(K213&lt;&gt;"",COUNTIF(可連結表單!$J$2:$J$501,K213)=0),"⚠ 連結表號不存在（需為本分項的自主檢查表） ",""))="","✓",TRIM(IF(COUNTIF(表單!$A$2:$A$500,A213)=0,"⚠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","")&amp;IF(AND(L213&lt;&gt;"Y",G213="數值",N213=0),"⚠ 數值需設定欄位 ","")&amp;IF(AND(L213&lt;&gt;"Y",G213="連結表單",K213=""),"⚠ 缺連結表號 ","")&amp;IF(AND(K213&lt;&gt;"",COUNTIF(可連結表單!$J$2:$J$501,K213)=0),"⚠ 連結表號不存在（需為本分項的自主檢查表） ",""))))</f>
        <v/>
      </c>
    </row>
    <row r="214">
      <c r="M214" s="2">
        <f>IF(A214="","",IF(B214="","共用",IF(L214="Y","排除（"&amp;B214&amp;"）",IF(SUMPRODUCT(($A$2:$A$500=A214)*($C$2:$C$500=C214)*($B$2:$B$500=""))&gt;0,"覆蓋共用（"&amp;B214&amp;"）","單元新增（"&amp;B214&amp;"）"))))</f>
        <v/>
      </c>
      <c r="N214" s="2">
        <f>IF(A214="","",COUNTIFS(數值欄位!$A$2:$A$500,A214,數值欄位!$C$2:$C$500,C214))</f>
        <v/>
      </c>
      <c r="O214" s="2">
        <f>IF(A214="","",IF(TRIM(IF(COUNTIF(表單!$A$2:$A$500,A214)=0,"⚠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","")&amp;IF(AND(L214&lt;&gt;"Y",G214="數值",N214=0),"⚠ 數值需設定欄位 ","")&amp;IF(AND(L214&lt;&gt;"Y",G214="連結表單",K214=""),"⚠ 缺連結表號 ","")&amp;IF(AND(K214&lt;&gt;"",COUNTIF(可連結表單!$J$2:$J$501,K214)=0),"⚠ 連結表號不存在（需為本分項的自主檢查表） ",""))="","✓",TRIM(IF(COUNTIF(表單!$A$2:$A$500,A214)=0,"⚠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","")&amp;IF(AND(L214&lt;&gt;"Y",G214="數值",N214=0),"⚠ 數值需設定欄位 ","")&amp;IF(AND(L214&lt;&gt;"Y",G214="連結表單",K214=""),"⚠ 缺連結表號 ","")&amp;IF(AND(K214&lt;&gt;"",COUNTIF(可連結表單!$J$2:$J$501,K214)=0),"⚠ 連結表號不存在（需為本分項的自主檢查表） ",""))))</f>
        <v/>
      </c>
    </row>
    <row r="215">
      <c r="M215" s="2">
        <f>IF(A215="","",IF(B215="","共用",IF(L215="Y","排除（"&amp;B215&amp;"）",IF(SUMPRODUCT(($A$2:$A$500=A215)*($C$2:$C$500=C215)*($B$2:$B$500=""))&gt;0,"覆蓋共用（"&amp;B215&amp;"）","單元新增（"&amp;B215&amp;"）"))))</f>
        <v/>
      </c>
      <c r="N215" s="2">
        <f>IF(A215="","",COUNTIFS(數值欄位!$A$2:$A$500,A215,數值欄位!$C$2:$C$500,C215))</f>
        <v/>
      </c>
      <c r="O215" s="2">
        <f>IF(A215="","",IF(TRIM(IF(COUNTIF(表單!$A$2:$A$500,A215)=0,"⚠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","")&amp;IF(AND(L215&lt;&gt;"Y",G215="數值",N215=0),"⚠ 數值需設定欄位 ","")&amp;IF(AND(L215&lt;&gt;"Y",G215="連結表單",K215=""),"⚠ 缺連結表號 ","")&amp;IF(AND(K215&lt;&gt;"",COUNTIF(可連結表單!$J$2:$J$501,K215)=0),"⚠ 連結表號不存在（需為本分項的自主檢查表） ",""))="","✓",TRIM(IF(COUNTIF(表單!$A$2:$A$500,A215)=0,"⚠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","")&amp;IF(AND(L215&lt;&gt;"Y",G215="數值",N215=0),"⚠ 數值需設定欄位 ","")&amp;IF(AND(L215&lt;&gt;"Y",G215="連結表單",K215=""),"⚠ 缺連結表號 ","")&amp;IF(AND(K215&lt;&gt;"",COUNTIF(可連結表單!$J$2:$J$501,K215)=0),"⚠ 連結表號不存在（需為本分項的自主檢查表） ",""))))</f>
        <v/>
      </c>
    </row>
    <row r="216">
      <c r="M216" s="2">
        <f>IF(A216="","",IF(B216="","共用",IF(L216="Y","排除（"&amp;B216&amp;"）",IF(SUMPRODUCT(($A$2:$A$500=A216)*($C$2:$C$500=C216)*($B$2:$B$500=""))&gt;0,"覆蓋共用（"&amp;B216&amp;"）","單元新增（"&amp;B216&amp;"）"))))</f>
        <v/>
      </c>
      <c r="N216" s="2">
        <f>IF(A216="","",COUNTIFS(數值欄位!$A$2:$A$500,A216,數值欄位!$C$2:$C$500,C216))</f>
        <v/>
      </c>
      <c r="O216" s="2">
        <f>IF(A216="","",IF(TRIM(IF(COUNTIF(表單!$A$2:$A$500,A216)=0,"⚠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","")&amp;IF(AND(L216&lt;&gt;"Y",G216="數值",N216=0),"⚠ 數值需設定欄位 ","")&amp;IF(AND(L216&lt;&gt;"Y",G216="連結表單",K216=""),"⚠ 缺連結表號 ","")&amp;IF(AND(K216&lt;&gt;"",COUNTIF(可連結表單!$J$2:$J$501,K216)=0),"⚠ 連結表號不存在（需為本分項的自主檢查表） ",""))="","✓",TRIM(IF(COUNTIF(表單!$A$2:$A$500,A216)=0,"⚠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","")&amp;IF(AND(L216&lt;&gt;"Y",G216="數值",N216=0),"⚠ 數值需設定欄位 ","")&amp;IF(AND(L216&lt;&gt;"Y",G216="連結表單",K216=""),"⚠ 缺連結表號 ","")&amp;IF(AND(K216&lt;&gt;"",COUNTIF(可連結表單!$J$2:$J$501,K216)=0),"⚠ 連結表號不存在（需為本分項的自主檢查表） ",""))))</f>
        <v/>
      </c>
    </row>
    <row r="217">
      <c r="M217" s="2">
        <f>IF(A217="","",IF(B217="","共用",IF(L217="Y","排除（"&amp;B217&amp;"）",IF(SUMPRODUCT(($A$2:$A$500=A217)*($C$2:$C$500=C217)*($B$2:$B$500=""))&gt;0,"覆蓋共用（"&amp;B217&amp;"）","單元新增（"&amp;B217&amp;"）"))))</f>
        <v/>
      </c>
      <c r="N217" s="2">
        <f>IF(A217="","",COUNTIFS(數值欄位!$A$2:$A$500,A217,數值欄位!$C$2:$C$500,C217))</f>
        <v/>
      </c>
      <c r="O217" s="2">
        <f>IF(A217="","",IF(TRIM(IF(COUNTIF(表單!$A$2:$A$500,A217)=0,"⚠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","")&amp;IF(AND(L217&lt;&gt;"Y",G217="數值",N217=0),"⚠ 數值需設定欄位 ","")&amp;IF(AND(L217&lt;&gt;"Y",G217="連結表單",K217=""),"⚠ 缺連結表號 ","")&amp;IF(AND(K217&lt;&gt;"",COUNTIF(可連結表單!$J$2:$J$501,K217)=0),"⚠ 連結表號不存在（需為本分項的自主檢查表） ",""))="","✓",TRIM(IF(COUNTIF(表單!$A$2:$A$500,A217)=0,"⚠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","")&amp;IF(AND(L217&lt;&gt;"Y",G217="數值",N217=0),"⚠ 數值需設定欄位 ","")&amp;IF(AND(L217&lt;&gt;"Y",G217="連結表單",K217=""),"⚠ 缺連結表號 ","")&amp;IF(AND(K217&lt;&gt;"",COUNTIF(可連結表單!$J$2:$J$501,K217)=0),"⚠ 連結表號不存在（需為本分項的自主檢查表） ",""))))</f>
        <v/>
      </c>
    </row>
    <row r="218">
      <c r="M218" s="2">
        <f>IF(A218="","",IF(B218="","共用",IF(L218="Y","排除（"&amp;B218&amp;"）",IF(SUMPRODUCT(($A$2:$A$500=A218)*($C$2:$C$500=C218)*($B$2:$B$500=""))&gt;0,"覆蓋共用（"&amp;B218&amp;"）","單元新增（"&amp;B218&amp;"）"))))</f>
        <v/>
      </c>
      <c r="N218" s="2">
        <f>IF(A218="","",COUNTIFS(數值欄位!$A$2:$A$500,A218,數值欄位!$C$2:$C$500,C218))</f>
        <v/>
      </c>
      <c r="O218" s="2">
        <f>IF(A218="","",IF(TRIM(IF(COUNTIF(表單!$A$2:$A$500,A218)=0,"⚠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","")&amp;IF(AND(L218&lt;&gt;"Y",G218="數值",N218=0),"⚠ 數值需設定欄位 ","")&amp;IF(AND(L218&lt;&gt;"Y",G218="連結表單",K218=""),"⚠ 缺連結表號 ","")&amp;IF(AND(K218&lt;&gt;"",COUNTIF(可連結表單!$J$2:$J$501,K218)=0),"⚠ 連結表號不存在（需為本分項的自主檢查表） ",""))="","✓",TRIM(IF(COUNTIF(表單!$A$2:$A$500,A218)=0,"⚠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","")&amp;IF(AND(L218&lt;&gt;"Y",G218="數值",N218=0),"⚠ 數值需設定欄位 ","")&amp;IF(AND(L218&lt;&gt;"Y",G218="連結表單",K218=""),"⚠ 缺連結表號 ","")&amp;IF(AND(K218&lt;&gt;"",COUNTIF(可連結表單!$J$2:$J$501,K218)=0),"⚠ 連結表號不存在（需為本分項的自主檢查表） ",""))))</f>
        <v/>
      </c>
    </row>
    <row r="219">
      <c r="M219" s="2">
        <f>IF(A219="","",IF(B219="","共用",IF(L219="Y","排除（"&amp;B219&amp;"）",IF(SUMPRODUCT(($A$2:$A$500=A219)*($C$2:$C$500=C219)*($B$2:$B$500=""))&gt;0,"覆蓋共用（"&amp;B219&amp;"）","單元新增（"&amp;B219&amp;"）"))))</f>
        <v/>
      </c>
      <c r="N219" s="2">
        <f>IF(A219="","",COUNTIFS(數值欄位!$A$2:$A$500,A219,數值欄位!$C$2:$C$500,C219))</f>
        <v/>
      </c>
      <c r="O219" s="2">
        <f>IF(A219="","",IF(TRIM(IF(COUNTIF(表單!$A$2:$A$500,A219)=0,"⚠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","")&amp;IF(AND(L219&lt;&gt;"Y",G219="數值",N219=0),"⚠ 數值需設定欄位 ","")&amp;IF(AND(L219&lt;&gt;"Y",G219="連結表單",K219=""),"⚠ 缺連結表號 ","")&amp;IF(AND(K219&lt;&gt;"",COUNTIF(可連結表單!$J$2:$J$501,K219)=0),"⚠ 連結表號不存在（需為本分項的自主檢查表） ",""))="","✓",TRIM(IF(COUNTIF(表單!$A$2:$A$500,A219)=0,"⚠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","")&amp;IF(AND(L219&lt;&gt;"Y",G219="數值",N219=0),"⚠ 數值需設定欄位 ","")&amp;IF(AND(L219&lt;&gt;"Y",G219="連結表單",K219=""),"⚠ 缺連結表號 ","")&amp;IF(AND(K219&lt;&gt;"",COUNTIF(可連結表單!$J$2:$J$501,K219)=0),"⚠ 連結表號不存在（需為本分項的自主檢查表） ",""))))</f>
        <v/>
      </c>
    </row>
    <row r="220">
      <c r="M220" s="2">
        <f>IF(A220="","",IF(B220="","共用",IF(L220="Y","排除（"&amp;B220&amp;"）",IF(SUMPRODUCT(($A$2:$A$500=A220)*($C$2:$C$500=C220)*($B$2:$B$500=""))&gt;0,"覆蓋共用（"&amp;B220&amp;"）","單元新增（"&amp;B220&amp;"）"))))</f>
        <v/>
      </c>
      <c r="N220" s="2">
        <f>IF(A220="","",COUNTIFS(數值欄位!$A$2:$A$500,A220,數值欄位!$C$2:$C$500,C220))</f>
        <v/>
      </c>
      <c r="O220" s="2">
        <f>IF(A220="","",IF(TRIM(IF(COUNTIF(表單!$A$2:$A$500,A220)=0,"⚠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","")&amp;IF(AND(L220&lt;&gt;"Y",G220="數值",N220=0),"⚠ 數值需設定欄位 ","")&amp;IF(AND(L220&lt;&gt;"Y",G220="連結表單",K220=""),"⚠ 缺連結表號 ","")&amp;IF(AND(K220&lt;&gt;"",COUNTIF(可連結表單!$J$2:$J$501,K220)=0),"⚠ 連結表號不存在（需為本分項的自主檢查表） ",""))="","✓",TRIM(IF(COUNTIF(表單!$A$2:$A$500,A220)=0,"⚠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","")&amp;IF(AND(L220&lt;&gt;"Y",G220="數值",N220=0),"⚠ 數值需設定欄位 ","")&amp;IF(AND(L220&lt;&gt;"Y",G220="連結表單",K220=""),"⚠ 缺連結表號 ","")&amp;IF(AND(K220&lt;&gt;"",COUNTIF(可連結表單!$J$2:$J$501,K220)=0),"⚠ 連結表號不存在（需為本分項的自主檢查表） ",""))))</f>
        <v/>
      </c>
    </row>
    <row r="221">
      <c r="M221" s="2">
        <f>IF(A221="","",IF(B221="","共用",IF(L221="Y","排除（"&amp;B221&amp;"）",IF(SUMPRODUCT(($A$2:$A$500=A221)*($C$2:$C$500=C221)*($B$2:$B$500=""))&gt;0,"覆蓋共用（"&amp;B221&amp;"）","單元新增（"&amp;B221&amp;"）"))))</f>
        <v/>
      </c>
      <c r="N221" s="2">
        <f>IF(A221="","",COUNTIFS(數值欄位!$A$2:$A$500,A221,數值欄位!$C$2:$C$500,C221))</f>
        <v/>
      </c>
      <c r="O221" s="2">
        <f>IF(A221="","",IF(TRIM(IF(COUNTIF(表單!$A$2:$A$500,A221)=0,"⚠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","")&amp;IF(AND(L221&lt;&gt;"Y",G221="數值",N221=0),"⚠ 數值需設定欄位 ","")&amp;IF(AND(L221&lt;&gt;"Y",G221="連結表單",K221=""),"⚠ 缺連結表號 ","")&amp;IF(AND(K221&lt;&gt;"",COUNTIF(可連結表單!$J$2:$J$501,K221)=0),"⚠ 連結表號不存在（需為本分項的自主檢查表） ",""))="","✓",TRIM(IF(COUNTIF(表單!$A$2:$A$500,A221)=0,"⚠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","")&amp;IF(AND(L221&lt;&gt;"Y",G221="數值",N221=0),"⚠ 數值需設定欄位 ","")&amp;IF(AND(L221&lt;&gt;"Y",G221="連結表單",K221=""),"⚠ 缺連結表號 ","")&amp;IF(AND(K221&lt;&gt;"",COUNTIF(可連結表單!$J$2:$J$501,K221)=0),"⚠ 連結表號不存在（需為本分項的自主檢查表） ",""))))</f>
        <v/>
      </c>
    </row>
    <row r="222">
      <c r="M222" s="2">
        <f>IF(A222="","",IF(B222="","共用",IF(L222="Y","排除（"&amp;B222&amp;"）",IF(SUMPRODUCT(($A$2:$A$500=A222)*($C$2:$C$500=C222)*($B$2:$B$500=""))&gt;0,"覆蓋共用（"&amp;B222&amp;"）","單元新增（"&amp;B222&amp;"）"))))</f>
        <v/>
      </c>
      <c r="N222" s="2">
        <f>IF(A222="","",COUNTIFS(數值欄位!$A$2:$A$500,A222,數值欄位!$C$2:$C$500,C222))</f>
        <v/>
      </c>
      <c r="O222" s="2">
        <f>IF(A222="","",IF(TRIM(IF(COUNTIF(表單!$A$2:$A$500,A222)=0,"⚠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","")&amp;IF(AND(L222&lt;&gt;"Y",G222="數值",N222=0),"⚠ 數值需設定欄位 ","")&amp;IF(AND(L222&lt;&gt;"Y",G222="連結表單",K222=""),"⚠ 缺連結表號 ","")&amp;IF(AND(K222&lt;&gt;"",COUNTIF(可連結表單!$J$2:$J$501,K222)=0),"⚠ 連結表號不存在（需為本分項的自主檢查表） ",""))="","✓",TRIM(IF(COUNTIF(表單!$A$2:$A$500,A222)=0,"⚠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","")&amp;IF(AND(L222&lt;&gt;"Y",G222="數值",N222=0),"⚠ 數值需設定欄位 ","")&amp;IF(AND(L222&lt;&gt;"Y",G222="連結表單",K222=""),"⚠ 缺連結表號 ","")&amp;IF(AND(K222&lt;&gt;"",COUNTIF(可連結表單!$J$2:$J$501,K222)=0),"⚠ 連結表號不存在（需為本分項的自主檢查表） ",""))))</f>
        <v/>
      </c>
    </row>
    <row r="223">
      <c r="M223" s="2">
        <f>IF(A223="","",IF(B223="","共用",IF(L223="Y","排除（"&amp;B223&amp;"）",IF(SUMPRODUCT(($A$2:$A$500=A223)*($C$2:$C$500=C223)*($B$2:$B$500=""))&gt;0,"覆蓋共用（"&amp;B223&amp;"）","單元新增（"&amp;B223&amp;"）"))))</f>
        <v/>
      </c>
      <c r="N223" s="2">
        <f>IF(A223="","",COUNTIFS(數值欄位!$A$2:$A$500,A223,數值欄位!$C$2:$C$500,C223))</f>
        <v/>
      </c>
      <c r="O223" s="2">
        <f>IF(A223="","",IF(TRIM(IF(COUNTIF(表單!$A$2:$A$500,A223)=0,"⚠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","")&amp;IF(AND(L223&lt;&gt;"Y",G223="數值",N223=0),"⚠ 數值需設定欄位 ","")&amp;IF(AND(L223&lt;&gt;"Y",G223="連結表單",K223=""),"⚠ 缺連結表號 ","")&amp;IF(AND(K223&lt;&gt;"",COUNTIF(可連結表單!$J$2:$J$501,K223)=0),"⚠ 連結表號不存在（需為本分項的自主檢查表） ",""))="","✓",TRIM(IF(COUNTIF(表單!$A$2:$A$500,A223)=0,"⚠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","")&amp;IF(AND(L223&lt;&gt;"Y",G223="數值",N223=0),"⚠ 數值需設定欄位 ","")&amp;IF(AND(L223&lt;&gt;"Y",G223="連結表單",K223=""),"⚠ 缺連結表號 ","")&amp;IF(AND(K223&lt;&gt;"",COUNTIF(可連結表單!$J$2:$J$501,K223)=0),"⚠ 連結表號不存在（需為本分項的自主檢查表） ",""))))</f>
        <v/>
      </c>
    </row>
    <row r="224">
      <c r="M224" s="2">
        <f>IF(A224="","",IF(B224="","共用",IF(L224="Y","排除（"&amp;B224&amp;"）",IF(SUMPRODUCT(($A$2:$A$500=A224)*($C$2:$C$500=C224)*($B$2:$B$500=""))&gt;0,"覆蓋共用（"&amp;B224&amp;"）","單元新增（"&amp;B224&amp;"）"))))</f>
        <v/>
      </c>
      <c r="N224" s="2">
        <f>IF(A224="","",COUNTIFS(數值欄位!$A$2:$A$500,A224,數值欄位!$C$2:$C$500,C224))</f>
        <v/>
      </c>
      <c r="O224" s="2">
        <f>IF(A224="","",IF(TRIM(IF(COUNTIF(表單!$A$2:$A$500,A224)=0,"⚠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","")&amp;IF(AND(L224&lt;&gt;"Y",G224="數值",N224=0),"⚠ 數值需設定欄位 ","")&amp;IF(AND(L224&lt;&gt;"Y",G224="連結表單",K224=""),"⚠ 缺連結表號 ","")&amp;IF(AND(K224&lt;&gt;"",COUNTIF(可連結表單!$J$2:$J$501,K224)=0),"⚠ 連結表號不存在（需為本分項的自主檢查表） ",""))="","✓",TRIM(IF(COUNTIF(表單!$A$2:$A$500,A224)=0,"⚠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","")&amp;IF(AND(L224&lt;&gt;"Y",G224="數值",N224=0),"⚠ 數值需設定欄位 ","")&amp;IF(AND(L224&lt;&gt;"Y",G224="連結表單",K224=""),"⚠ 缺連結表號 ","")&amp;IF(AND(K224&lt;&gt;"",COUNTIF(可連結表單!$J$2:$J$501,K224)=0),"⚠ 連結表號不存在（需為本分項的自主檢查表） ",""))))</f>
        <v/>
      </c>
    </row>
    <row r="225">
      <c r="M225" s="2">
        <f>IF(A225="","",IF(B225="","共用",IF(L225="Y","排除（"&amp;B225&amp;"）",IF(SUMPRODUCT(($A$2:$A$500=A225)*($C$2:$C$500=C225)*($B$2:$B$500=""))&gt;0,"覆蓋共用（"&amp;B225&amp;"）","單元新增（"&amp;B225&amp;"）"))))</f>
        <v/>
      </c>
      <c r="N225" s="2">
        <f>IF(A225="","",COUNTIFS(數值欄位!$A$2:$A$500,A225,數值欄位!$C$2:$C$500,C225))</f>
        <v/>
      </c>
      <c r="O225" s="2">
        <f>IF(A225="","",IF(TRIM(IF(COUNTIF(表單!$A$2:$A$500,A225)=0,"⚠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","")&amp;IF(AND(L225&lt;&gt;"Y",G225="數值",N225=0),"⚠ 數值需設定欄位 ","")&amp;IF(AND(L225&lt;&gt;"Y",G225="連結表單",K225=""),"⚠ 缺連結表號 ","")&amp;IF(AND(K225&lt;&gt;"",COUNTIF(可連結表單!$J$2:$J$501,K225)=0),"⚠ 連結表號不存在（需為本分項的自主檢查表） ",""))="","✓",TRIM(IF(COUNTIF(表單!$A$2:$A$500,A225)=0,"⚠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","")&amp;IF(AND(L225&lt;&gt;"Y",G225="數值",N225=0),"⚠ 數值需設定欄位 ","")&amp;IF(AND(L225&lt;&gt;"Y",G225="連結表單",K225=""),"⚠ 缺連結表號 ","")&amp;IF(AND(K225&lt;&gt;"",COUNTIF(可連結表單!$J$2:$J$501,K225)=0),"⚠ 連結表號不存在（需為本分項的自主檢查表） ",""))))</f>
        <v/>
      </c>
    </row>
    <row r="226">
      <c r="M226" s="2">
        <f>IF(A226="","",IF(B226="","共用",IF(L226="Y","排除（"&amp;B226&amp;"）",IF(SUMPRODUCT(($A$2:$A$500=A226)*($C$2:$C$500=C226)*($B$2:$B$500=""))&gt;0,"覆蓋共用（"&amp;B226&amp;"）","單元新增（"&amp;B226&amp;"）"))))</f>
        <v/>
      </c>
      <c r="N226" s="2">
        <f>IF(A226="","",COUNTIFS(數值欄位!$A$2:$A$500,A226,數值欄位!$C$2:$C$500,C226))</f>
        <v/>
      </c>
      <c r="O226" s="2">
        <f>IF(A226="","",IF(TRIM(IF(COUNTIF(表單!$A$2:$A$500,A226)=0,"⚠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","")&amp;IF(AND(L226&lt;&gt;"Y",G226="數值",N226=0),"⚠ 數值需設定欄位 ","")&amp;IF(AND(L226&lt;&gt;"Y",G226="連結表單",K226=""),"⚠ 缺連結表號 ","")&amp;IF(AND(K226&lt;&gt;"",COUNTIF(可連結表單!$J$2:$J$501,K226)=0),"⚠ 連結表號不存在（需為本分項的自主檢查表） ",""))="","✓",TRIM(IF(COUNTIF(表單!$A$2:$A$500,A226)=0,"⚠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","")&amp;IF(AND(L226&lt;&gt;"Y",G226="數值",N226=0),"⚠ 數值需設定欄位 ","")&amp;IF(AND(L226&lt;&gt;"Y",G226="連結表單",K226=""),"⚠ 缺連結表號 ","")&amp;IF(AND(K226&lt;&gt;"",COUNTIF(可連結表單!$J$2:$J$501,K226)=0),"⚠ 連結表號不存在（需為本分項的自主檢查表） ",""))))</f>
        <v/>
      </c>
    </row>
    <row r="227">
      <c r="M227" s="2">
        <f>IF(A227="","",IF(B227="","共用",IF(L227="Y","排除（"&amp;B227&amp;"）",IF(SUMPRODUCT(($A$2:$A$500=A227)*($C$2:$C$500=C227)*($B$2:$B$500=""))&gt;0,"覆蓋共用（"&amp;B227&amp;"）","單元新增（"&amp;B227&amp;"）"))))</f>
        <v/>
      </c>
      <c r="N227" s="2">
        <f>IF(A227="","",COUNTIFS(數值欄位!$A$2:$A$500,A227,數值欄位!$C$2:$C$500,C227))</f>
        <v/>
      </c>
      <c r="O227" s="2">
        <f>IF(A227="","",IF(TRIM(IF(COUNTIF(表單!$A$2:$A$500,A227)=0,"⚠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","")&amp;IF(AND(L227&lt;&gt;"Y",G227="數值",N227=0),"⚠ 數值需設定欄位 ","")&amp;IF(AND(L227&lt;&gt;"Y",G227="連結表單",K227=""),"⚠ 缺連結表號 ","")&amp;IF(AND(K227&lt;&gt;"",COUNTIF(可連結表單!$J$2:$J$501,K227)=0),"⚠ 連結表號不存在（需為本分項的自主檢查表） ",""))="","✓",TRIM(IF(COUNTIF(表單!$A$2:$A$500,A227)=0,"⚠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","")&amp;IF(AND(L227&lt;&gt;"Y",G227="數值",N227=0),"⚠ 數值需設定欄位 ","")&amp;IF(AND(L227&lt;&gt;"Y",G227="連結表單",K227=""),"⚠ 缺連結表號 ","")&amp;IF(AND(K227&lt;&gt;"",COUNTIF(可連結表單!$J$2:$J$501,K227)=0),"⚠ 連結表號不存在（需為本分項的自主檢查表） ",""))))</f>
        <v/>
      </c>
    </row>
    <row r="228">
      <c r="M228" s="2">
        <f>IF(A228="","",IF(B228="","共用",IF(L228="Y","排除（"&amp;B228&amp;"）",IF(SUMPRODUCT(($A$2:$A$500=A228)*($C$2:$C$500=C228)*($B$2:$B$500=""))&gt;0,"覆蓋共用（"&amp;B228&amp;"）","單元新增（"&amp;B228&amp;"）"))))</f>
        <v/>
      </c>
      <c r="N228" s="2">
        <f>IF(A228="","",COUNTIFS(數值欄位!$A$2:$A$500,A228,數值欄位!$C$2:$C$500,C228))</f>
        <v/>
      </c>
      <c r="O228" s="2">
        <f>IF(A228="","",IF(TRIM(IF(COUNTIF(表單!$A$2:$A$500,A228)=0,"⚠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","")&amp;IF(AND(L228&lt;&gt;"Y",G228="數值",N228=0),"⚠ 數值需設定欄位 ","")&amp;IF(AND(L228&lt;&gt;"Y",G228="連結表單",K228=""),"⚠ 缺連結表號 ","")&amp;IF(AND(K228&lt;&gt;"",COUNTIF(可連結表單!$J$2:$J$501,K228)=0),"⚠ 連結表號不存在（需為本分項的自主檢查表） ",""))="","✓",TRIM(IF(COUNTIF(表單!$A$2:$A$500,A228)=0,"⚠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","")&amp;IF(AND(L228&lt;&gt;"Y",G228="數值",N228=0),"⚠ 數值需設定欄位 ","")&amp;IF(AND(L228&lt;&gt;"Y",G228="連結表單",K228=""),"⚠ 缺連結表號 ","")&amp;IF(AND(K228&lt;&gt;"",COUNTIF(可連結表單!$J$2:$J$501,K228)=0),"⚠ 連結表號不存在（需為本分項的自主檢查表） ",""))))</f>
        <v/>
      </c>
    </row>
    <row r="229">
      <c r="M229" s="2">
        <f>IF(A229="","",IF(B229="","共用",IF(L229="Y","排除（"&amp;B229&amp;"）",IF(SUMPRODUCT(($A$2:$A$500=A229)*($C$2:$C$500=C229)*($B$2:$B$500=""))&gt;0,"覆蓋共用（"&amp;B229&amp;"）","單元新增（"&amp;B229&amp;"）"))))</f>
        <v/>
      </c>
      <c r="N229" s="2">
        <f>IF(A229="","",COUNTIFS(數值欄位!$A$2:$A$500,A229,數值欄位!$C$2:$C$500,C229))</f>
        <v/>
      </c>
      <c r="O229" s="2">
        <f>IF(A229="","",IF(TRIM(IF(COUNTIF(表單!$A$2:$A$500,A229)=0,"⚠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","")&amp;IF(AND(L229&lt;&gt;"Y",G229="數值",N229=0),"⚠ 數值需設定欄位 ","")&amp;IF(AND(L229&lt;&gt;"Y",G229="連結表單",K229=""),"⚠ 缺連結表號 ","")&amp;IF(AND(K229&lt;&gt;"",COUNTIF(可連結表單!$J$2:$J$501,K229)=0),"⚠ 連結表號不存在（需為本分項的自主檢查表） ",""))="","✓",TRIM(IF(COUNTIF(表單!$A$2:$A$500,A229)=0,"⚠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","")&amp;IF(AND(L229&lt;&gt;"Y",G229="數值",N229=0),"⚠ 數值需設定欄位 ","")&amp;IF(AND(L229&lt;&gt;"Y",G229="連結表單",K229=""),"⚠ 缺連結表號 ","")&amp;IF(AND(K229&lt;&gt;"",COUNTIF(可連結表單!$J$2:$J$501,K229)=0),"⚠ 連結表號不存在（需為本分項的自主檢查表） ",""))))</f>
        <v/>
      </c>
    </row>
    <row r="230">
      <c r="M230" s="2">
        <f>IF(A230="","",IF(B230="","共用",IF(L230="Y","排除（"&amp;B230&amp;"）",IF(SUMPRODUCT(($A$2:$A$500=A230)*($C$2:$C$500=C230)*($B$2:$B$500=""))&gt;0,"覆蓋共用（"&amp;B230&amp;"）","單元新增（"&amp;B230&amp;"）"))))</f>
        <v/>
      </c>
      <c r="N230" s="2">
        <f>IF(A230="","",COUNTIFS(數值欄位!$A$2:$A$500,A230,數值欄位!$C$2:$C$500,C230))</f>
        <v/>
      </c>
      <c r="O230" s="2">
        <f>IF(A230="","",IF(TRIM(IF(COUNTIF(表單!$A$2:$A$500,A230)=0,"⚠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","")&amp;IF(AND(L230&lt;&gt;"Y",G230="數值",N230=0),"⚠ 數值需設定欄位 ","")&amp;IF(AND(L230&lt;&gt;"Y",G230="連結表單",K230=""),"⚠ 缺連結表號 ","")&amp;IF(AND(K230&lt;&gt;"",COUNTIF(可連結表單!$J$2:$J$501,K230)=0),"⚠ 連結表號不存在（需為本分項的自主檢查表） ",""))="","✓",TRIM(IF(COUNTIF(表單!$A$2:$A$500,A230)=0,"⚠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","")&amp;IF(AND(L230&lt;&gt;"Y",G230="數值",N230=0),"⚠ 數值需設定欄位 ","")&amp;IF(AND(L230&lt;&gt;"Y",G230="連結表單",K230=""),"⚠ 缺連結表號 ","")&amp;IF(AND(K230&lt;&gt;"",COUNTIF(可連結表單!$J$2:$J$501,K230)=0),"⚠ 連結表號不存在（需為本分項的自主檢查表） ",""))))</f>
        <v/>
      </c>
    </row>
    <row r="231">
      <c r="M231" s="2">
        <f>IF(A231="","",IF(B231="","共用",IF(L231="Y","排除（"&amp;B231&amp;"）",IF(SUMPRODUCT(($A$2:$A$500=A231)*($C$2:$C$500=C231)*($B$2:$B$500=""))&gt;0,"覆蓋共用（"&amp;B231&amp;"）","單元新增（"&amp;B231&amp;"）"))))</f>
        <v/>
      </c>
      <c r="N231" s="2">
        <f>IF(A231="","",COUNTIFS(數值欄位!$A$2:$A$500,A231,數值欄位!$C$2:$C$500,C231))</f>
        <v/>
      </c>
      <c r="O231" s="2">
        <f>IF(A231="","",IF(TRIM(IF(COUNTIF(表單!$A$2:$A$500,A231)=0,"⚠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","")&amp;IF(AND(L231&lt;&gt;"Y",G231="數值",N231=0),"⚠ 數值需設定欄位 ","")&amp;IF(AND(L231&lt;&gt;"Y",G231="連結表單",K231=""),"⚠ 缺連結表號 ","")&amp;IF(AND(K231&lt;&gt;"",COUNTIF(可連結表單!$J$2:$J$501,K231)=0),"⚠ 連結表號不存在（需為本分項的自主檢查表） ",""))="","✓",TRIM(IF(COUNTIF(表單!$A$2:$A$500,A231)=0,"⚠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","")&amp;IF(AND(L231&lt;&gt;"Y",G231="數值",N231=0),"⚠ 數值需設定欄位 ","")&amp;IF(AND(L231&lt;&gt;"Y",G231="連結表單",K231=""),"⚠ 缺連結表號 ","")&amp;IF(AND(K231&lt;&gt;"",COUNTIF(可連結表單!$J$2:$J$501,K231)=0),"⚠ 連結表號不存在（需為本分項的自主檢查表） ",""))))</f>
        <v/>
      </c>
    </row>
    <row r="232">
      <c r="M232" s="2">
        <f>IF(A232="","",IF(B232="","共用",IF(L232="Y","排除（"&amp;B232&amp;"）",IF(SUMPRODUCT(($A$2:$A$500=A232)*($C$2:$C$500=C232)*($B$2:$B$500=""))&gt;0,"覆蓋共用（"&amp;B232&amp;"）","單元新增（"&amp;B232&amp;"）"))))</f>
        <v/>
      </c>
      <c r="N232" s="2">
        <f>IF(A232="","",COUNTIFS(數值欄位!$A$2:$A$500,A232,數值欄位!$C$2:$C$500,C232))</f>
        <v/>
      </c>
      <c r="O232" s="2">
        <f>IF(A232="","",IF(TRIM(IF(COUNTIF(表單!$A$2:$A$500,A232)=0,"⚠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","")&amp;IF(AND(L232&lt;&gt;"Y",G232="數值",N232=0),"⚠ 數值需設定欄位 ","")&amp;IF(AND(L232&lt;&gt;"Y",G232="連結表單",K232=""),"⚠ 缺連結表號 ","")&amp;IF(AND(K232&lt;&gt;"",COUNTIF(可連結表單!$J$2:$J$501,K232)=0),"⚠ 連結表號不存在（需為本分項的自主檢查表） ",""))="","✓",TRIM(IF(COUNTIF(表單!$A$2:$A$500,A232)=0,"⚠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","")&amp;IF(AND(L232&lt;&gt;"Y",G232="數值",N232=0),"⚠ 數值需設定欄位 ","")&amp;IF(AND(L232&lt;&gt;"Y",G232="連結表單",K232=""),"⚠ 缺連結表號 ","")&amp;IF(AND(K232&lt;&gt;"",COUNTIF(可連結表單!$J$2:$J$501,K232)=0),"⚠ 連結表號不存在（需為本分項的自主檢查表） ",""))))</f>
        <v/>
      </c>
    </row>
    <row r="233">
      <c r="M233" s="2">
        <f>IF(A233="","",IF(B233="","共用",IF(L233="Y","排除（"&amp;B233&amp;"）",IF(SUMPRODUCT(($A$2:$A$500=A233)*($C$2:$C$500=C233)*($B$2:$B$500=""))&gt;0,"覆蓋共用（"&amp;B233&amp;"）","單元新增（"&amp;B233&amp;"）"))))</f>
        <v/>
      </c>
      <c r="N233" s="2">
        <f>IF(A233="","",COUNTIFS(數值欄位!$A$2:$A$500,A233,數值欄位!$C$2:$C$500,C233))</f>
        <v/>
      </c>
      <c r="O233" s="2">
        <f>IF(A233="","",IF(TRIM(IF(COUNTIF(表單!$A$2:$A$500,A233)=0,"⚠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","")&amp;IF(AND(L233&lt;&gt;"Y",G233="數值",N233=0),"⚠ 數值需設定欄位 ","")&amp;IF(AND(L233&lt;&gt;"Y",G233="連結表單",K233=""),"⚠ 缺連結表號 ","")&amp;IF(AND(K233&lt;&gt;"",COUNTIF(可連結表單!$J$2:$J$501,K233)=0),"⚠ 連結表號不存在（需為本分項的自主檢查表） ",""))="","✓",TRIM(IF(COUNTIF(表單!$A$2:$A$500,A233)=0,"⚠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","")&amp;IF(AND(L233&lt;&gt;"Y",G233="數值",N233=0),"⚠ 數值需設定欄位 ","")&amp;IF(AND(L233&lt;&gt;"Y",G233="連結表單",K233=""),"⚠ 缺連結表號 ","")&amp;IF(AND(K233&lt;&gt;"",COUNTIF(可連結表單!$J$2:$J$501,K233)=0),"⚠ 連結表號不存在（需為本分項的自主檢查表） ",""))))</f>
        <v/>
      </c>
    </row>
    <row r="234">
      <c r="M234" s="2">
        <f>IF(A234="","",IF(B234="","共用",IF(L234="Y","排除（"&amp;B234&amp;"）",IF(SUMPRODUCT(($A$2:$A$500=A234)*($C$2:$C$500=C234)*($B$2:$B$500=""))&gt;0,"覆蓋共用（"&amp;B234&amp;"）","單元新增（"&amp;B234&amp;"）"))))</f>
        <v/>
      </c>
      <c r="N234" s="2">
        <f>IF(A234="","",COUNTIFS(數值欄位!$A$2:$A$500,A234,數值欄位!$C$2:$C$500,C234))</f>
        <v/>
      </c>
      <c r="O234" s="2">
        <f>IF(A234="","",IF(TRIM(IF(COUNTIF(表單!$A$2:$A$500,A234)=0,"⚠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","")&amp;IF(AND(L234&lt;&gt;"Y",G234="數值",N234=0),"⚠ 數值需設定欄位 ","")&amp;IF(AND(L234&lt;&gt;"Y",G234="連結表單",K234=""),"⚠ 缺連結表號 ","")&amp;IF(AND(K234&lt;&gt;"",COUNTIF(可連結表單!$J$2:$J$501,K234)=0),"⚠ 連結表號不存在（需為本分項的自主檢查表） ",""))="","✓",TRIM(IF(COUNTIF(表單!$A$2:$A$500,A234)=0,"⚠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","")&amp;IF(AND(L234&lt;&gt;"Y",G234="數值",N234=0),"⚠ 數值需設定欄位 ","")&amp;IF(AND(L234&lt;&gt;"Y",G234="連結表單",K234=""),"⚠ 缺連結表號 ","")&amp;IF(AND(K234&lt;&gt;"",COUNTIF(可連結表單!$J$2:$J$501,K234)=0),"⚠ 連結表號不存在（需為本分項的自主檢查表） ",""))))</f>
        <v/>
      </c>
    </row>
    <row r="235">
      <c r="M235" s="2">
        <f>IF(A235="","",IF(B235="","共用",IF(L235="Y","排除（"&amp;B235&amp;"）",IF(SUMPRODUCT(($A$2:$A$500=A235)*($C$2:$C$500=C235)*($B$2:$B$500=""))&gt;0,"覆蓋共用（"&amp;B235&amp;"）","單元新增（"&amp;B235&amp;"）"))))</f>
        <v/>
      </c>
      <c r="N235" s="2">
        <f>IF(A235="","",COUNTIFS(數值欄位!$A$2:$A$500,A235,數值欄位!$C$2:$C$500,C235))</f>
        <v/>
      </c>
      <c r="O235" s="2">
        <f>IF(A235="","",IF(TRIM(IF(COUNTIF(表單!$A$2:$A$500,A235)=0,"⚠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","")&amp;IF(AND(L235&lt;&gt;"Y",G235="數值",N235=0),"⚠ 數值需設定欄位 ","")&amp;IF(AND(L235&lt;&gt;"Y",G235="連結表單",K235=""),"⚠ 缺連結表號 ","")&amp;IF(AND(K235&lt;&gt;"",COUNTIF(可連結表單!$J$2:$J$501,K235)=0),"⚠ 連結表號不存在（需為本分項的自主檢查表） ",""))="","✓",TRIM(IF(COUNTIF(表單!$A$2:$A$500,A235)=0,"⚠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","")&amp;IF(AND(L235&lt;&gt;"Y",G235="數值",N235=0),"⚠ 數值需設定欄位 ","")&amp;IF(AND(L235&lt;&gt;"Y",G235="連結表單",K235=""),"⚠ 缺連結表號 ","")&amp;IF(AND(K235&lt;&gt;"",COUNTIF(可連結表單!$J$2:$J$501,K235)=0),"⚠ 連結表號不存在（需為本分項的自主檢查表） ",""))))</f>
        <v/>
      </c>
    </row>
    <row r="236">
      <c r="M236" s="2">
        <f>IF(A236="","",IF(B236="","共用",IF(L236="Y","排除（"&amp;B236&amp;"）",IF(SUMPRODUCT(($A$2:$A$500=A236)*($C$2:$C$500=C236)*($B$2:$B$500=""))&gt;0,"覆蓋共用（"&amp;B236&amp;"）","單元新增（"&amp;B236&amp;"）"))))</f>
        <v/>
      </c>
      <c r="N236" s="2">
        <f>IF(A236="","",COUNTIFS(數值欄位!$A$2:$A$500,A236,數值欄位!$C$2:$C$500,C236))</f>
        <v/>
      </c>
      <c r="O236" s="2">
        <f>IF(A236="","",IF(TRIM(IF(COUNTIF(表單!$A$2:$A$500,A236)=0,"⚠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","")&amp;IF(AND(L236&lt;&gt;"Y",G236="數值",N236=0),"⚠ 數值需設定欄位 ","")&amp;IF(AND(L236&lt;&gt;"Y",G236="連結表單",K236=""),"⚠ 缺連結表號 ","")&amp;IF(AND(K236&lt;&gt;"",COUNTIF(可連結表單!$J$2:$J$501,K236)=0),"⚠ 連結表號不存在（需為本分項的自主檢查表） ",""))="","✓",TRIM(IF(COUNTIF(表單!$A$2:$A$500,A236)=0,"⚠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","")&amp;IF(AND(L236&lt;&gt;"Y",G236="數值",N236=0),"⚠ 數值需設定欄位 ","")&amp;IF(AND(L236&lt;&gt;"Y",G236="連結表單",K236=""),"⚠ 缺連結表號 ","")&amp;IF(AND(K236&lt;&gt;"",COUNTIF(可連結表單!$J$2:$J$501,K236)=0),"⚠ 連結表號不存在（需為本分項的自主檢查表） ",""))))</f>
        <v/>
      </c>
    </row>
    <row r="237">
      <c r="M237" s="2">
        <f>IF(A237="","",IF(B237="","共用",IF(L237="Y","排除（"&amp;B237&amp;"）",IF(SUMPRODUCT(($A$2:$A$500=A237)*($C$2:$C$500=C237)*($B$2:$B$500=""))&gt;0,"覆蓋共用（"&amp;B237&amp;"）","單元新增（"&amp;B237&amp;"）"))))</f>
        <v/>
      </c>
      <c r="N237" s="2">
        <f>IF(A237="","",COUNTIFS(數值欄位!$A$2:$A$500,A237,數值欄位!$C$2:$C$500,C237))</f>
        <v/>
      </c>
      <c r="O237" s="2">
        <f>IF(A237="","",IF(TRIM(IF(COUNTIF(表單!$A$2:$A$500,A237)=0,"⚠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","")&amp;IF(AND(L237&lt;&gt;"Y",G237="數值",N237=0),"⚠ 數值需設定欄位 ","")&amp;IF(AND(L237&lt;&gt;"Y",G237="連結表單",K237=""),"⚠ 缺連結表號 ","")&amp;IF(AND(K237&lt;&gt;"",COUNTIF(可連結表單!$J$2:$J$501,K237)=0),"⚠ 連結表號不存在（需為本分項的自主檢查表） ",""))="","✓",TRIM(IF(COUNTIF(表單!$A$2:$A$500,A237)=0,"⚠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","")&amp;IF(AND(L237&lt;&gt;"Y",G237="數值",N237=0),"⚠ 數值需設定欄位 ","")&amp;IF(AND(L237&lt;&gt;"Y",G237="連結表單",K237=""),"⚠ 缺連結表號 ","")&amp;IF(AND(K237&lt;&gt;"",COUNTIF(可連結表單!$J$2:$J$501,K237)=0),"⚠ 連結表號不存在（需為本分項的自主檢查表） ",""))))</f>
        <v/>
      </c>
    </row>
    <row r="238">
      <c r="M238" s="2">
        <f>IF(A238="","",IF(B238="","共用",IF(L238="Y","排除（"&amp;B238&amp;"）",IF(SUMPRODUCT(($A$2:$A$500=A238)*($C$2:$C$500=C238)*($B$2:$B$500=""))&gt;0,"覆蓋共用（"&amp;B238&amp;"）","單元新增（"&amp;B238&amp;"）"))))</f>
        <v/>
      </c>
      <c r="N238" s="2">
        <f>IF(A238="","",COUNTIFS(數值欄位!$A$2:$A$500,A238,數值欄位!$C$2:$C$500,C238))</f>
        <v/>
      </c>
      <c r="O238" s="2">
        <f>IF(A238="","",IF(TRIM(IF(COUNTIF(表單!$A$2:$A$500,A238)=0,"⚠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","")&amp;IF(AND(L238&lt;&gt;"Y",G238="數值",N238=0),"⚠ 數值需設定欄位 ","")&amp;IF(AND(L238&lt;&gt;"Y",G238="連結表單",K238=""),"⚠ 缺連結表號 ","")&amp;IF(AND(K238&lt;&gt;"",COUNTIF(可連結表單!$J$2:$J$501,K238)=0),"⚠ 連結表號不存在（需為本分項的自主檢查表） ",""))="","✓",TRIM(IF(COUNTIF(表單!$A$2:$A$500,A238)=0,"⚠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","")&amp;IF(AND(L238&lt;&gt;"Y",G238="數值",N238=0),"⚠ 數值需設定欄位 ","")&amp;IF(AND(L238&lt;&gt;"Y",G238="連結表單",K238=""),"⚠ 缺連結表號 ","")&amp;IF(AND(K238&lt;&gt;"",COUNTIF(可連結表單!$J$2:$J$501,K238)=0),"⚠ 連結表號不存在（需為本分項的自主檢查表） ",""))))</f>
        <v/>
      </c>
    </row>
    <row r="239">
      <c r="M239" s="2">
        <f>IF(A239="","",IF(B239="","共用",IF(L239="Y","排除（"&amp;B239&amp;"）",IF(SUMPRODUCT(($A$2:$A$500=A239)*($C$2:$C$500=C239)*($B$2:$B$500=""))&gt;0,"覆蓋共用（"&amp;B239&amp;"）","單元新增（"&amp;B239&amp;"）"))))</f>
        <v/>
      </c>
      <c r="N239" s="2">
        <f>IF(A239="","",COUNTIFS(數值欄位!$A$2:$A$500,A239,數值欄位!$C$2:$C$500,C239))</f>
        <v/>
      </c>
      <c r="O239" s="2">
        <f>IF(A239="","",IF(TRIM(IF(COUNTIF(表單!$A$2:$A$500,A239)=0,"⚠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","")&amp;IF(AND(L239&lt;&gt;"Y",G239="數值",N239=0),"⚠ 數值需設定欄位 ","")&amp;IF(AND(L239&lt;&gt;"Y",G239="連結表單",K239=""),"⚠ 缺連結表號 ","")&amp;IF(AND(K239&lt;&gt;"",COUNTIF(可連結表單!$J$2:$J$501,K239)=0),"⚠ 連結表號不存在（需為本分項的自主檢查表） ",""))="","✓",TRIM(IF(COUNTIF(表單!$A$2:$A$500,A239)=0,"⚠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","")&amp;IF(AND(L239&lt;&gt;"Y",G239="數值",N239=0),"⚠ 數值需設定欄位 ","")&amp;IF(AND(L239&lt;&gt;"Y",G239="連結表單",K239=""),"⚠ 缺連結表號 ","")&amp;IF(AND(K239&lt;&gt;"",COUNTIF(可連結表單!$J$2:$J$501,K239)=0),"⚠ 連結表號不存在（需為本分項的自主檢查表） ",""))))</f>
        <v/>
      </c>
    </row>
    <row r="240">
      <c r="M240" s="2">
        <f>IF(A240="","",IF(B240="","共用",IF(L240="Y","排除（"&amp;B240&amp;"）",IF(SUMPRODUCT(($A$2:$A$500=A240)*($C$2:$C$500=C240)*($B$2:$B$500=""))&gt;0,"覆蓋共用（"&amp;B240&amp;"）","單元新增（"&amp;B240&amp;"）"))))</f>
        <v/>
      </c>
      <c r="N240" s="2">
        <f>IF(A240="","",COUNTIFS(數值欄位!$A$2:$A$500,A240,數值欄位!$C$2:$C$500,C240))</f>
        <v/>
      </c>
      <c r="O240" s="2">
        <f>IF(A240="","",IF(TRIM(IF(COUNTIF(表單!$A$2:$A$500,A240)=0,"⚠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","")&amp;IF(AND(L240&lt;&gt;"Y",G240="數值",N240=0),"⚠ 數值需設定欄位 ","")&amp;IF(AND(L240&lt;&gt;"Y",G240="連結表單",K240=""),"⚠ 缺連結表號 ","")&amp;IF(AND(K240&lt;&gt;"",COUNTIF(可連結表單!$J$2:$J$501,K240)=0),"⚠ 連結表號不存在（需為本分項的自主檢查表） ",""))="","✓",TRIM(IF(COUNTIF(表單!$A$2:$A$500,A240)=0,"⚠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","")&amp;IF(AND(L240&lt;&gt;"Y",G240="數值",N240=0),"⚠ 數值需設定欄位 ","")&amp;IF(AND(L240&lt;&gt;"Y",G240="連結表單",K240=""),"⚠ 缺連結表號 ","")&amp;IF(AND(K240&lt;&gt;"",COUNTIF(可連結表單!$J$2:$J$501,K240)=0),"⚠ 連結表號不存在（需為本分項的自主檢查表） ",""))))</f>
        <v/>
      </c>
    </row>
    <row r="241">
      <c r="M241" s="2">
        <f>IF(A241="","",IF(B241="","共用",IF(L241="Y","排除（"&amp;B241&amp;"）",IF(SUMPRODUCT(($A$2:$A$500=A241)*($C$2:$C$500=C241)*($B$2:$B$500=""))&gt;0,"覆蓋共用（"&amp;B241&amp;"）","單元新增（"&amp;B241&amp;"）"))))</f>
        <v/>
      </c>
      <c r="N241" s="2">
        <f>IF(A241="","",COUNTIFS(數值欄位!$A$2:$A$500,A241,數值欄位!$C$2:$C$500,C241))</f>
        <v/>
      </c>
      <c r="O241" s="2">
        <f>IF(A241="","",IF(TRIM(IF(COUNTIF(表單!$A$2:$A$500,A241)=0,"⚠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","")&amp;IF(AND(L241&lt;&gt;"Y",G241="數值",N241=0),"⚠ 數值需設定欄位 ","")&amp;IF(AND(L241&lt;&gt;"Y",G241="連結表單",K241=""),"⚠ 缺連結表號 ","")&amp;IF(AND(K241&lt;&gt;"",COUNTIF(可連結表單!$J$2:$J$501,K241)=0),"⚠ 連結表號不存在（需為本分項的自主檢查表） ",""))="","✓",TRIM(IF(COUNTIF(表單!$A$2:$A$500,A241)=0,"⚠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","")&amp;IF(AND(L241&lt;&gt;"Y",G241="數值",N241=0),"⚠ 數值需設定欄位 ","")&amp;IF(AND(L241&lt;&gt;"Y",G241="連結表單",K241=""),"⚠ 缺連結表號 ","")&amp;IF(AND(K241&lt;&gt;"",COUNTIF(可連結表單!$J$2:$J$501,K241)=0),"⚠ 連結表號不存在（需為本分項的自主檢查表） ",""))))</f>
        <v/>
      </c>
    </row>
    <row r="242">
      <c r="M242" s="2">
        <f>IF(A242="","",IF(B242="","共用",IF(L242="Y","排除（"&amp;B242&amp;"）",IF(SUMPRODUCT(($A$2:$A$500=A242)*($C$2:$C$500=C242)*($B$2:$B$500=""))&gt;0,"覆蓋共用（"&amp;B242&amp;"）","單元新增（"&amp;B242&amp;"）"))))</f>
        <v/>
      </c>
      <c r="N242" s="2">
        <f>IF(A242="","",COUNTIFS(數值欄位!$A$2:$A$500,A242,數值欄位!$C$2:$C$500,C242))</f>
        <v/>
      </c>
      <c r="O242" s="2">
        <f>IF(A242="","",IF(TRIM(IF(COUNTIF(表單!$A$2:$A$500,A242)=0,"⚠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","")&amp;IF(AND(L242&lt;&gt;"Y",G242="數值",N242=0),"⚠ 數值需設定欄位 ","")&amp;IF(AND(L242&lt;&gt;"Y",G242="連結表單",K242=""),"⚠ 缺連結表號 ","")&amp;IF(AND(K242&lt;&gt;"",COUNTIF(可連結表單!$J$2:$J$501,K242)=0),"⚠ 連結表號不存在（需為本分項的自主檢查表） ",""))="","✓",TRIM(IF(COUNTIF(表單!$A$2:$A$500,A242)=0,"⚠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","")&amp;IF(AND(L242&lt;&gt;"Y",G242="數值",N242=0),"⚠ 數值需設定欄位 ","")&amp;IF(AND(L242&lt;&gt;"Y",G242="連結表單",K242=""),"⚠ 缺連結表號 ","")&amp;IF(AND(K242&lt;&gt;"",COUNTIF(可連結表單!$J$2:$J$501,K242)=0),"⚠ 連結表號不存在（需為本分項的自主檢查表） ",""))))</f>
        <v/>
      </c>
    </row>
    <row r="243">
      <c r="M243" s="2">
        <f>IF(A243="","",IF(B243="","共用",IF(L243="Y","排除（"&amp;B243&amp;"）",IF(SUMPRODUCT(($A$2:$A$500=A243)*($C$2:$C$500=C243)*($B$2:$B$500=""))&gt;0,"覆蓋共用（"&amp;B243&amp;"）","單元新增（"&amp;B243&amp;"）"))))</f>
        <v/>
      </c>
      <c r="N243" s="2">
        <f>IF(A243="","",COUNTIFS(數值欄位!$A$2:$A$500,A243,數值欄位!$C$2:$C$500,C243))</f>
        <v/>
      </c>
      <c r="O243" s="2">
        <f>IF(A243="","",IF(TRIM(IF(COUNTIF(表單!$A$2:$A$500,A243)=0,"⚠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","")&amp;IF(AND(L243&lt;&gt;"Y",G243="數值",N243=0),"⚠ 數值需設定欄位 ","")&amp;IF(AND(L243&lt;&gt;"Y",G243="連結表單",K243=""),"⚠ 缺連結表號 ","")&amp;IF(AND(K243&lt;&gt;"",COUNTIF(可連結表單!$J$2:$J$501,K243)=0),"⚠ 連結表號不存在（需為本分項的自主檢查表） ",""))="","✓",TRIM(IF(COUNTIF(表單!$A$2:$A$500,A243)=0,"⚠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","")&amp;IF(AND(L243&lt;&gt;"Y",G243="數值",N243=0),"⚠ 數值需設定欄位 ","")&amp;IF(AND(L243&lt;&gt;"Y",G243="連結表單",K243=""),"⚠ 缺連結表號 ","")&amp;IF(AND(K243&lt;&gt;"",COUNTIF(可連結表單!$J$2:$J$501,K243)=0),"⚠ 連結表號不存在（需為本分項的自主檢查表） ",""))))</f>
        <v/>
      </c>
    </row>
    <row r="244">
      <c r="M244" s="2">
        <f>IF(A244="","",IF(B244="","共用",IF(L244="Y","排除（"&amp;B244&amp;"）",IF(SUMPRODUCT(($A$2:$A$500=A244)*($C$2:$C$500=C244)*($B$2:$B$500=""))&gt;0,"覆蓋共用（"&amp;B244&amp;"）","單元新增（"&amp;B244&amp;"）"))))</f>
        <v/>
      </c>
      <c r="N244" s="2">
        <f>IF(A244="","",COUNTIFS(數值欄位!$A$2:$A$500,A244,數值欄位!$C$2:$C$500,C244))</f>
        <v/>
      </c>
      <c r="O244" s="2">
        <f>IF(A244="","",IF(TRIM(IF(COUNTIF(表單!$A$2:$A$500,A244)=0,"⚠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","")&amp;IF(AND(L244&lt;&gt;"Y",G244="數值",N244=0),"⚠ 數值需設定欄位 ","")&amp;IF(AND(L244&lt;&gt;"Y",G244="連結表單",K244=""),"⚠ 缺連結表號 ","")&amp;IF(AND(K244&lt;&gt;"",COUNTIF(可連結表單!$J$2:$J$501,K244)=0),"⚠ 連結表號不存在（需為本分項的自主檢查表） ",""))="","✓",TRIM(IF(COUNTIF(表單!$A$2:$A$500,A244)=0,"⚠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","")&amp;IF(AND(L244&lt;&gt;"Y",G244="數值",N244=0),"⚠ 數值需設定欄位 ","")&amp;IF(AND(L244&lt;&gt;"Y",G244="連結表單",K244=""),"⚠ 缺連結表號 ","")&amp;IF(AND(K244&lt;&gt;"",COUNTIF(可連結表單!$J$2:$J$501,K244)=0),"⚠ 連結表號不存在（需為本分項的自主檢查表） ",""))))</f>
        <v/>
      </c>
    </row>
    <row r="245">
      <c r="M245" s="2">
        <f>IF(A245="","",IF(B245="","共用",IF(L245="Y","排除（"&amp;B245&amp;"）",IF(SUMPRODUCT(($A$2:$A$500=A245)*($C$2:$C$500=C245)*($B$2:$B$500=""))&gt;0,"覆蓋共用（"&amp;B245&amp;"）","單元新增（"&amp;B245&amp;"）"))))</f>
        <v/>
      </c>
      <c r="N245" s="2">
        <f>IF(A245="","",COUNTIFS(數值欄位!$A$2:$A$500,A245,數值欄位!$C$2:$C$500,C245))</f>
        <v/>
      </c>
      <c r="O245" s="2">
        <f>IF(A245="","",IF(TRIM(IF(COUNTIF(表單!$A$2:$A$500,A245)=0,"⚠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","")&amp;IF(AND(L245&lt;&gt;"Y",G245="數值",N245=0),"⚠ 數值需設定欄位 ","")&amp;IF(AND(L245&lt;&gt;"Y",G245="連結表單",K245=""),"⚠ 缺連結表號 ","")&amp;IF(AND(K245&lt;&gt;"",COUNTIF(可連結表單!$J$2:$J$501,K245)=0),"⚠ 連結表號不存在（需為本分項的自主檢查表） ",""))="","✓",TRIM(IF(COUNTIF(表單!$A$2:$A$500,A245)=0,"⚠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","")&amp;IF(AND(L245&lt;&gt;"Y",G245="數值",N245=0),"⚠ 數值需設定欄位 ","")&amp;IF(AND(L245&lt;&gt;"Y",G245="連結表單",K245=""),"⚠ 缺連結表號 ","")&amp;IF(AND(K245&lt;&gt;"",COUNTIF(可連結表單!$J$2:$J$501,K245)=0),"⚠ 連結表號不存在（需為本分項的自主檢查表） ",""))))</f>
        <v/>
      </c>
    </row>
    <row r="246">
      <c r="M246" s="2">
        <f>IF(A246="","",IF(B246="","共用",IF(L246="Y","排除（"&amp;B246&amp;"）",IF(SUMPRODUCT(($A$2:$A$500=A246)*($C$2:$C$500=C246)*($B$2:$B$500=""))&gt;0,"覆蓋共用（"&amp;B246&amp;"）","單元新增（"&amp;B246&amp;"）"))))</f>
        <v/>
      </c>
      <c r="N246" s="2">
        <f>IF(A246="","",COUNTIFS(數值欄位!$A$2:$A$500,A246,數值欄位!$C$2:$C$500,C246))</f>
        <v/>
      </c>
      <c r="O246" s="2">
        <f>IF(A246="","",IF(TRIM(IF(COUNTIF(表單!$A$2:$A$500,A246)=0,"⚠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","")&amp;IF(AND(L246&lt;&gt;"Y",G246="數值",N246=0),"⚠ 數值需設定欄位 ","")&amp;IF(AND(L246&lt;&gt;"Y",G246="連結表單",K246=""),"⚠ 缺連結表號 ","")&amp;IF(AND(K246&lt;&gt;"",COUNTIF(可連結表單!$J$2:$J$501,K246)=0),"⚠ 連結表號不存在（需為本分項的自主檢查表） ",""))="","✓",TRIM(IF(COUNTIF(表單!$A$2:$A$500,A246)=0,"⚠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","")&amp;IF(AND(L246&lt;&gt;"Y",G246="數值",N246=0),"⚠ 數值需設定欄位 ","")&amp;IF(AND(L246&lt;&gt;"Y",G246="連結表單",K246=""),"⚠ 缺連結表號 ","")&amp;IF(AND(K246&lt;&gt;"",COUNTIF(可連結表單!$J$2:$J$501,K246)=0),"⚠ 連結表號不存在（需為本分項的自主檢查表） ",""))))</f>
        <v/>
      </c>
    </row>
    <row r="247">
      <c r="M247" s="2">
        <f>IF(A247="","",IF(B247="","共用",IF(L247="Y","排除（"&amp;B247&amp;"）",IF(SUMPRODUCT(($A$2:$A$500=A247)*($C$2:$C$500=C247)*($B$2:$B$500=""))&gt;0,"覆蓋共用（"&amp;B247&amp;"）","單元新增（"&amp;B247&amp;"）"))))</f>
        <v/>
      </c>
      <c r="N247" s="2">
        <f>IF(A247="","",COUNTIFS(數值欄位!$A$2:$A$500,A247,數值欄位!$C$2:$C$500,C247))</f>
        <v/>
      </c>
      <c r="O247" s="2">
        <f>IF(A247="","",IF(TRIM(IF(COUNTIF(表單!$A$2:$A$500,A247)=0,"⚠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","")&amp;IF(AND(L247&lt;&gt;"Y",G247="數值",N247=0),"⚠ 數值需設定欄位 ","")&amp;IF(AND(L247&lt;&gt;"Y",G247="連結表單",K247=""),"⚠ 缺連結表號 ","")&amp;IF(AND(K247&lt;&gt;"",COUNTIF(可連結表單!$J$2:$J$501,K247)=0),"⚠ 連結表號不存在（需為本分項的自主檢查表） ",""))="","✓",TRIM(IF(COUNTIF(表單!$A$2:$A$500,A247)=0,"⚠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","")&amp;IF(AND(L247&lt;&gt;"Y",G247="數值",N247=0),"⚠ 數值需設定欄位 ","")&amp;IF(AND(L247&lt;&gt;"Y",G247="連結表單",K247=""),"⚠ 缺連結表號 ","")&amp;IF(AND(K247&lt;&gt;"",COUNTIF(可連結表單!$J$2:$J$501,K247)=0),"⚠ 連結表號不存在（需為本分項的自主檢查表） ",""))))</f>
        <v/>
      </c>
    </row>
    <row r="248">
      <c r="M248" s="2">
        <f>IF(A248="","",IF(B248="","共用",IF(L248="Y","排除（"&amp;B248&amp;"）",IF(SUMPRODUCT(($A$2:$A$500=A248)*($C$2:$C$500=C248)*($B$2:$B$500=""))&gt;0,"覆蓋共用（"&amp;B248&amp;"）","單元新增（"&amp;B248&amp;"）"))))</f>
        <v/>
      </c>
      <c r="N248" s="2">
        <f>IF(A248="","",COUNTIFS(數值欄位!$A$2:$A$500,A248,數值欄位!$C$2:$C$500,C248))</f>
        <v/>
      </c>
      <c r="O248" s="2">
        <f>IF(A248="","",IF(TRIM(IF(COUNTIF(表單!$A$2:$A$500,A248)=0,"⚠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","")&amp;IF(AND(L248&lt;&gt;"Y",G248="數值",N248=0),"⚠ 數值需設定欄位 ","")&amp;IF(AND(L248&lt;&gt;"Y",G248="連結表單",K248=""),"⚠ 缺連結表號 ","")&amp;IF(AND(K248&lt;&gt;"",COUNTIF(可連結表單!$J$2:$J$501,K248)=0),"⚠ 連結表號不存在（需為本分項的自主檢查表） ",""))="","✓",TRIM(IF(COUNTIF(表單!$A$2:$A$500,A248)=0,"⚠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","")&amp;IF(AND(L248&lt;&gt;"Y",G248="數值",N248=0),"⚠ 數值需設定欄位 ","")&amp;IF(AND(L248&lt;&gt;"Y",G248="連結表單",K248=""),"⚠ 缺連結表號 ","")&amp;IF(AND(K248&lt;&gt;"",COUNTIF(可連結表單!$J$2:$J$501,K248)=0),"⚠ 連結表號不存在（需為本分項的自主檢查表） ",""))))</f>
        <v/>
      </c>
    </row>
    <row r="249">
      <c r="M249" s="2">
        <f>IF(A249="","",IF(B249="","共用",IF(L249="Y","排除（"&amp;B249&amp;"）",IF(SUMPRODUCT(($A$2:$A$500=A249)*($C$2:$C$500=C249)*($B$2:$B$500=""))&gt;0,"覆蓋共用（"&amp;B249&amp;"）","單元新增（"&amp;B249&amp;"）"))))</f>
        <v/>
      </c>
      <c r="N249" s="2">
        <f>IF(A249="","",COUNTIFS(數值欄位!$A$2:$A$500,A249,數值欄位!$C$2:$C$500,C249))</f>
        <v/>
      </c>
      <c r="O249" s="2">
        <f>IF(A249="","",IF(TRIM(IF(COUNTIF(表單!$A$2:$A$500,A249)=0,"⚠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","")&amp;IF(AND(L249&lt;&gt;"Y",G249="數值",N249=0),"⚠ 數值需設定欄位 ","")&amp;IF(AND(L249&lt;&gt;"Y",G249="連結表單",K249=""),"⚠ 缺連結表號 ","")&amp;IF(AND(K249&lt;&gt;"",COUNTIF(可連結表單!$J$2:$J$501,K249)=0),"⚠ 連結表號不存在（需為本分項的自主檢查表） ",""))="","✓",TRIM(IF(COUNTIF(表單!$A$2:$A$500,A249)=0,"⚠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","")&amp;IF(AND(L249&lt;&gt;"Y",G249="數值",N249=0),"⚠ 數值需設定欄位 ","")&amp;IF(AND(L249&lt;&gt;"Y",G249="連結表單",K249=""),"⚠ 缺連結表號 ","")&amp;IF(AND(K249&lt;&gt;"",COUNTIF(可連結表單!$J$2:$J$501,K249)=0),"⚠ 連結表號不存在（需為本分項的自主檢查表） ",""))))</f>
        <v/>
      </c>
    </row>
    <row r="250">
      <c r="M250" s="2">
        <f>IF(A250="","",IF(B250="","共用",IF(L250="Y","排除（"&amp;B250&amp;"）",IF(SUMPRODUCT(($A$2:$A$500=A250)*($C$2:$C$500=C250)*($B$2:$B$500=""))&gt;0,"覆蓋共用（"&amp;B250&amp;"）","單元新增（"&amp;B250&amp;"）"))))</f>
        <v/>
      </c>
      <c r="N250" s="2">
        <f>IF(A250="","",COUNTIFS(數值欄位!$A$2:$A$500,A250,數值欄位!$C$2:$C$500,C250))</f>
        <v/>
      </c>
      <c r="O250" s="2">
        <f>IF(A250="","",IF(TRIM(IF(COUNTIF(表單!$A$2:$A$500,A250)=0,"⚠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","")&amp;IF(AND(L250&lt;&gt;"Y",G250="數值",N250=0),"⚠ 數值需設定欄位 ","")&amp;IF(AND(L250&lt;&gt;"Y",G250="連結表單",K250=""),"⚠ 缺連結表號 ","")&amp;IF(AND(K250&lt;&gt;"",COUNTIF(可連結表單!$J$2:$J$501,K250)=0),"⚠ 連結表號不存在（需為本分項的自主檢查表） ",""))="","✓",TRIM(IF(COUNTIF(表單!$A$2:$A$500,A250)=0,"⚠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","")&amp;IF(AND(L250&lt;&gt;"Y",G250="數值",N250=0),"⚠ 數值需設定欄位 ","")&amp;IF(AND(L250&lt;&gt;"Y",G250="連結表單",K250=""),"⚠ 缺連結表號 ","")&amp;IF(AND(K250&lt;&gt;"",COUNTIF(可連結表單!$J$2:$J$501,K250)=0),"⚠ 連結表號不存在（需為本分項的自主檢查表） ",""))))</f>
        <v/>
      </c>
    </row>
    <row r="251">
      <c r="M251" s="2">
        <f>IF(A251="","",IF(B251="","共用",IF(L251="Y","排除（"&amp;B251&amp;"）",IF(SUMPRODUCT(($A$2:$A$500=A251)*($C$2:$C$500=C251)*($B$2:$B$500=""))&gt;0,"覆蓋共用（"&amp;B251&amp;"）","單元新增（"&amp;B251&amp;"）"))))</f>
        <v/>
      </c>
      <c r="N251" s="2">
        <f>IF(A251="","",COUNTIFS(數值欄位!$A$2:$A$500,A251,數值欄位!$C$2:$C$500,C251))</f>
        <v/>
      </c>
      <c r="O251" s="2">
        <f>IF(A251="","",IF(TRIM(IF(COUNTIF(表單!$A$2:$A$500,A251)=0,"⚠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","")&amp;IF(AND(L251&lt;&gt;"Y",G251="數值",N251=0),"⚠ 數值需設定欄位 ","")&amp;IF(AND(L251&lt;&gt;"Y",G251="連結表單",K251=""),"⚠ 缺連結表號 ","")&amp;IF(AND(K251&lt;&gt;"",COUNTIF(可連結表單!$J$2:$J$501,K251)=0),"⚠ 連結表號不存在（需為本分項的自主檢查表） ",""))="","✓",TRIM(IF(COUNTIF(表單!$A$2:$A$500,A251)=0,"⚠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","")&amp;IF(AND(L251&lt;&gt;"Y",G251="數值",N251=0),"⚠ 數值需設定欄位 ","")&amp;IF(AND(L251&lt;&gt;"Y",G251="連結表單",K251=""),"⚠ 缺連結表號 ","")&amp;IF(AND(K251&lt;&gt;"",COUNTIF(可連結表單!$J$2:$J$501,K251)=0),"⚠ 連結表號不存在（需為本分項的自主檢查表） ",""))))</f>
        <v/>
      </c>
    </row>
    <row r="252">
      <c r="M252" s="2">
        <f>IF(A252="","",IF(B252="","共用",IF(L252="Y","排除（"&amp;B252&amp;"）",IF(SUMPRODUCT(($A$2:$A$500=A252)*($C$2:$C$500=C252)*($B$2:$B$500=""))&gt;0,"覆蓋共用（"&amp;B252&amp;"）","單元新增（"&amp;B252&amp;"）"))))</f>
        <v/>
      </c>
      <c r="N252" s="2">
        <f>IF(A252="","",COUNTIFS(數值欄位!$A$2:$A$500,A252,數值欄位!$C$2:$C$500,C252))</f>
        <v/>
      </c>
      <c r="O252" s="2">
        <f>IF(A252="","",IF(TRIM(IF(COUNTIF(表單!$A$2:$A$500,A252)=0,"⚠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","")&amp;IF(AND(L252&lt;&gt;"Y",G252="數值",N252=0),"⚠ 數值需設定欄位 ","")&amp;IF(AND(L252&lt;&gt;"Y",G252="連結表單",K252=""),"⚠ 缺連結表號 ","")&amp;IF(AND(K252&lt;&gt;"",COUNTIF(可連結表單!$J$2:$J$501,K252)=0),"⚠ 連結表號不存在（需為本分項的自主檢查表） ",""))="","✓",TRIM(IF(COUNTIF(表單!$A$2:$A$500,A252)=0,"⚠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","")&amp;IF(AND(L252&lt;&gt;"Y",G252="數值",N252=0),"⚠ 數值需設定欄位 ","")&amp;IF(AND(L252&lt;&gt;"Y",G252="連結表單",K252=""),"⚠ 缺連結表號 ","")&amp;IF(AND(K252&lt;&gt;"",COUNTIF(可連結表單!$J$2:$J$501,K252)=0),"⚠ 連結表號不存在（需為本分項的自主檢查表） ",""))))</f>
        <v/>
      </c>
    </row>
    <row r="253">
      <c r="M253" s="2">
        <f>IF(A253="","",IF(B253="","共用",IF(L253="Y","排除（"&amp;B253&amp;"）",IF(SUMPRODUCT(($A$2:$A$500=A253)*($C$2:$C$500=C253)*($B$2:$B$500=""))&gt;0,"覆蓋共用（"&amp;B253&amp;"）","單元新增（"&amp;B253&amp;"）"))))</f>
        <v/>
      </c>
      <c r="N253" s="2">
        <f>IF(A253="","",COUNTIFS(數值欄位!$A$2:$A$500,A253,數值欄位!$C$2:$C$500,C253))</f>
        <v/>
      </c>
      <c r="O253" s="2">
        <f>IF(A253="","",IF(TRIM(IF(COUNTIF(表單!$A$2:$A$500,A253)=0,"⚠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","")&amp;IF(AND(L253&lt;&gt;"Y",G253="數值",N253=0),"⚠ 數值需設定欄位 ","")&amp;IF(AND(L253&lt;&gt;"Y",G253="連結表單",K253=""),"⚠ 缺連結表號 ","")&amp;IF(AND(K253&lt;&gt;"",COUNTIF(可連結表單!$J$2:$J$501,K253)=0),"⚠ 連結表號不存在（需為本分項的自主檢查表） ",""))="","✓",TRIM(IF(COUNTIF(表單!$A$2:$A$500,A253)=0,"⚠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","")&amp;IF(AND(L253&lt;&gt;"Y",G253="數值",N253=0),"⚠ 數值需設定欄位 ","")&amp;IF(AND(L253&lt;&gt;"Y",G253="連結表單",K253=""),"⚠ 缺連結表號 ","")&amp;IF(AND(K253&lt;&gt;"",COUNTIF(可連結表單!$J$2:$J$501,K253)=0),"⚠ 連結表號不存在（需為本分項的自主檢查表） ",""))))</f>
        <v/>
      </c>
    </row>
    <row r="254">
      <c r="M254" s="2">
        <f>IF(A254="","",IF(B254="","共用",IF(L254="Y","排除（"&amp;B254&amp;"）",IF(SUMPRODUCT(($A$2:$A$500=A254)*($C$2:$C$500=C254)*($B$2:$B$500=""))&gt;0,"覆蓋共用（"&amp;B254&amp;"）","單元新增（"&amp;B254&amp;"）"))))</f>
        <v/>
      </c>
      <c r="N254" s="2">
        <f>IF(A254="","",COUNTIFS(數值欄位!$A$2:$A$500,A254,數值欄位!$C$2:$C$500,C254))</f>
        <v/>
      </c>
      <c r="O254" s="2">
        <f>IF(A254="","",IF(TRIM(IF(COUNTIF(表單!$A$2:$A$500,A254)=0,"⚠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","")&amp;IF(AND(L254&lt;&gt;"Y",G254="數值",N254=0),"⚠ 數值需設定欄位 ","")&amp;IF(AND(L254&lt;&gt;"Y",G254="連結表單",K254=""),"⚠ 缺連結表號 ","")&amp;IF(AND(K254&lt;&gt;"",COUNTIF(可連結表單!$J$2:$J$501,K254)=0),"⚠ 連結表號不存在（需為本分項的自主檢查表） ",""))="","✓",TRIM(IF(COUNTIF(表單!$A$2:$A$500,A254)=0,"⚠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","")&amp;IF(AND(L254&lt;&gt;"Y",G254="數值",N254=0),"⚠ 數值需設定欄位 ","")&amp;IF(AND(L254&lt;&gt;"Y",G254="連結表單",K254=""),"⚠ 缺連結表號 ","")&amp;IF(AND(K254&lt;&gt;"",COUNTIF(可連結表單!$J$2:$J$501,K254)=0),"⚠ 連結表號不存在（需為本分項的自主檢查表） ",""))))</f>
        <v/>
      </c>
    </row>
    <row r="255">
      <c r="M255" s="2">
        <f>IF(A255="","",IF(B255="","共用",IF(L255="Y","排除（"&amp;B255&amp;"）",IF(SUMPRODUCT(($A$2:$A$500=A255)*($C$2:$C$500=C255)*($B$2:$B$500=""))&gt;0,"覆蓋共用（"&amp;B255&amp;"）","單元新增（"&amp;B255&amp;"）"))))</f>
        <v/>
      </c>
      <c r="N255" s="2">
        <f>IF(A255="","",COUNTIFS(數值欄位!$A$2:$A$500,A255,數值欄位!$C$2:$C$500,C255))</f>
        <v/>
      </c>
      <c r="O255" s="2">
        <f>IF(A255="","",IF(TRIM(IF(COUNTIF(表單!$A$2:$A$500,A255)=0,"⚠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","")&amp;IF(AND(L255&lt;&gt;"Y",G255="數值",N255=0),"⚠ 數值需設定欄位 ","")&amp;IF(AND(L255&lt;&gt;"Y",G255="連結表單",K255=""),"⚠ 缺連結表號 ","")&amp;IF(AND(K255&lt;&gt;"",COUNTIF(可連結表單!$J$2:$J$501,K255)=0),"⚠ 連結表號不存在（需為本分項的自主檢查表） ",""))="","✓",TRIM(IF(COUNTIF(表單!$A$2:$A$500,A255)=0,"⚠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","")&amp;IF(AND(L255&lt;&gt;"Y",G255="數值",N255=0),"⚠ 數值需設定欄位 ","")&amp;IF(AND(L255&lt;&gt;"Y",G255="連結表單",K255=""),"⚠ 缺連結表號 ","")&amp;IF(AND(K255&lt;&gt;"",COUNTIF(可連結表單!$J$2:$J$501,K255)=0),"⚠ 連結表號不存在（需為本分項的自主檢查表） ",""))))</f>
        <v/>
      </c>
    </row>
    <row r="256">
      <c r="M256" s="2">
        <f>IF(A256="","",IF(B256="","共用",IF(L256="Y","排除（"&amp;B256&amp;"）",IF(SUMPRODUCT(($A$2:$A$500=A256)*($C$2:$C$500=C256)*($B$2:$B$500=""))&gt;0,"覆蓋共用（"&amp;B256&amp;"）","單元新增（"&amp;B256&amp;"）"))))</f>
        <v/>
      </c>
      <c r="N256" s="2">
        <f>IF(A256="","",COUNTIFS(數值欄位!$A$2:$A$500,A256,數值欄位!$C$2:$C$500,C256))</f>
        <v/>
      </c>
      <c r="O256" s="2">
        <f>IF(A256="","",IF(TRIM(IF(COUNTIF(表單!$A$2:$A$500,A256)=0,"⚠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","")&amp;IF(AND(L256&lt;&gt;"Y",G256="數值",N256=0),"⚠ 數值需設定欄位 ","")&amp;IF(AND(L256&lt;&gt;"Y",G256="連結表單",K256=""),"⚠ 缺連結表號 ","")&amp;IF(AND(K256&lt;&gt;"",COUNTIF(可連結表單!$J$2:$J$501,K256)=0),"⚠ 連結表號不存在（需為本分項的自主檢查表） ",""))="","✓",TRIM(IF(COUNTIF(表單!$A$2:$A$500,A256)=0,"⚠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","")&amp;IF(AND(L256&lt;&gt;"Y",G256="數值",N256=0),"⚠ 數值需設定欄位 ","")&amp;IF(AND(L256&lt;&gt;"Y",G256="連結表單",K256=""),"⚠ 缺連結表號 ","")&amp;IF(AND(K256&lt;&gt;"",COUNTIF(可連結表單!$J$2:$J$501,K256)=0),"⚠ 連結表號不存在（需為本分項的自主檢查表） ",""))))</f>
        <v/>
      </c>
    </row>
    <row r="257">
      <c r="M257" s="2">
        <f>IF(A257="","",IF(B257="","共用",IF(L257="Y","排除（"&amp;B257&amp;"）",IF(SUMPRODUCT(($A$2:$A$500=A257)*($C$2:$C$500=C257)*($B$2:$B$500=""))&gt;0,"覆蓋共用（"&amp;B257&amp;"）","單元新增（"&amp;B257&amp;"）"))))</f>
        <v/>
      </c>
      <c r="N257" s="2">
        <f>IF(A257="","",COUNTIFS(數值欄位!$A$2:$A$500,A257,數值欄位!$C$2:$C$500,C257))</f>
        <v/>
      </c>
      <c r="O257" s="2">
        <f>IF(A257="","",IF(TRIM(IF(COUNTIF(表單!$A$2:$A$500,A257)=0,"⚠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","")&amp;IF(AND(L257&lt;&gt;"Y",G257="數值",N257=0),"⚠ 數值需設定欄位 ","")&amp;IF(AND(L257&lt;&gt;"Y",G257="連結表單",K257=""),"⚠ 缺連結表號 ","")&amp;IF(AND(K257&lt;&gt;"",COUNTIF(可連結表單!$J$2:$J$501,K257)=0),"⚠ 連結表號不存在（需為本分項的自主檢查表） ",""))="","✓",TRIM(IF(COUNTIF(表單!$A$2:$A$500,A257)=0,"⚠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","")&amp;IF(AND(L257&lt;&gt;"Y",G257="數值",N257=0),"⚠ 數值需設定欄位 ","")&amp;IF(AND(L257&lt;&gt;"Y",G257="連結表單",K257=""),"⚠ 缺連結表號 ","")&amp;IF(AND(K257&lt;&gt;"",COUNTIF(可連結表單!$J$2:$J$501,K257)=0),"⚠ 連結表號不存在（需為本分項的自主檢查表） ",""))))</f>
        <v/>
      </c>
    </row>
    <row r="258">
      <c r="M258" s="2">
        <f>IF(A258="","",IF(B258="","共用",IF(L258="Y","排除（"&amp;B258&amp;"）",IF(SUMPRODUCT(($A$2:$A$500=A258)*($C$2:$C$500=C258)*($B$2:$B$500=""))&gt;0,"覆蓋共用（"&amp;B258&amp;"）","單元新增（"&amp;B258&amp;"）"))))</f>
        <v/>
      </c>
      <c r="N258" s="2">
        <f>IF(A258="","",COUNTIFS(數值欄位!$A$2:$A$500,A258,數值欄位!$C$2:$C$500,C258))</f>
        <v/>
      </c>
      <c r="O258" s="2">
        <f>IF(A258="","",IF(TRIM(IF(COUNTIF(表單!$A$2:$A$500,A258)=0,"⚠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","")&amp;IF(AND(L258&lt;&gt;"Y",G258="數值",N258=0),"⚠ 數值需設定欄位 ","")&amp;IF(AND(L258&lt;&gt;"Y",G258="連結表單",K258=""),"⚠ 缺連結表號 ","")&amp;IF(AND(K258&lt;&gt;"",COUNTIF(可連結表單!$J$2:$J$501,K258)=0),"⚠ 連結表號不存在（需為本分項的自主檢查表） ",""))="","✓",TRIM(IF(COUNTIF(表單!$A$2:$A$500,A258)=0,"⚠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","")&amp;IF(AND(L258&lt;&gt;"Y",G258="數值",N258=0),"⚠ 數值需設定欄位 ","")&amp;IF(AND(L258&lt;&gt;"Y",G258="連結表單",K258=""),"⚠ 缺連結表號 ","")&amp;IF(AND(K258&lt;&gt;"",COUNTIF(可連結表單!$J$2:$J$501,K258)=0),"⚠ 連結表號不存在（需為本分項的自主檢查表） ",""))))</f>
        <v/>
      </c>
    </row>
    <row r="259">
      <c r="M259" s="2">
        <f>IF(A259="","",IF(B259="","共用",IF(L259="Y","排除（"&amp;B259&amp;"）",IF(SUMPRODUCT(($A$2:$A$500=A259)*($C$2:$C$500=C259)*($B$2:$B$500=""))&gt;0,"覆蓋共用（"&amp;B259&amp;"）","單元新增（"&amp;B259&amp;"）"))))</f>
        <v/>
      </c>
      <c r="N259" s="2">
        <f>IF(A259="","",COUNTIFS(數值欄位!$A$2:$A$500,A259,數值欄位!$C$2:$C$500,C259))</f>
        <v/>
      </c>
      <c r="O259" s="2">
        <f>IF(A259="","",IF(TRIM(IF(COUNTIF(表單!$A$2:$A$500,A259)=0,"⚠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","")&amp;IF(AND(L259&lt;&gt;"Y",G259="數值",N259=0),"⚠ 數值需設定欄位 ","")&amp;IF(AND(L259&lt;&gt;"Y",G259="連結表單",K259=""),"⚠ 缺連結表號 ","")&amp;IF(AND(K259&lt;&gt;"",COUNTIF(可連結表單!$J$2:$J$501,K259)=0),"⚠ 連結表號不存在（需為本分項的自主檢查表） ",""))="","✓",TRIM(IF(COUNTIF(表單!$A$2:$A$500,A259)=0,"⚠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","")&amp;IF(AND(L259&lt;&gt;"Y",G259="數值",N259=0),"⚠ 數值需設定欄位 ","")&amp;IF(AND(L259&lt;&gt;"Y",G259="連結表單",K259=""),"⚠ 缺連結表號 ","")&amp;IF(AND(K259&lt;&gt;"",COUNTIF(可連結表單!$J$2:$J$501,K259)=0),"⚠ 連結表號不存在（需為本分項的自主檢查表） ",""))))</f>
        <v/>
      </c>
    </row>
    <row r="260">
      <c r="M260" s="2">
        <f>IF(A260="","",IF(B260="","共用",IF(L260="Y","排除（"&amp;B260&amp;"）",IF(SUMPRODUCT(($A$2:$A$500=A260)*($C$2:$C$500=C260)*($B$2:$B$500=""))&gt;0,"覆蓋共用（"&amp;B260&amp;"）","單元新增（"&amp;B260&amp;"）"))))</f>
        <v/>
      </c>
      <c r="N260" s="2">
        <f>IF(A260="","",COUNTIFS(數值欄位!$A$2:$A$500,A260,數值欄位!$C$2:$C$500,C260))</f>
        <v/>
      </c>
      <c r="O260" s="2">
        <f>IF(A260="","",IF(TRIM(IF(COUNTIF(表單!$A$2:$A$500,A260)=0,"⚠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","")&amp;IF(AND(L260&lt;&gt;"Y",G260="數值",N260=0),"⚠ 數值需設定欄位 ","")&amp;IF(AND(L260&lt;&gt;"Y",G260="連結表單",K260=""),"⚠ 缺連結表號 ","")&amp;IF(AND(K260&lt;&gt;"",COUNTIF(可連結表單!$J$2:$J$501,K260)=0),"⚠ 連結表號不存在（需為本分項的自主檢查表） ",""))="","✓",TRIM(IF(COUNTIF(表單!$A$2:$A$500,A260)=0,"⚠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","")&amp;IF(AND(L260&lt;&gt;"Y",G260="數值",N260=0),"⚠ 數值需設定欄位 ","")&amp;IF(AND(L260&lt;&gt;"Y",G260="連結表單",K260=""),"⚠ 缺連結表號 ","")&amp;IF(AND(K260&lt;&gt;"",COUNTIF(可連結表單!$J$2:$J$501,K260)=0),"⚠ 連結表號不存在（需為本分項的自主檢查表） ",""))))</f>
        <v/>
      </c>
    </row>
    <row r="261">
      <c r="M261" s="2">
        <f>IF(A261="","",IF(B261="","共用",IF(L261="Y","排除（"&amp;B261&amp;"）",IF(SUMPRODUCT(($A$2:$A$500=A261)*($C$2:$C$500=C261)*($B$2:$B$500=""))&gt;0,"覆蓋共用（"&amp;B261&amp;"）","單元新增（"&amp;B261&amp;"）"))))</f>
        <v/>
      </c>
      <c r="N261" s="2">
        <f>IF(A261="","",COUNTIFS(數值欄位!$A$2:$A$500,A261,數值欄位!$C$2:$C$500,C261))</f>
        <v/>
      </c>
      <c r="O261" s="2">
        <f>IF(A261="","",IF(TRIM(IF(COUNTIF(表單!$A$2:$A$500,A261)=0,"⚠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","")&amp;IF(AND(L261&lt;&gt;"Y",G261="數值",N261=0),"⚠ 數值需設定欄位 ","")&amp;IF(AND(L261&lt;&gt;"Y",G261="連結表單",K261=""),"⚠ 缺連結表號 ","")&amp;IF(AND(K261&lt;&gt;"",COUNTIF(可連結表單!$J$2:$J$501,K261)=0),"⚠ 連結表號不存在（需為本分項的自主檢查表） ",""))="","✓",TRIM(IF(COUNTIF(表單!$A$2:$A$500,A261)=0,"⚠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","")&amp;IF(AND(L261&lt;&gt;"Y",G261="數值",N261=0),"⚠ 數值需設定欄位 ","")&amp;IF(AND(L261&lt;&gt;"Y",G261="連結表單",K261=""),"⚠ 缺連結表號 ","")&amp;IF(AND(K261&lt;&gt;"",COUNTIF(可連結表單!$J$2:$J$501,K261)=0),"⚠ 連結表號不存在（需為本分項的自主檢查表） ",""))))</f>
        <v/>
      </c>
    </row>
    <row r="262">
      <c r="M262" s="2">
        <f>IF(A262="","",IF(B262="","共用",IF(L262="Y","排除（"&amp;B262&amp;"）",IF(SUMPRODUCT(($A$2:$A$500=A262)*($C$2:$C$500=C262)*($B$2:$B$500=""))&gt;0,"覆蓋共用（"&amp;B262&amp;"）","單元新增（"&amp;B262&amp;"）"))))</f>
        <v/>
      </c>
      <c r="N262" s="2">
        <f>IF(A262="","",COUNTIFS(數值欄位!$A$2:$A$500,A262,數值欄位!$C$2:$C$500,C262))</f>
        <v/>
      </c>
      <c r="O262" s="2">
        <f>IF(A262="","",IF(TRIM(IF(COUNTIF(表單!$A$2:$A$500,A262)=0,"⚠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","")&amp;IF(AND(L262&lt;&gt;"Y",G262="數值",N262=0),"⚠ 數值需設定欄位 ","")&amp;IF(AND(L262&lt;&gt;"Y",G262="連結表單",K262=""),"⚠ 缺連結表號 ","")&amp;IF(AND(K262&lt;&gt;"",COUNTIF(可連結表單!$J$2:$J$501,K262)=0),"⚠ 連結表號不存在（需為本分項的自主檢查表） ",""))="","✓",TRIM(IF(COUNTIF(表單!$A$2:$A$500,A262)=0,"⚠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","")&amp;IF(AND(L262&lt;&gt;"Y",G262="數值",N262=0),"⚠ 數值需設定欄位 ","")&amp;IF(AND(L262&lt;&gt;"Y",G262="連結表單",K262=""),"⚠ 缺連結表號 ","")&amp;IF(AND(K262&lt;&gt;"",COUNTIF(可連結表單!$J$2:$J$501,K262)=0),"⚠ 連結表號不存在（需為本分項的自主檢查表） ",""))))</f>
        <v/>
      </c>
    </row>
    <row r="263">
      <c r="M263" s="2">
        <f>IF(A263="","",IF(B263="","共用",IF(L263="Y","排除（"&amp;B263&amp;"）",IF(SUMPRODUCT(($A$2:$A$500=A263)*($C$2:$C$500=C263)*($B$2:$B$500=""))&gt;0,"覆蓋共用（"&amp;B263&amp;"）","單元新增（"&amp;B263&amp;"）"))))</f>
        <v/>
      </c>
      <c r="N263" s="2">
        <f>IF(A263="","",COUNTIFS(數值欄位!$A$2:$A$500,A263,數值欄位!$C$2:$C$500,C263))</f>
        <v/>
      </c>
      <c r="O263" s="2">
        <f>IF(A263="","",IF(TRIM(IF(COUNTIF(表單!$A$2:$A$500,A263)=0,"⚠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","")&amp;IF(AND(L263&lt;&gt;"Y",G263="數值",N263=0),"⚠ 數值需設定欄位 ","")&amp;IF(AND(L263&lt;&gt;"Y",G263="連結表單",K263=""),"⚠ 缺連結表號 ","")&amp;IF(AND(K263&lt;&gt;"",COUNTIF(可連結表單!$J$2:$J$501,K263)=0),"⚠ 連結表號不存在（需為本分項的自主檢查表） ",""))="","✓",TRIM(IF(COUNTIF(表單!$A$2:$A$500,A263)=0,"⚠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","")&amp;IF(AND(L263&lt;&gt;"Y",G263="數值",N263=0),"⚠ 數值需設定欄位 ","")&amp;IF(AND(L263&lt;&gt;"Y",G263="連結表單",K263=""),"⚠ 缺連結表號 ","")&amp;IF(AND(K263&lt;&gt;"",COUNTIF(可連結表單!$J$2:$J$501,K263)=0),"⚠ 連結表號不存在（需為本分項的自主檢查表） ",""))))</f>
        <v/>
      </c>
    </row>
    <row r="264">
      <c r="M264" s="2">
        <f>IF(A264="","",IF(B264="","共用",IF(L264="Y","排除（"&amp;B264&amp;"）",IF(SUMPRODUCT(($A$2:$A$500=A264)*($C$2:$C$500=C264)*($B$2:$B$500=""))&gt;0,"覆蓋共用（"&amp;B264&amp;"）","單元新增（"&amp;B264&amp;"）"))))</f>
        <v/>
      </c>
      <c r="N264" s="2">
        <f>IF(A264="","",COUNTIFS(數值欄位!$A$2:$A$500,A264,數值欄位!$C$2:$C$500,C264))</f>
        <v/>
      </c>
      <c r="O264" s="2">
        <f>IF(A264="","",IF(TRIM(IF(COUNTIF(表單!$A$2:$A$500,A264)=0,"⚠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","")&amp;IF(AND(L264&lt;&gt;"Y",G264="數值",N264=0),"⚠ 數值需設定欄位 ","")&amp;IF(AND(L264&lt;&gt;"Y",G264="連結表單",K264=""),"⚠ 缺連結表號 ","")&amp;IF(AND(K264&lt;&gt;"",COUNTIF(可連結表單!$J$2:$J$501,K264)=0),"⚠ 連結表號不存在（需為本分項的自主檢查表） ",""))="","✓",TRIM(IF(COUNTIF(表單!$A$2:$A$500,A264)=0,"⚠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","")&amp;IF(AND(L264&lt;&gt;"Y",G264="數值",N264=0),"⚠ 數值需設定欄位 ","")&amp;IF(AND(L264&lt;&gt;"Y",G264="連結表單",K264=""),"⚠ 缺連結表號 ","")&amp;IF(AND(K264&lt;&gt;"",COUNTIF(可連結表單!$J$2:$J$501,K264)=0),"⚠ 連結表號不存在（需為本分項的自主檢查表） ",""))))</f>
        <v/>
      </c>
    </row>
    <row r="265">
      <c r="M265" s="2">
        <f>IF(A265="","",IF(B265="","共用",IF(L265="Y","排除（"&amp;B265&amp;"）",IF(SUMPRODUCT(($A$2:$A$500=A265)*($C$2:$C$500=C265)*($B$2:$B$500=""))&gt;0,"覆蓋共用（"&amp;B265&amp;"）","單元新增（"&amp;B265&amp;"）"))))</f>
        <v/>
      </c>
      <c r="N265" s="2">
        <f>IF(A265="","",COUNTIFS(數值欄位!$A$2:$A$500,A265,數值欄位!$C$2:$C$500,C265))</f>
        <v/>
      </c>
      <c r="O265" s="2">
        <f>IF(A265="","",IF(TRIM(IF(COUNTIF(表單!$A$2:$A$500,A265)=0,"⚠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","")&amp;IF(AND(L265&lt;&gt;"Y",G265="數值",N265=0),"⚠ 數值需設定欄位 ","")&amp;IF(AND(L265&lt;&gt;"Y",G265="連結表單",K265=""),"⚠ 缺連結表號 ","")&amp;IF(AND(K265&lt;&gt;"",COUNTIF(可連結表單!$J$2:$J$501,K265)=0),"⚠ 連結表號不存在（需為本分項的自主檢查表） ",""))="","✓",TRIM(IF(COUNTIF(表單!$A$2:$A$500,A265)=0,"⚠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","")&amp;IF(AND(L265&lt;&gt;"Y",G265="數值",N265=0),"⚠ 數值需設定欄位 ","")&amp;IF(AND(L265&lt;&gt;"Y",G265="連結表單",K265=""),"⚠ 缺連結表號 ","")&amp;IF(AND(K265&lt;&gt;"",COUNTIF(可連結表單!$J$2:$J$501,K265)=0),"⚠ 連結表號不存在（需為本分項的自主檢查表） ",""))))</f>
        <v/>
      </c>
    </row>
    <row r="266">
      <c r="M266" s="2">
        <f>IF(A266="","",IF(B266="","共用",IF(L266="Y","排除（"&amp;B266&amp;"）",IF(SUMPRODUCT(($A$2:$A$500=A266)*($C$2:$C$500=C266)*($B$2:$B$500=""))&gt;0,"覆蓋共用（"&amp;B266&amp;"）","單元新增（"&amp;B266&amp;"）"))))</f>
        <v/>
      </c>
      <c r="N266" s="2">
        <f>IF(A266="","",COUNTIFS(數值欄位!$A$2:$A$500,A266,數值欄位!$C$2:$C$500,C266))</f>
        <v/>
      </c>
      <c r="O266" s="2">
        <f>IF(A266="","",IF(TRIM(IF(COUNTIF(表單!$A$2:$A$500,A266)=0,"⚠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","")&amp;IF(AND(L266&lt;&gt;"Y",G266="數值",N266=0),"⚠ 數值需設定欄位 ","")&amp;IF(AND(L266&lt;&gt;"Y",G266="連結表單",K266=""),"⚠ 缺連結表號 ","")&amp;IF(AND(K266&lt;&gt;"",COUNTIF(可連結表單!$J$2:$J$501,K266)=0),"⚠ 連結表號不存在（需為本分項的自主檢查表） ",""))="","✓",TRIM(IF(COUNTIF(表單!$A$2:$A$500,A266)=0,"⚠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","")&amp;IF(AND(L266&lt;&gt;"Y",G266="數值",N266=0),"⚠ 數值需設定欄位 ","")&amp;IF(AND(L266&lt;&gt;"Y",G266="連結表單",K266=""),"⚠ 缺連結表號 ","")&amp;IF(AND(K266&lt;&gt;"",COUNTIF(可連結表單!$J$2:$J$501,K266)=0),"⚠ 連結表號不存在（需為本分項的自主檢查表） ",""))))</f>
        <v/>
      </c>
    </row>
    <row r="267">
      <c r="M267" s="2">
        <f>IF(A267="","",IF(B267="","共用",IF(L267="Y","排除（"&amp;B267&amp;"）",IF(SUMPRODUCT(($A$2:$A$500=A267)*($C$2:$C$500=C267)*($B$2:$B$500=""))&gt;0,"覆蓋共用（"&amp;B267&amp;"）","單元新增（"&amp;B267&amp;"）"))))</f>
        <v/>
      </c>
      <c r="N267" s="2">
        <f>IF(A267="","",COUNTIFS(數值欄位!$A$2:$A$500,A267,數值欄位!$C$2:$C$500,C267))</f>
        <v/>
      </c>
      <c r="O267" s="2">
        <f>IF(A267="","",IF(TRIM(IF(COUNTIF(表單!$A$2:$A$500,A267)=0,"⚠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","")&amp;IF(AND(L267&lt;&gt;"Y",G267="數值",N267=0),"⚠ 數值需設定欄位 ","")&amp;IF(AND(L267&lt;&gt;"Y",G267="連結表單",K267=""),"⚠ 缺連結表號 ","")&amp;IF(AND(K267&lt;&gt;"",COUNTIF(可連結表單!$J$2:$J$501,K267)=0),"⚠ 連結表號不存在（需為本分項的自主檢查表） ",""))="","✓",TRIM(IF(COUNTIF(表單!$A$2:$A$500,A267)=0,"⚠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","")&amp;IF(AND(L267&lt;&gt;"Y",G267="數值",N267=0),"⚠ 數值需設定欄位 ","")&amp;IF(AND(L267&lt;&gt;"Y",G267="連結表單",K267=""),"⚠ 缺連結表號 ","")&amp;IF(AND(K267&lt;&gt;"",COUNTIF(可連結表單!$J$2:$J$501,K267)=0),"⚠ 連結表號不存在（需為本分項的自主檢查表） ",""))))</f>
        <v/>
      </c>
    </row>
    <row r="268">
      <c r="M268" s="2">
        <f>IF(A268="","",IF(B268="","共用",IF(L268="Y","排除（"&amp;B268&amp;"）",IF(SUMPRODUCT(($A$2:$A$500=A268)*($C$2:$C$500=C268)*($B$2:$B$500=""))&gt;0,"覆蓋共用（"&amp;B268&amp;"）","單元新增（"&amp;B268&amp;"）"))))</f>
        <v/>
      </c>
      <c r="N268" s="2">
        <f>IF(A268="","",COUNTIFS(數值欄位!$A$2:$A$500,A268,數值欄位!$C$2:$C$500,C268))</f>
        <v/>
      </c>
      <c r="O268" s="2">
        <f>IF(A268="","",IF(TRIM(IF(COUNTIF(表單!$A$2:$A$500,A268)=0,"⚠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","")&amp;IF(AND(L268&lt;&gt;"Y",G268="數值",N268=0),"⚠ 數值需設定欄位 ","")&amp;IF(AND(L268&lt;&gt;"Y",G268="連結表單",K268=""),"⚠ 缺連結表號 ","")&amp;IF(AND(K268&lt;&gt;"",COUNTIF(可連結表單!$J$2:$J$501,K268)=0),"⚠ 連結表號不存在（需為本分項的自主檢查表） ",""))="","✓",TRIM(IF(COUNTIF(表單!$A$2:$A$500,A268)=0,"⚠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","")&amp;IF(AND(L268&lt;&gt;"Y",G268="數值",N268=0),"⚠ 數值需設定欄位 ","")&amp;IF(AND(L268&lt;&gt;"Y",G268="連結表單",K268=""),"⚠ 缺連結表號 ","")&amp;IF(AND(K268&lt;&gt;"",COUNTIF(可連結表單!$J$2:$J$501,K268)=0),"⚠ 連結表號不存在（需為本分項的自主檢查表） ",""))))</f>
        <v/>
      </c>
    </row>
    <row r="269">
      <c r="M269" s="2">
        <f>IF(A269="","",IF(B269="","共用",IF(L269="Y","排除（"&amp;B269&amp;"）",IF(SUMPRODUCT(($A$2:$A$500=A269)*($C$2:$C$500=C269)*($B$2:$B$500=""))&gt;0,"覆蓋共用（"&amp;B269&amp;"）","單元新增（"&amp;B269&amp;"）"))))</f>
        <v/>
      </c>
      <c r="N269" s="2">
        <f>IF(A269="","",COUNTIFS(數值欄位!$A$2:$A$500,A269,數值欄位!$C$2:$C$500,C269))</f>
        <v/>
      </c>
      <c r="O269" s="2">
        <f>IF(A269="","",IF(TRIM(IF(COUNTIF(表單!$A$2:$A$500,A269)=0,"⚠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","")&amp;IF(AND(L269&lt;&gt;"Y",G269="數值",N269=0),"⚠ 數值需設定欄位 ","")&amp;IF(AND(L269&lt;&gt;"Y",G269="連結表單",K269=""),"⚠ 缺連結表號 ","")&amp;IF(AND(K269&lt;&gt;"",COUNTIF(可連結表單!$J$2:$J$501,K269)=0),"⚠ 連結表號不存在（需為本分項的自主檢查表） ",""))="","✓",TRIM(IF(COUNTIF(表單!$A$2:$A$500,A269)=0,"⚠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","")&amp;IF(AND(L269&lt;&gt;"Y",G269="數值",N269=0),"⚠ 數值需設定欄位 ","")&amp;IF(AND(L269&lt;&gt;"Y",G269="連結表單",K269=""),"⚠ 缺連結表號 ","")&amp;IF(AND(K269&lt;&gt;"",COUNTIF(可連結表單!$J$2:$J$501,K269)=0),"⚠ 連結表號不存在（需為本分項的自主檢查表） ",""))))</f>
        <v/>
      </c>
    </row>
    <row r="270">
      <c r="M270" s="2">
        <f>IF(A270="","",IF(B270="","共用",IF(L270="Y","排除（"&amp;B270&amp;"）",IF(SUMPRODUCT(($A$2:$A$500=A270)*($C$2:$C$500=C270)*($B$2:$B$500=""))&gt;0,"覆蓋共用（"&amp;B270&amp;"）","單元新增（"&amp;B270&amp;"）"))))</f>
        <v/>
      </c>
      <c r="N270" s="2">
        <f>IF(A270="","",COUNTIFS(數值欄位!$A$2:$A$500,A270,數值欄位!$C$2:$C$500,C270))</f>
        <v/>
      </c>
      <c r="O270" s="2">
        <f>IF(A270="","",IF(TRIM(IF(COUNTIF(表單!$A$2:$A$500,A270)=0,"⚠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","")&amp;IF(AND(L270&lt;&gt;"Y",G270="數值",N270=0),"⚠ 數值需設定欄位 ","")&amp;IF(AND(L270&lt;&gt;"Y",G270="連結表單",K270=""),"⚠ 缺連結表號 ","")&amp;IF(AND(K270&lt;&gt;"",COUNTIF(可連結表單!$J$2:$J$501,K270)=0),"⚠ 連結表號不存在（需為本分項的自主檢查表） ",""))="","✓",TRIM(IF(COUNTIF(表單!$A$2:$A$500,A270)=0,"⚠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","")&amp;IF(AND(L270&lt;&gt;"Y",G270="數值",N270=0),"⚠ 數值需設定欄位 ","")&amp;IF(AND(L270&lt;&gt;"Y",G270="連結表單",K270=""),"⚠ 缺連結表號 ","")&amp;IF(AND(K270&lt;&gt;"",COUNTIF(可連結表單!$J$2:$J$501,K270)=0),"⚠ 連結表號不存在（需為本分項的自主檢查表） ",""))))</f>
        <v/>
      </c>
    </row>
    <row r="271">
      <c r="M271" s="2">
        <f>IF(A271="","",IF(B271="","共用",IF(L271="Y","排除（"&amp;B271&amp;"）",IF(SUMPRODUCT(($A$2:$A$500=A271)*($C$2:$C$500=C271)*($B$2:$B$500=""))&gt;0,"覆蓋共用（"&amp;B271&amp;"）","單元新增（"&amp;B271&amp;"）"))))</f>
        <v/>
      </c>
      <c r="N271" s="2">
        <f>IF(A271="","",COUNTIFS(數值欄位!$A$2:$A$500,A271,數值欄位!$C$2:$C$500,C271))</f>
        <v/>
      </c>
      <c r="O271" s="2">
        <f>IF(A271="","",IF(TRIM(IF(COUNTIF(表單!$A$2:$A$500,A271)=0,"⚠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","")&amp;IF(AND(L271&lt;&gt;"Y",G271="數值",N271=0),"⚠ 數值需設定欄位 ","")&amp;IF(AND(L271&lt;&gt;"Y",G271="連結表單",K271=""),"⚠ 缺連結表號 ","")&amp;IF(AND(K271&lt;&gt;"",COUNTIF(可連結表單!$J$2:$J$501,K271)=0),"⚠ 連結表號不存在（需為本分項的自主檢查表） ",""))="","✓",TRIM(IF(COUNTIF(表單!$A$2:$A$500,A271)=0,"⚠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","")&amp;IF(AND(L271&lt;&gt;"Y",G271="數值",N271=0),"⚠ 數值需設定欄位 ","")&amp;IF(AND(L271&lt;&gt;"Y",G271="連結表單",K271=""),"⚠ 缺連結表號 ","")&amp;IF(AND(K271&lt;&gt;"",COUNTIF(可連結表單!$J$2:$J$501,K271)=0),"⚠ 連結表號不存在（需為本分項的自主檢查表） ",""))))</f>
        <v/>
      </c>
    </row>
    <row r="272">
      <c r="M272" s="2">
        <f>IF(A272="","",IF(B272="","共用",IF(L272="Y","排除（"&amp;B272&amp;"）",IF(SUMPRODUCT(($A$2:$A$500=A272)*($C$2:$C$500=C272)*($B$2:$B$500=""))&gt;0,"覆蓋共用（"&amp;B272&amp;"）","單元新增（"&amp;B272&amp;"）"))))</f>
        <v/>
      </c>
      <c r="N272" s="2">
        <f>IF(A272="","",COUNTIFS(數值欄位!$A$2:$A$500,A272,數值欄位!$C$2:$C$500,C272))</f>
        <v/>
      </c>
      <c r="O272" s="2">
        <f>IF(A272="","",IF(TRIM(IF(COUNTIF(表單!$A$2:$A$500,A272)=0,"⚠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","")&amp;IF(AND(L272&lt;&gt;"Y",G272="數值",N272=0),"⚠ 數值需設定欄位 ","")&amp;IF(AND(L272&lt;&gt;"Y",G272="連結表單",K272=""),"⚠ 缺連結表號 ","")&amp;IF(AND(K272&lt;&gt;"",COUNTIF(可連結表單!$J$2:$J$501,K272)=0),"⚠ 連結表號不存在（需為本分項的自主檢查表） ",""))="","✓",TRIM(IF(COUNTIF(表單!$A$2:$A$500,A272)=0,"⚠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","")&amp;IF(AND(L272&lt;&gt;"Y",G272="數值",N272=0),"⚠ 數值需設定欄位 ","")&amp;IF(AND(L272&lt;&gt;"Y",G272="連結表單",K272=""),"⚠ 缺連結表號 ","")&amp;IF(AND(K272&lt;&gt;"",COUNTIF(可連結表單!$J$2:$J$501,K272)=0),"⚠ 連結表號不存在（需為本分項的自主檢查表） ",""))))</f>
        <v/>
      </c>
    </row>
    <row r="273">
      <c r="M273" s="2">
        <f>IF(A273="","",IF(B273="","共用",IF(L273="Y","排除（"&amp;B273&amp;"）",IF(SUMPRODUCT(($A$2:$A$500=A273)*($C$2:$C$500=C273)*($B$2:$B$500=""))&gt;0,"覆蓋共用（"&amp;B273&amp;"）","單元新增（"&amp;B273&amp;"）"))))</f>
        <v/>
      </c>
      <c r="N273" s="2">
        <f>IF(A273="","",COUNTIFS(數值欄位!$A$2:$A$500,A273,數值欄位!$C$2:$C$500,C273))</f>
        <v/>
      </c>
      <c r="O273" s="2">
        <f>IF(A273="","",IF(TRIM(IF(COUNTIF(表單!$A$2:$A$500,A273)=0,"⚠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","")&amp;IF(AND(L273&lt;&gt;"Y",G273="數值",N273=0),"⚠ 數值需設定欄位 ","")&amp;IF(AND(L273&lt;&gt;"Y",G273="連結表單",K273=""),"⚠ 缺連結表號 ","")&amp;IF(AND(K273&lt;&gt;"",COUNTIF(可連結表單!$J$2:$J$501,K273)=0),"⚠ 連結表號不存在（需為本分項的自主檢查表） ",""))="","✓",TRIM(IF(COUNTIF(表單!$A$2:$A$500,A273)=0,"⚠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","")&amp;IF(AND(L273&lt;&gt;"Y",G273="數值",N273=0),"⚠ 數值需設定欄位 ","")&amp;IF(AND(L273&lt;&gt;"Y",G273="連結表單",K273=""),"⚠ 缺連結表號 ","")&amp;IF(AND(K273&lt;&gt;"",COUNTIF(可連結表單!$J$2:$J$501,K273)=0),"⚠ 連結表號不存在（需為本分項的自主檢查表） ",""))))</f>
        <v/>
      </c>
    </row>
    <row r="274">
      <c r="M274" s="2">
        <f>IF(A274="","",IF(B274="","共用",IF(L274="Y","排除（"&amp;B274&amp;"）",IF(SUMPRODUCT(($A$2:$A$500=A274)*($C$2:$C$500=C274)*($B$2:$B$500=""))&gt;0,"覆蓋共用（"&amp;B274&amp;"）","單元新增（"&amp;B274&amp;"）"))))</f>
        <v/>
      </c>
      <c r="N274" s="2">
        <f>IF(A274="","",COUNTIFS(數值欄位!$A$2:$A$500,A274,數值欄位!$C$2:$C$500,C274))</f>
        <v/>
      </c>
      <c r="O274" s="2">
        <f>IF(A274="","",IF(TRIM(IF(COUNTIF(表單!$A$2:$A$500,A274)=0,"⚠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","")&amp;IF(AND(L274&lt;&gt;"Y",G274="數值",N274=0),"⚠ 數值需設定欄位 ","")&amp;IF(AND(L274&lt;&gt;"Y",G274="連結表單",K274=""),"⚠ 缺連結表號 ","")&amp;IF(AND(K274&lt;&gt;"",COUNTIF(可連結表單!$J$2:$J$501,K274)=0),"⚠ 連結表號不存在（需為本分項的自主檢查表） ",""))="","✓",TRIM(IF(COUNTIF(表單!$A$2:$A$500,A274)=0,"⚠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","")&amp;IF(AND(L274&lt;&gt;"Y",G274="數值",N274=0),"⚠ 數值需設定欄位 ","")&amp;IF(AND(L274&lt;&gt;"Y",G274="連結表單",K274=""),"⚠ 缺連結表號 ","")&amp;IF(AND(K274&lt;&gt;"",COUNTIF(可連結表單!$J$2:$J$501,K274)=0),"⚠ 連結表號不存在（需為本分項的自主檢查表） ",""))))</f>
        <v/>
      </c>
    </row>
    <row r="275">
      <c r="M275" s="2">
        <f>IF(A275="","",IF(B275="","共用",IF(L275="Y","排除（"&amp;B275&amp;"）",IF(SUMPRODUCT(($A$2:$A$500=A275)*($C$2:$C$500=C275)*($B$2:$B$500=""))&gt;0,"覆蓋共用（"&amp;B275&amp;"）","單元新增（"&amp;B275&amp;"）"))))</f>
        <v/>
      </c>
      <c r="N275" s="2">
        <f>IF(A275="","",COUNTIFS(數值欄位!$A$2:$A$500,A275,數值欄位!$C$2:$C$500,C275))</f>
        <v/>
      </c>
      <c r="O275" s="2">
        <f>IF(A275="","",IF(TRIM(IF(COUNTIF(表單!$A$2:$A$500,A275)=0,"⚠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","")&amp;IF(AND(L275&lt;&gt;"Y",G275="數值",N275=0),"⚠ 數值需設定欄位 ","")&amp;IF(AND(L275&lt;&gt;"Y",G275="連結表單",K275=""),"⚠ 缺連結表號 ","")&amp;IF(AND(K275&lt;&gt;"",COUNTIF(可連結表單!$J$2:$J$501,K275)=0),"⚠ 連結表號不存在（需為本分項的自主檢查表） ",""))="","✓",TRIM(IF(COUNTIF(表單!$A$2:$A$500,A275)=0,"⚠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","")&amp;IF(AND(L275&lt;&gt;"Y",G275="數值",N275=0),"⚠ 數值需設定欄位 ","")&amp;IF(AND(L275&lt;&gt;"Y",G275="連結表單",K275=""),"⚠ 缺連結表號 ","")&amp;IF(AND(K275&lt;&gt;"",COUNTIF(可連結表單!$J$2:$J$501,K275)=0),"⚠ 連結表號不存在（需為本分項的自主檢查表） ",""))))</f>
        <v/>
      </c>
    </row>
    <row r="276">
      <c r="M276" s="2">
        <f>IF(A276="","",IF(B276="","共用",IF(L276="Y","排除（"&amp;B276&amp;"）",IF(SUMPRODUCT(($A$2:$A$500=A276)*($C$2:$C$500=C276)*($B$2:$B$500=""))&gt;0,"覆蓋共用（"&amp;B276&amp;"）","單元新增（"&amp;B276&amp;"）"))))</f>
        <v/>
      </c>
      <c r="N276" s="2">
        <f>IF(A276="","",COUNTIFS(數值欄位!$A$2:$A$500,A276,數值欄位!$C$2:$C$500,C276))</f>
        <v/>
      </c>
      <c r="O276" s="2">
        <f>IF(A276="","",IF(TRIM(IF(COUNTIF(表單!$A$2:$A$500,A276)=0,"⚠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","")&amp;IF(AND(L276&lt;&gt;"Y",G276="數值",N276=0),"⚠ 數值需設定欄位 ","")&amp;IF(AND(L276&lt;&gt;"Y",G276="連結表單",K276=""),"⚠ 缺連結表號 ","")&amp;IF(AND(K276&lt;&gt;"",COUNTIF(可連結表單!$J$2:$J$501,K276)=0),"⚠ 連結表號不存在（需為本分項的自主檢查表） ",""))="","✓",TRIM(IF(COUNTIF(表單!$A$2:$A$500,A276)=0,"⚠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","")&amp;IF(AND(L276&lt;&gt;"Y",G276="數值",N276=0),"⚠ 數值需設定欄位 ","")&amp;IF(AND(L276&lt;&gt;"Y",G276="連結表單",K276=""),"⚠ 缺連結表號 ","")&amp;IF(AND(K276&lt;&gt;"",COUNTIF(可連結表單!$J$2:$J$501,K276)=0),"⚠ 連結表號不存在（需為本分項的自主檢查表） ",""))))</f>
        <v/>
      </c>
    </row>
    <row r="277">
      <c r="M277" s="2">
        <f>IF(A277="","",IF(B277="","共用",IF(L277="Y","排除（"&amp;B277&amp;"）",IF(SUMPRODUCT(($A$2:$A$500=A277)*($C$2:$C$500=C277)*($B$2:$B$500=""))&gt;0,"覆蓋共用（"&amp;B277&amp;"）","單元新增（"&amp;B277&amp;"）"))))</f>
        <v/>
      </c>
      <c r="N277" s="2">
        <f>IF(A277="","",COUNTIFS(數值欄位!$A$2:$A$500,A277,數值欄位!$C$2:$C$500,C277))</f>
        <v/>
      </c>
      <c r="O277" s="2">
        <f>IF(A277="","",IF(TRIM(IF(COUNTIF(表單!$A$2:$A$500,A277)=0,"⚠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","")&amp;IF(AND(L277&lt;&gt;"Y",G277="數值",N277=0),"⚠ 數值需設定欄位 ","")&amp;IF(AND(L277&lt;&gt;"Y",G277="連結表單",K277=""),"⚠ 缺連結表號 ","")&amp;IF(AND(K277&lt;&gt;"",COUNTIF(可連結表單!$J$2:$J$501,K277)=0),"⚠ 連結表號不存在（需為本分項的自主檢查表） ",""))="","✓",TRIM(IF(COUNTIF(表單!$A$2:$A$500,A277)=0,"⚠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","")&amp;IF(AND(L277&lt;&gt;"Y",G277="數值",N277=0),"⚠ 數值需設定欄位 ","")&amp;IF(AND(L277&lt;&gt;"Y",G277="連結表單",K277=""),"⚠ 缺連結表號 ","")&amp;IF(AND(K277&lt;&gt;"",COUNTIF(可連結表單!$J$2:$J$501,K277)=0),"⚠ 連結表號不存在（需為本分項的自主檢查表） ",""))))</f>
        <v/>
      </c>
    </row>
    <row r="278">
      <c r="M278" s="2">
        <f>IF(A278="","",IF(B278="","共用",IF(L278="Y","排除（"&amp;B278&amp;"）",IF(SUMPRODUCT(($A$2:$A$500=A278)*($C$2:$C$500=C278)*($B$2:$B$500=""))&gt;0,"覆蓋共用（"&amp;B278&amp;"）","單元新增（"&amp;B278&amp;"）"))))</f>
        <v/>
      </c>
      <c r="N278" s="2">
        <f>IF(A278="","",COUNTIFS(數值欄位!$A$2:$A$500,A278,數值欄位!$C$2:$C$500,C278))</f>
        <v/>
      </c>
      <c r="O278" s="2">
        <f>IF(A278="","",IF(TRIM(IF(COUNTIF(表單!$A$2:$A$500,A278)=0,"⚠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","")&amp;IF(AND(L278&lt;&gt;"Y",G278="數值",N278=0),"⚠ 數值需設定欄位 ","")&amp;IF(AND(L278&lt;&gt;"Y",G278="連結表單",K278=""),"⚠ 缺連結表號 ","")&amp;IF(AND(K278&lt;&gt;"",COUNTIF(可連結表單!$J$2:$J$501,K278)=0),"⚠ 連結表號不存在（需為本分項的自主檢查表） ",""))="","✓",TRIM(IF(COUNTIF(表單!$A$2:$A$500,A278)=0,"⚠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","")&amp;IF(AND(L278&lt;&gt;"Y",G278="數值",N278=0),"⚠ 數值需設定欄位 ","")&amp;IF(AND(L278&lt;&gt;"Y",G278="連結表單",K278=""),"⚠ 缺連結表號 ","")&amp;IF(AND(K278&lt;&gt;"",COUNTIF(可連結表單!$J$2:$J$501,K278)=0),"⚠ 連結表號不存在（需為本分項的自主檢查表） ",""))))</f>
        <v/>
      </c>
    </row>
    <row r="279">
      <c r="M279" s="2">
        <f>IF(A279="","",IF(B279="","共用",IF(L279="Y","排除（"&amp;B279&amp;"）",IF(SUMPRODUCT(($A$2:$A$500=A279)*($C$2:$C$500=C279)*($B$2:$B$500=""))&gt;0,"覆蓋共用（"&amp;B279&amp;"）","單元新增（"&amp;B279&amp;"）"))))</f>
        <v/>
      </c>
      <c r="N279" s="2">
        <f>IF(A279="","",COUNTIFS(數值欄位!$A$2:$A$500,A279,數值欄位!$C$2:$C$500,C279))</f>
        <v/>
      </c>
      <c r="O279" s="2">
        <f>IF(A279="","",IF(TRIM(IF(COUNTIF(表單!$A$2:$A$500,A279)=0,"⚠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","")&amp;IF(AND(L279&lt;&gt;"Y",G279="數值",N279=0),"⚠ 數值需設定欄位 ","")&amp;IF(AND(L279&lt;&gt;"Y",G279="連結表單",K279=""),"⚠ 缺連結表號 ","")&amp;IF(AND(K279&lt;&gt;"",COUNTIF(可連結表單!$J$2:$J$501,K279)=0),"⚠ 連結表號不存在（需為本分項的自主檢查表） ",""))="","✓",TRIM(IF(COUNTIF(表單!$A$2:$A$500,A279)=0,"⚠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","")&amp;IF(AND(L279&lt;&gt;"Y",G279="數值",N279=0),"⚠ 數值需設定欄位 ","")&amp;IF(AND(L279&lt;&gt;"Y",G279="連結表單",K279=""),"⚠ 缺連結表號 ","")&amp;IF(AND(K279&lt;&gt;"",COUNTIF(可連結表單!$J$2:$J$501,K279)=0),"⚠ 連結表號不存在（需為本分項的自主檢查表） ",""))))</f>
        <v/>
      </c>
    </row>
    <row r="280">
      <c r="M280" s="2">
        <f>IF(A280="","",IF(B280="","共用",IF(L280="Y","排除（"&amp;B280&amp;"）",IF(SUMPRODUCT(($A$2:$A$500=A280)*($C$2:$C$500=C280)*($B$2:$B$500=""))&gt;0,"覆蓋共用（"&amp;B280&amp;"）","單元新增（"&amp;B280&amp;"）"))))</f>
        <v/>
      </c>
      <c r="N280" s="2">
        <f>IF(A280="","",COUNTIFS(數值欄位!$A$2:$A$500,A280,數值欄位!$C$2:$C$500,C280))</f>
        <v/>
      </c>
      <c r="O280" s="2">
        <f>IF(A280="","",IF(TRIM(IF(COUNTIF(表單!$A$2:$A$500,A280)=0,"⚠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","")&amp;IF(AND(L280&lt;&gt;"Y",G280="數值",N280=0),"⚠ 數值需設定欄位 ","")&amp;IF(AND(L280&lt;&gt;"Y",G280="連結表單",K280=""),"⚠ 缺連結表號 ","")&amp;IF(AND(K280&lt;&gt;"",COUNTIF(可連結表單!$J$2:$J$501,K280)=0),"⚠ 連結表號不存在（需為本分項的自主檢查表） ",""))="","✓",TRIM(IF(COUNTIF(表單!$A$2:$A$500,A280)=0,"⚠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","")&amp;IF(AND(L280&lt;&gt;"Y",G280="數值",N280=0),"⚠ 數值需設定欄位 ","")&amp;IF(AND(L280&lt;&gt;"Y",G280="連結表單",K280=""),"⚠ 缺連結表號 ","")&amp;IF(AND(K280&lt;&gt;"",COUNTIF(可連結表單!$J$2:$J$501,K280)=0),"⚠ 連結表號不存在（需為本分項的自主檢查表） ",""))))</f>
        <v/>
      </c>
    </row>
    <row r="281">
      <c r="M281" s="2">
        <f>IF(A281="","",IF(B281="","共用",IF(L281="Y","排除（"&amp;B281&amp;"）",IF(SUMPRODUCT(($A$2:$A$500=A281)*($C$2:$C$500=C281)*($B$2:$B$500=""))&gt;0,"覆蓋共用（"&amp;B281&amp;"）","單元新增（"&amp;B281&amp;"）"))))</f>
        <v/>
      </c>
      <c r="N281" s="2">
        <f>IF(A281="","",COUNTIFS(數值欄位!$A$2:$A$500,A281,數值欄位!$C$2:$C$500,C281))</f>
        <v/>
      </c>
      <c r="O281" s="2">
        <f>IF(A281="","",IF(TRIM(IF(COUNTIF(表單!$A$2:$A$500,A281)=0,"⚠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","")&amp;IF(AND(L281&lt;&gt;"Y",G281="數值",N281=0),"⚠ 數值需設定欄位 ","")&amp;IF(AND(L281&lt;&gt;"Y",G281="連結表單",K281=""),"⚠ 缺連結表號 ","")&amp;IF(AND(K281&lt;&gt;"",COUNTIF(可連結表單!$J$2:$J$501,K281)=0),"⚠ 連結表號不存在（需為本分項的自主檢查表） ",""))="","✓",TRIM(IF(COUNTIF(表單!$A$2:$A$500,A281)=0,"⚠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","")&amp;IF(AND(L281&lt;&gt;"Y",G281="數值",N281=0),"⚠ 數值需設定欄位 ","")&amp;IF(AND(L281&lt;&gt;"Y",G281="連結表單",K281=""),"⚠ 缺連結表號 ","")&amp;IF(AND(K281&lt;&gt;"",COUNTIF(可連結表單!$J$2:$J$501,K281)=0),"⚠ 連結表號不存在（需為本分項的自主檢查表） ",""))))</f>
        <v/>
      </c>
    </row>
    <row r="282">
      <c r="M282" s="2">
        <f>IF(A282="","",IF(B282="","共用",IF(L282="Y","排除（"&amp;B282&amp;"）",IF(SUMPRODUCT(($A$2:$A$500=A282)*($C$2:$C$500=C282)*($B$2:$B$500=""))&gt;0,"覆蓋共用（"&amp;B282&amp;"）","單元新增（"&amp;B282&amp;"）"))))</f>
        <v/>
      </c>
      <c r="N282" s="2">
        <f>IF(A282="","",COUNTIFS(數值欄位!$A$2:$A$500,A282,數值欄位!$C$2:$C$500,C282))</f>
        <v/>
      </c>
      <c r="O282" s="2">
        <f>IF(A282="","",IF(TRIM(IF(COUNTIF(表單!$A$2:$A$500,A282)=0,"⚠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","")&amp;IF(AND(L282&lt;&gt;"Y",G282="數值",N282=0),"⚠ 數值需設定欄位 ","")&amp;IF(AND(L282&lt;&gt;"Y",G282="連結表單",K282=""),"⚠ 缺連結表號 ","")&amp;IF(AND(K282&lt;&gt;"",COUNTIF(可連結表單!$J$2:$J$501,K282)=0),"⚠ 連結表號不存在（需為本分項的自主檢查表） ",""))="","✓",TRIM(IF(COUNTIF(表單!$A$2:$A$500,A282)=0,"⚠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","")&amp;IF(AND(L282&lt;&gt;"Y",G282="數值",N282=0),"⚠ 數值需設定欄位 ","")&amp;IF(AND(L282&lt;&gt;"Y",G282="連結表單",K282=""),"⚠ 缺連結表號 ","")&amp;IF(AND(K282&lt;&gt;"",COUNTIF(可連結表單!$J$2:$J$501,K282)=0),"⚠ 連結表號不存在（需為本分項的自主檢查表） ",""))))</f>
        <v/>
      </c>
    </row>
    <row r="283">
      <c r="M283" s="2">
        <f>IF(A283="","",IF(B283="","共用",IF(L283="Y","排除（"&amp;B283&amp;"）",IF(SUMPRODUCT(($A$2:$A$500=A283)*($C$2:$C$500=C283)*($B$2:$B$500=""))&gt;0,"覆蓋共用（"&amp;B283&amp;"）","單元新增（"&amp;B283&amp;"）"))))</f>
        <v/>
      </c>
      <c r="N283" s="2">
        <f>IF(A283="","",COUNTIFS(數值欄位!$A$2:$A$500,A283,數值欄位!$C$2:$C$500,C283))</f>
        <v/>
      </c>
      <c r="O283" s="2">
        <f>IF(A283="","",IF(TRIM(IF(COUNTIF(表單!$A$2:$A$500,A283)=0,"⚠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","")&amp;IF(AND(L283&lt;&gt;"Y",G283="數值",N283=0),"⚠ 數值需設定欄位 ","")&amp;IF(AND(L283&lt;&gt;"Y",G283="連結表單",K283=""),"⚠ 缺連結表號 ","")&amp;IF(AND(K283&lt;&gt;"",COUNTIF(可連結表單!$J$2:$J$501,K283)=0),"⚠ 連結表號不存在（需為本分項的自主檢查表） ",""))="","✓",TRIM(IF(COUNTIF(表單!$A$2:$A$500,A283)=0,"⚠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","")&amp;IF(AND(L283&lt;&gt;"Y",G283="數值",N283=0),"⚠ 數值需設定欄位 ","")&amp;IF(AND(L283&lt;&gt;"Y",G283="連結表單",K283=""),"⚠ 缺連結表號 ","")&amp;IF(AND(K283&lt;&gt;"",COUNTIF(可連結表單!$J$2:$J$501,K283)=0),"⚠ 連結表號不存在（需為本分項的自主檢查表） ",""))))</f>
        <v/>
      </c>
    </row>
    <row r="284">
      <c r="M284" s="2">
        <f>IF(A284="","",IF(B284="","共用",IF(L284="Y","排除（"&amp;B284&amp;"）",IF(SUMPRODUCT(($A$2:$A$500=A284)*($C$2:$C$500=C284)*($B$2:$B$500=""))&gt;0,"覆蓋共用（"&amp;B284&amp;"）","單元新增（"&amp;B284&amp;"）"))))</f>
        <v/>
      </c>
      <c r="N284" s="2">
        <f>IF(A284="","",COUNTIFS(數值欄位!$A$2:$A$500,A284,數值欄位!$C$2:$C$500,C284))</f>
        <v/>
      </c>
      <c r="O284" s="2">
        <f>IF(A284="","",IF(TRIM(IF(COUNTIF(表單!$A$2:$A$500,A284)=0,"⚠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","")&amp;IF(AND(L284&lt;&gt;"Y",G284="數值",N284=0),"⚠ 數值需設定欄位 ","")&amp;IF(AND(L284&lt;&gt;"Y",G284="連結表單",K284=""),"⚠ 缺連結表號 ","")&amp;IF(AND(K284&lt;&gt;"",COUNTIF(可連結表單!$J$2:$J$501,K284)=0),"⚠ 連結表號不存在（需為本分項的自主檢查表） ",""))="","✓",TRIM(IF(COUNTIF(表單!$A$2:$A$500,A284)=0,"⚠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","")&amp;IF(AND(L284&lt;&gt;"Y",G284="數值",N284=0),"⚠ 數值需設定欄位 ","")&amp;IF(AND(L284&lt;&gt;"Y",G284="連結表單",K284=""),"⚠ 缺連結表號 ","")&amp;IF(AND(K284&lt;&gt;"",COUNTIF(可連結表單!$J$2:$J$501,K284)=0),"⚠ 連結表號不存在（需為本分項的自主檢查表） ",""))))</f>
        <v/>
      </c>
    </row>
    <row r="285">
      <c r="M285" s="2">
        <f>IF(A285="","",IF(B285="","共用",IF(L285="Y","排除（"&amp;B285&amp;"）",IF(SUMPRODUCT(($A$2:$A$500=A285)*($C$2:$C$500=C285)*($B$2:$B$500=""))&gt;0,"覆蓋共用（"&amp;B285&amp;"）","單元新增（"&amp;B285&amp;"）"))))</f>
        <v/>
      </c>
      <c r="N285" s="2">
        <f>IF(A285="","",COUNTIFS(數值欄位!$A$2:$A$500,A285,數值欄位!$C$2:$C$500,C285))</f>
        <v/>
      </c>
      <c r="O285" s="2">
        <f>IF(A285="","",IF(TRIM(IF(COUNTIF(表單!$A$2:$A$500,A285)=0,"⚠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","")&amp;IF(AND(L285&lt;&gt;"Y",G285="數值",N285=0),"⚠ 數值需設定欄位 ","")&amp;IF(AND(L285&lt;&gt;"Y",G285="連結表單",K285=""),"⚠ 缺連結表號 ","")&amp;IF(AND(K285&lt;&gt;"",COUNTIF(可連結表單!$J$2:$J$501,K285)=0),"⚠ 連結表號不存在（需為本分項的自主檢查表） ",""))="","✓",TRIM(IF(COUNTIF(表單!$A$2:$A$500,A285)=0,"⚠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","")&amp;IF(AND(L285&lt;&gt;"Y",G285="數值",N285=0),"⚠ 數值需設定欄位 ","")&amp;IF(AND(L285&lt;&gt;"Y",G285="連結表單",K285=""),"⚠ 缺連結表號 ","")&amp;IF(AND(K285&lt;&gt;"",COUNTIF(可連結表單!$J$2:$J$501,K285)=0),"⚠ 連結表號不存在（需為本分項的自主檢查表） ",""))))</f>
        <v/>
      </c>
    </row>
    <row r="286">
      <c r="M286" s="2">
        <f>IF(A286="","",IF(B286="","共用",IF(L286="Y","排除（"&amp;B286&amp;"）",IF(SUMPRODUCT(($A$2:$A$500=A286)*($C$2:$C$500=C286)*($B$2:$B$500=""))&gt;0,"覆蓋共用（"&amp;B286&amp;"）","單元新增（"&amp;B286&amp;"）"))))</f>
        <v/>
      </c>
      <c r="N286" s="2">
        <f>IF(A286="","",COUNTIFS(數值欄位!$A$2:$A$500,A286,數值欄位!$C$2:$C$500,C286))</f>
        <v/>
      </c>
      <c r="O286" s="2">
        <f>IF(A286="","",IF(TRIM(IF(COUNTIF(表單!$A$2:$A$500,A286)=0,"⚠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","")&amp;IF(AND(L286&lt;&gt;"Y",G286="數值",N286=0),"⚠ 數值需設定欄位 ","")&amp;IF(AND(L286&lt;&gt;"Y",G286="連結表單",K286=""),"⚠ 缺連結表號 ","")&amp;IF(AND(K286&lt;&gt;"",COUNTIF(可連結表單!$J$2:$J$501,K286)=0),"⚠ 連結表號不存在（需為本分項的自主檢查表） ",""))="","✓",TRIM(IF(COUNTIF(表單!$A$2:$A$500,A286)=0,"⚠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","")&amp;IF(AND(L286&lt;&gt;"Y",G286="數值",N286=0),"⚠ 數值需設定欄位 ","")&amp;IF(AND(L286&lt;&gt;"Y",G286="連結表單",K286=""),"⚠ 缺連結表號 ","")&amp;IF(AND(K286&lt;&gt;"",COUNTIF(可連結表單!$J$2:$J$501,K286)=0),"⚠ 連結表號不存在（需為本分項的自主檢查表） ",""))))</f>
        <v/>
      </c>
    </row>
    <row r="287">
      <c r="M287" s="2">
        <f>IF(A287="","",IF(B287="","共用",IF(L287="Y","排除（"&amp;B287&amp;"）",IF(SUMPRODUCT(($A$2:$A$500=A287)*($C$2:$C$500=C287)*($B$2:$B$500=""))&gt;0,"覆蓋共用（"&amp;B287&amp;"）","單元新增（"&amp;B287&amp;"）"))))</f>
        <v/>
      </c>
      <c r="N287" s="2">
        <f>IF(A287="","",COUNTIFS(數值欄位!$A$2:$A$500,A287,數值欄位!$C$2:$C$500,C287))</f>
        <v/>
      </c>
      <c r="O287" s="2">
        <f>IF(A287="","",IF(TRIM(IF(COUNTIF(表單!$A$2:$A$500,A287)=0,"⚠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","")&amp;IF(AND(L287&lt;&gt;"Y",G287="數值",N287=0),"⚠ 數值需設定欄位 ","")&amp;IF(AND(L287&lt;&gt;"Y",G287="連結表單",K287=""),"⚠ 缺連結表號 ","")&amp;IF(AND(K287&lt;&gt;"",COUNTIF(可連結表單!$J$2:$J$501,K287)=0),"⚠ 連結表號不存在（需為本分項的自主檢查表） ",""))="","✓",TRIM(IF(COUNTIF(表單!$A$2:$A$500,A287)=0,"⚠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","")&amp;IF(AND(L287&lt;&gt;"Y",G287="數值",N287=0),"⚠ 數值需設定欄位 ","")&amp;IF(AND(L287&lt;&gt;"Y",G287="連結表單",K287=""),"⚠ 缺連結表號 ","")&amp;IF(AND(K287&lt;&gt;"",COUNTIF(可連結表單!$J$2:$J$501,K287)=0),"⚠ 連結表號不存在（需為本分項的自主檢查表） ",""))))</f>
        <v/>
      </c>
    </row>
    <row r="288">
      <c r="M288" s="2">
        <f>IF(A288="","",IF(B288="","共用",IF(L288="Y","排除（"&amp;B288&amp;"）",IF(SUMPRODUCT(($A$2:$A$500=A288)*($C$2:$C$500=C288)*($B$2:$B$500=""))&gt;0,"覆蓋共用（"&amp;B288&amp;"）","單元新增（"&amp;B288&amp;"）"))))</f>
        <v/>
      </c>
      <c r="N288" s="2">
        <f>IF(A288="","",COUNTIFS(數值欄位!$A$2:$A$500,A288,數值欄位!$C$2:$C$500,C288))</f>
        <v/>
      </c>
      <c r="O288" s="2">
        <f>IF(A288="","",IF(TRIM(IF(COUNTIF(表單!$A$2:$A$500,A288)=0,"⚠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","")&amp;IF(AND(L288&lt;&gt;"Y",G288="數值",N288=0),"⚠ 數值需設定欄位 ","")&amp;IF(AND(L288&lt;&gt;"Y",G288="連結表單",K288=""),"⚠ 缺連結表號 ","")&amp;IF(AND(K288&lt;&gt;"",COUNTIF(可連結表單!$J$2:$J$501,K288)=0),"⚠ 連結表號不存在（需為本分項的自主檢查表） ",""))="","✓",TRIM(IF(COUNTIF(表單!$A$2:$A$500,A288)=0,"⚠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","")&amp;IF(AND(L288&lt;&gt;"Y",G288="數值",N288=0),"⚠ 數值需設定欄位 ","")&amp;IF(AND(L288&lt;&gt;"Y",G288="連結表單",K288=""),"⚠ 缺連結表號 ","")&amp;IF(AND(K288&lt;&gt;"",COUNTIF(可連結表單!$J$2:$J$501,K288)=0),"⚠ 連結表號不存在（需為本分項的自主檢查表） ",""))))</f>
        <v/>
      </c>
    </row>
    <row r="289">
      <c r="M289" s="2">
        <f>IF(A289="","",IF(B289="","共用",IF(L289="Y","排除（"&amp;B289&amp;"）",IF(SUMPRODUCT(($A$2:$A$500=A289)*($C$2:$C$500=C289)*($B$2:$B$500=""))&gt;0,"覆蓋共用（"&amp;B289&amp;"）","單元新增（"&amp;B289&amp;"）"))))</f>
        <v/>
      </c>
      <c r="N289" s="2">
        <f>IF(A289="","",COUNTIFS(數值欄位!$A$2:$A$500,A289,數值欄位!$C$2:$C$500,C289))</f>
        <v/>
      </c>
      <c r="O289" s="2">
        <f>IF(A289="","",IF(TRIM(IF(COUNTIF(表單!$A$2:$A$500,A289)=0,"⚠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","")&amp;IF(AND(L289&lt;&gt;"Y",G289="數值",N289=0),"⚠ 數值需設定欄位 ","")&amp;IF(AND(L289&lt;&gt;"Y",G289="連結表單",K289=""),"⚠ 缺連結表號 ","")&amp;IF(AND(K289&lt;&gt;"",COUNTIF(可連結表單!$J$2:$J$501,K289)=0),"⚠ 連結表號不存在（需為本分項的自主檢查表） ",""))="","✓",TRIM(IF(COUNTIF(表單!$A$2:$A$500,A289)=0,"⚠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","")&amp;IF(AND(L289&lt;&gt;"Y",G289="數值",N289=0),"⚠ 數值需設定欄位 ","")&amp;IF(AND(L289&lt;&gt;"Y",G289="連結表單",K289=""),"⚠ 缺連結表號 ","")&amp;IF(AND(K289&lt;&gt;"",COUNTIF(可連結表單!$J$2:$J$501,K289)=0),"⚠ 連結表號不存在（需為本分項的自主檢查表） ",""))))</f>
        <v/>
      </c>
    </row>
    <row r="290">
      <c r="M290" s="2">
        <f>IF(A290="","",IF(B290="","共用",IF(L290="Y","排除（"&amp;B290&amp;"）",IF(SUMPRODUCT(($A$2:$A$500=A290)*($C$2:$C$500=C290)*($B$2:$B$500=""))&gt;0,"覆蓋共用（"&amp;B290&amp;"）","單元新增（"&amp;B290&amp;"）"))))</f>
        <v/>
      </c>
      <c r="N290" s="2">
        <f>IF(A290="","",COUNTIFS(數值欄位!$A$2:$A$500,A290,數值欄位!$C$2:$C$500,C290))</f>
        <v/>
      </c>
      <c r="O290" s="2">
        <f>IF(A290="","",IF(TRIM(IF(COUNTIF(表單!$A$2:$A$500,A290)=0,"⚠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","")&amp;IF(AND(L290&lt;&gt;"Y",G290="數值",N290=0),"⚠ 數值需設定欄位 ","")&amp;IF(AND(L290&lt;&gt;"Y",G290="連結表單",K290=""),"⚠ 缺連結表號 ","")&amp;IF(AND(K290&lt;&gt;"",COUNTIF(可連結表單!$J$2:$J$501,K290)=0),"⚠ 連結表號不存在（需為本分項的自主檢查表） ",""))="","✓",TRIM(IF(COUNTIF(表單!$A$2:$A$500,A290)=0,"⚠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","")&amp;IF(AND(L290&lt;&gt;"Y",G290="數值",N290=0),"⚠ 數值需設定欄位 ","")&amp;IF(AND(L290&lt;&gt;"Y",G290="連結表單",K290=""),"⚠ 缺連結表號 ","")&amp;IF(AND(K290&lt;&gt;"",COUNTIF(可連結表單!$J$2:$J$501,K290)=0),"⚠ 連結表號不存在（需為本分項的自主檢查表） ",""))))</f>
        <v/>
      </c>
    </row>
    <row r="291">
      <c r="M291" s="2">
        <f>IF(A291="","",IF(B291="","共用",IF(L291="Y","排除（"&amp;B291&amp;"）",IF(SUMPRODUCT(($A$2:$A$500=A291)*($C$2:$C$500=C291)*($B$2:$B$500=""))&gt;0,"覆蓋共用（"&amp;B291&amp;"）","單元新增（"&amp;B291&amp;"）"))))</f>
        <v/>
      </c>
      <c r="N291" s="2">
        <f>IF(A291="","",COUNTIFS(數值欄位!$A$2:$A$500,A291,數值欄位!$C$2:$C$500,C291))</f>
        <v/>
      </c>
      <c r="O291" s="2">
        <f>IF(A291="","",IF(TRIM(IF(COUNTIF(表單!$A$2:$A$500,A291)=0,"⚠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","")&amp;IF(AND(L291&lt;&gt;"Y",G291="數值",N291=0),"⚠ 數值需設定欄位 ","")&amp;IF(AND(L291&lt;&gt;"Y",G291="連結表單",K291=""),"⚠ 缺連結表號 ","")&amp;IF(AND(K291&lt;&gt;"",COUNTIF(可連結表單!$J$2:$J$501,K291)=0),"⚠ 連結表號不存在（需為本分項的自主檢查表） ",""))="","✓",TRIM(IF(COUNTIF(表單!$A$2:$A$500,A291)=0,"⚠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","")&amp;IF(AND(L291&lt;&gt;"Y",G291="數值",N291=0),"⚠ 數值需設定欄位 ","")&amp;IF(AND(L291&lt;&gt;"Y",G291="連結表單",K291=""),"⚠ 缺連結表號 ","")&amp;IF(AND(K291&lt;&gt;"",COUNTIF(可連結表單!$J$2:$J$501,K291)=0),"⚠ 連結表號不存在（需為本分項的自主檢查表） ",""))))</f>
        <v/>
      </c>
    </row>
    <row r="292">
      <c r="M292" s="2">
        <f>IF(A292="","",IF(B292="","共用",IF(L292="Y","排除（"&amp;B292&amp;"）",IF(SUMPRODUCT(($A$2:$A$500=A292)*($C$2:$C$500=C292)*($B$2:$B$500=""))&gt;0,"覆蓋共用（"&amp;B292&amp;"）","單元新增（"&amp;B292&amp;"）"))))</f>
        <v/>
      </c>
      <c r="N292" s="2">
        <f>IF(A292="","",COUNTIFS(數值欄位!$A$2:$A$500,A292,數值欄位!$C$2:$C$500,C292))</f>
        <v/>
      </c>
      <c r="O292" s="2">
        <f>IF(A292="","",IF(TRIM(IF(COUNTIF(表單!$A$2:$A$500,A292)=0,"⚠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","")&amp;IF(AND(L292&lt;&gt;"Y",G292="數值",N292=0),"⚠ 數值需設定欄位 ","")&amp;IF(AND(L292&lt;&gt;"Y",G292="連結表單",K292=""),"⚠ 缺連結表號 ","")&amp;IF(AND(K292&lt;&gt;"",COUNTIF(可連結表單!$J$2:$J$501,K292)=0),"⚠ 連結表號不存在（需為本分項的自主檢查表） ",""))="","✓",TRIM(IF(COUNTIF(表單!$A$2:$A$500,A292)=0,"⚠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","")&amp;IF(AND(L292&lt;&gt;"Y",G292="數值",N292=0),"⚠ 數值需設定欄位 ","")&amp;IF(AND(L292&lt;&gt;"Y",G292="連結表單",K292=""),"⚠ 缺連結表號 ","")&amp;IF(AND(K292&lt;&gt;"",COUNTIF(可連結表單!$J$2:$J$501,K292)=0),"⚠ 連結表號不存在（需為本分項的自主檢查表） ",""))))</f>
        <v/>
      </c>
    </row>
    <row r="293">
      <c r="M293" s="2">
        <f>IF(A293="","",IF(B293="","共用",IF(L293="Y","排除（"&amp;B293&amp;"）",IF(SUMPRODUCT(($A$2:$A$500=A293)*($C$2:$C$500=C293)*($B$2:$B$500=""))&gt;0,"覆蓋共用（"&amp;B293&amp;"）","單元新增（"&amp;B293&amp;"）"))))</f>
        <v/>
      </c>
      <c r="N293" s="2">
        <f>IF(A293="","",COUNTIFS(數值欄位!$A$2:$A$500,A293,數值欄位!$C$2:$C$500,C293))</f>
        <v/>
      </c>
      <c r="O293" s="2">
        <f>IF(A293="","",IF(TRIM(IF(COUNTIF(表單!$A$2:$A$500,A293)=0,"⚠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","")&amp;IF(AND(L293&lt;&gt;"Y",G293="數值",N293=0),"⚠ 數值需設定欄位 ","")&amp;IF(AND(L293&lt;&gt;"Y",G293="連結表單",K293=""),"⚠ 缺連結表號 ","")&amp;IF(AND(K293&lt;&gt;"",COUNTIF(可連結表單!$J$2:$J$501,K293)=0),"⚠ 連結表號不存在（需為本分項的自主檢查表） ",""))="","✓",TRIM(IF(COUNTIF(表單!$A$2:$A$500,A293)=0,"⚠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","")&amp;IF(AND(L293&lt;&gt;"Y",G293="數值",N293=0),"⚠ 數值需設定欄位 ","")&amp;IF(AND(L293&lt;&gt;"Y",G293="連結表單",K293=""),"⚠ 缺連結表號 ","")&amp;IF(AND(K293&lt;&gt;"",COUNTIF(可連結表單!$J$2:$J$501,K293)=0),"⚠ 連結表號不存在（需為本分項的自主檢查表） ",""))))</f>
        <v/>
      </c>
    </row>
    <row r="294">
      <c r="M294" s="2">
        <f>IF(A294="","",IF(B294="","共用",IF(L294="Y","排除（"&amp;B294&amp;"）",IF(SUMPRODUCT(($A$2:$A$500=A294)*($C$2:$C$500=C294)*($B$2:$B$500=""))&gt;0,"覆蓋共用（"&amp;B294&amp;"）","單元新增（"&amp;B294&amp;"）"))))</f>
        <v/>
      </c>
      <c r="N294" s="2">
        <f>IF(A294="","",COUNTIFS(數值欄位!$A$2:$A$500,A294,數值欄位!$C$2:$C$500,C294))</f>
        <v/>
      </c>
      <c r="O294" s="2">
        <f>IF(A294="","",IF(TRIM(IF(COUNTIF(表單!$A$2:$A$500,A294)=0,"⚠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","")&amp;IF(AND(L294&lt;&gt;"Y",G294="數值",N294=0),"⚠ 數值需設定欄位 ","")&amp;IF(AND(L294&lt;&gt;"Y",G294="連結表單",K294=""),"⚠ 缺連結表號 ","")&amp;IF(AND(K294&lt;&gt;"",COUNTIF(可連結表單!$J$2:$J$501,K294)=0),"⚠ 連結表號不存在（需為本分項的自主檢查表） ",""))="","✓",TRIM(IF(COUNTIF(表單!$A$2:$A$500,A294)=0,"⚠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","")&amp;IF(AND(L294&lt;&gt;"Y",G294="數值",N294=0),"⚠ 數值需設定欄位 ","")&amp;IF(AND(L294&lt;&gt;"Y",G294="連結表單",K294=""),"⚠ 缺連結表號 ","")&amp;IF(AND(K294&lt;&gt;"",COUNTIF(可連結表單!$J$2:$J$501,K294)=0),"⚠ 連結表號不存在（需為本分項的自主檢查表） ",""))))</f>
        <v/>
      </c>
    </row>
    <row r="295">
      <c r="M295" s="2">
        <f>IF(A295="","",IF(B295="","共用",IF(L295="Y","排除（"&amp;B295&amp;"）",IF(SUMPRODUCT(($A$2:$A$500=A295)*($C$2:$C$500=C295)*($B$2:$B$500=""))&gt;0,"覆蓋共用（"&amp;B295&amp;"）","單元新增（"&amp;B295&amp;"）"))))</f>
        <v/>
      </c>
      <c r="N295" s="2">
        <f>IF(A295="","",COUNTIFS(數值欄位!$A$2:$A$500,A295,數值欄位!$C$2:$C$500,C295))</f>
        <v/>
      </c>
      <c r="O295" s="2">
        <f>IF(A295="","",IF(TRIM(IF(COUNTIF(表單!$A$2:$A$500,A295)=0,"⚠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","")&amp;IF(AND(L295&lt;&gt;"Y",G295="數值",N295=0),"⚠ 數值需設定欄位 ","")&amp;IF(AND(L295&lt;&gt;"Y",G295="連結表單",K295=""),"⚠ 缺連結表號 ","")&amp;IF(AND(K295&lt;&gt;"",COUNTIF(可連結表單!$J$2:$J$501,K295)=0),"⚠ 連結表號不存在（需為本分項的自主檢查表） ",""))="","✓",TRIM(IF(COUNTIF(表單!$A$2:$A$500,A295)=0,"⚠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","")&amp;IF(AND(L295&lt;&gt;"Y",G295="數值",N295=0),"⚠ 數值需設定欄位 ","")&amp;IF(AND(L295&lt;&gt;"Y",G295="連結表單",K295=""),"⚠ 缺連結表號 ","")&amp;IF(AND(K295&lt;&gt;"",COUNTIF(可連結表單!$J$2:$J$501,K295)=0),"⚠ 連結表號不存在（需為本分項的自主檢查表） ",""))))</f>
        <v/>
      </c>
    </row>
    <row r="296">
      <c r="M296" s="2">
        <f>IF(A296="","",IF(B296="","共用",IF(L296="Y","排除（"&amp;B296&amp;"）",IF(SUMPRODUCT(($A$2:$A$500=A296)*($C$2:$C$500=C296)*($B$2:$B$500=""))&gt;0,"覆蓋共用（"&amp;B296&amp;"）","單元新增（"&amp;B296&amp;"）"))))</f>
        <v/>
      </c>
      <c r="N296" s="2">
        <f>IF(A296="","",COUNTIFS(數值欄位!$A$2:$A$500,A296,數值欄位!$C$2:$C$500,C296))</f>
        <v/>
      </c>
      <c r="O296" s="2">
        <f>IF(A296="","",IF(TRIM(IF(COUNTIF(表單!$A$2:$A$500,A296)=0,"⚠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","")&amp;IF(AND(L296&lt;&gt;"Y",G296="數值",N296=0),"⚠ 數值需設定欄位 ","")&amp;IF(AND(L296&lt;&gt;"Y",G296="連結表單",K296=""),"⚠ 缺連結表號 ","")&amp;IF(AND(K296&lt;&gt;"",COUNTIF(可連結表單!$J$2:$J$501,K296)=0),"⚠ 連結表號不存在（需為本分項的自主檢查表） ",""))="","✓",TRIM(IF(COUNTIF(表單!$A$2:$A$500,A296)=0,"⚠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","")&amp;IF(AND(L296&lt;&gt;"Y",G296="數值",N296=0),"⚠ 數值需設定欄位 ","")&amp;IF(AND(L296&lt;&gt;"Y",G296="連結表單",K296=""),"⚠ 缺連結表號 ","")&amp;IF(AND(K296&lt;&gt;"",COUNTIF(可連結表單!$J$2:$J$501,K296)=0),"⚠ 連結表號不存在（需為本分項的自主檢查表） ",""))))</f>
        <v/>
      </c>
    </row>
    <row r="297">
      <c r="M297" s="2">
        <f>IF(A297="","",IF(B297="","共用",IF(L297="Y","排除（"&amp;B297&amp;"）",IF(SUMPRODUCT(($A$2:$A$500=A297)*($C$2:$C$500=C297)*($B$2:$B$500=""))&gt;0,"覆蓋共用（"&amp;B297&amp;"）","單元新增（"&amp;B297&amp;"）"))))</f>
        <v/>
      </c>
      <c r="N297" s="2">
        <f>IF(A297="","",COUNTIFS(數值欄位!$A$2:$A$500,A297,數值欄位!$C$2:$C$500,C297))</f>
        <v/>
      </c>
      <c r="O297" s="2">
        <f>IF(A297="","",IF(TRIM(IF(COUNTIF(表單!$A$2:$A$500,A297)=0,"⚠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","")&amp;IF(AND(L297&lt;&gt;"Y",G297="數值",N297=0),"⚠ 數值需設定欄位 ","")&amp;IF(AND(L297&lt;&gt;"Y",G297="連結表單",K297=""),"⚠ 缺連結表號 ","")&amp;IF(AND(K297&lt;&gt;"",COUNTIF(可連結表單!$J$2:$J$501,K297)=0),"⚠ 連結表號不存在（需為本分項的自主檢查表） ",""))="","✓",TRIM(IF(COUNTIF(表單!$A$2:$A$500,A297)=0,"⚠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","")&amp;IF(AND(L297&lt;&gt;"Y",G297="數值",N297=0),"⚠ 數值需設定欄位 ","")&amp;IF(AND(L297&lt;&gt;"Y",G297="連結表單",K297=""),"⚠ 缺連結表號 ","")&amp;IF(AND(K297&lt;&gt;"",COUNTIF(可連結表單!$J$2:$J$501,K297)=0),"⚠ 連結表號不存在（需為本分項的自主檢查表） ",""))))</f>
        <v/>
      </c>
    </row>
    <row r="298">
      <c r="M298" s="2">
        <f>IF(A298="","",IF(B298="","共用",IF(L298="Y","排除（"&amp;B298&amp;"）",IF(SUMPRODUCT(($A$2:$A$500=A298)*($C$2:$C$500=C298)*($B$2:$B$500=""))&gt;0,"覆蓋共用（"&amp;B298&amp;"）","單元新增（"&amp;B298&amp;"）"))))</f>
        <v/>
      </c>
      <c r="N298" s="2">
        <f>IF(A298="","",COUNTIFS(數值欄位!$A$2:$A$500,A298,數值欄位!$C$2:$C$500,C298))</f>
        <v/>
      </c>
      <c r="O298" s="2">
        <f>IF(A298="","",IF(TRIM(IF(COUNTIF(表單!$A$2:$A$500,A298)=0,"⚠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","")&amp;IF(AND(L298&lt;&gt;"Y",G298="數值",N298=0),"⚠ 數值需設定欄位 ","")&amp;IF(AND(L298&lt;&gt;"Y",G298="連結表單",K298=""),"⚠ 缺連結表號 ","")&amp;IF(AND(K298&lt;&gt;"",COUNTIF(可連結表單!$J$2:$J$501,K298)=0),"⚠ 連結表號不存在（需為本分項的自主檢查表） ",""))="","✓",TRIM(IF(COUNTIF(表單!$A$2:$A$500,A298)=0,"⚠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","")&amp;IF(AND(L298&lt;&gt;"Y",G298="數值",N298=0),"⚠ 數值需設定欄位 ","")&amp;IF(AND(L298&lt;&gt;"Y",G298="連結表單",K298=""),"⚠ 缺連結表號 ","")&amp;IF(AND(K298&lt;&gt;"",COUNTIF(可連結表單!$J$2:$J$501,K298)=0),"⚠ 連結表號不存在（需為本分項的自主檢查表） ",""))))</f>
        <v/>
      </c>
    </row>
    <row r="299">
      <c r="M299" s="2">
        <f>IF(A299="","",IF(B299="","共用",IF(L299="Y","排除（"&amp;B299&amp;"）",IF(SUMPRODUCT(($A$2:$A$500=A299)*($C$2:$C$500=C299)*($B$2:$B$500=""))&gt;0,"覆蓋共用（"&amp;B299&amp;"）","單元新增（"&amp;B299&amp;"）"))))</f>
        <v/>
      </c>
      <c r="N299" s="2">
        <f>IF(A299="","",COUNTIFS(數值欄位!$A$2:$A$500,A299,數值欄位!$C$2:$C$500,C299))</f>
        <v/>
      </c>
      <c r="O299" s="2">
        <f>IF(A299="","",IF(TRIM(IF(COUNTIF(表單!$A$2:$A$500,A299)=0,"⚠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","")&amp;IF(AND(L299&lt;&gt;"Y",G299="數值",N299=0),"⚠ 數值需設定欄位 ","")&amp;IF(AND(L299&lt;&gt;"Y",G299="連結表單",K299=""),"⚠ 缺連結表號 ","")&amp;IF(AND(K299&lt;&gt;"",COUNTIF(可連結表單!$J$2:$J$501,K299)=0),"⚠ 連結表號不存在（需為本分項的自主檢查表） ",""))="","✓",TRIM(IF(COUNTIF(表單!$A$2:$A$500,A299)=0,"⚠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","")&amp;IF(AND(L299&lt;&gt;"Y",G299="數值",N299=0),"⚠ 數值需設定欄位 ","")&amp;IF(AND(L299&lt;&gt;"Y",G299="連結表單",K299=""),"⚠ 缺連結表號 ","")&amp;IF(AND(K299&lt;&gt;"",COUNTIF(可連結表單!$J$2:$J$501,K299)=0),"⚠ 連結表號不存在（需為本分項的自主檢查表） ",""))))</f>
        <v/>
      </c>
    </row>
    <row r="300">
      <c r="M300" s="2">
        <f>IF(A300="","",IF(B300="","共用",IF(L300="Y","排除（"&amp;B300&amp;"）",IF(SUMPRODUCT(($A$2:$A$500=A300)*($C$2:$C$500=C300)*($B$2:$B$500=""))&gt;0,"覆蓋共用（"&amp;B300&amp;"）","單元新增（"&amp;B300&amp;"）"))))</f>
        <v/>
      </c>
      <c r="N300" s="2">
        <f>IF(A300="","",COUNTIFS(數值欄位!$A$2:$A$500,A300,數值欄位!$C$2:$C$500,C300))</f>
        <v/>
      </c>
      <c r="O300" s="2">
        <f>IF(A300="","",IF(TRIM(IF(COUNTIF(表單!$A$2:$A$500,A300)=0,"⚠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","")&amp;IF(AND(L300&lt;&gt;"Y",G300="數值",N300=0),"⚠ 數值需設定欄位 ","")&amp;IF(AND(L300&lt;&gt;"Y",G300="連結表單",K300=""),"⚠ 缺連結表號 ","")&amp;IF(AND(K300&lt;&gt;"",COUNTIF(可連結表單!$J$2:$J$501,K300)=0),"⚠ 連結表號不存在（需為本分項的自主檢查表） ",""))="","✓",TRIM(IF(COUNTIF(表單!$A$2:$A$500,A300)=0,"⚠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","")&amp;IF(AND(L300&lt;&gt;"Y",G300="數值",N300=0),"⚠ 數值需設定欄位 ","")&amp;IF(AND(L300&lt;&gt;"Y",G300="連結表單",K300=""),"⚠ 缺連結表號 ","")&amp;IF(AND(K300&lt;&gt;"",COUNTIF(可連結表單!$J$2:$J$501,K300)=0),"⚠ 連結表號不存在（需為本分項的自主檢查表） ",""))))</f>
        <v/>
      </c>
    </row>
  </sheetData>
  <autoFilter ref="A1:O300"/>
  <dataValidations count="7">
    <dataValidation sqref="A2:A500" showDropDown="0" showInputMessage="0" showErrorMessage="1" allowBlank="1" errorTitle="表號" error="表號需先在「表單」工作表建立" type="list">
      <formula1>'表單'!$A$2:$A$500</formula1>
    </dataValidation>
    <dataValidation sqref="B2:B500" showDropDown="0" showInputMessage="0" showErrorMessage="1" allowBlank="1" errorTitle="單元編號" error="單元編號需先在「單元」工作表建立" type="list">
      <formula1>'單元'!$A$2:$A$500</formula1>
    </dataValidation>
    <dataValidation sqref="G2:G500" showDropDown="0" showInputMessage="0" showErrorMessage="1" allowBlank="1" errorTitle="判定類型" error="請從下拉選單選擇" type="list">
      <formula1>'代碼表'!$C$2:$C$6</formula1>
    </dataValidation>
    <dataValidation sqref="H2:I500" showDropDown="0" showInputMessage="0" showErrorMessage="1" allowBlank="1" errorTitle="Y／N" error="請填 Y 或 N" type="list">
      <formula1>'代碼表'!$D$2:$D$3</formula1>
    </dataValidation>
    <dataValidation sqref="L2:L500" showDropDown="0" showInputMessage="0" showErrorMessage="1" allowBlank="1" errorTitle="Y／N" error="請填 Y 或 N" type="list">
      <formula1>'代碼表'!$D$2:$D$3</formula1>
    </dataValidation>
    <dataValidation sqref="K2:K500" showDropDown="0" showInputMessage="0" showErrorMessage="1" allowBlank="1" errorTitle="連結表號" error="請從下拉選單選擇本分項的自主檢查表（見「可連結表單」工作表）" type="list">
      <formula1>OFFSET('可連結表單'!$J$2,0,0,MAX(1,SUMPRODUCT(--(LEN('可連結表單'!$J$2:$J$501)&gt;0))),1)</formula1>
    </dataValidation>
    <dataValidation sqref="C2:C500" showDropDown="0" showInputMessage="0" showErrorMessage="1" allowBlank="1" error="項次需為正整數" type="whole" operator="greaterThan">
      <formula1>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L300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6" customWidth="1" min="3" max="3"/>
    <col width="20" customWidth="1" min="4" max="4"/>
    <col width="9" customWidth="1" min="5" max="5"/>
    <col width="9" customWidth="1" min="6" max="6"/>
    <col width="9" customWidth="1" min="7" max="7"/>
    <col width="6" customWidth="1" min="8" max="8"/>
    <col width="24" customWidth="1" min="9" max="9"/>
    <col width="16" customWidth="1" min="10" max="10"/>
    <col width="16" customWidth="1" min="11" max="11"/>
    <col width="24" customWidth="1" min="12" max="12"/>
  </cols>
  <sheetData>
    <row r="1" ht="32" customHeight="1">
      <c r="A1" s="12" t="inlineStr">
        <is>
          <t>表號 *</t>
        </is>
      </c>
      <c r="B1" s="13" t="inlineStr">
        <is>
          <t>單元編號</t>
        </is>
      </c>
      <c r="C1" s="12" t="inlineStr">
        <is>
          <t>項次 *</t>
        </is>
      </c>
      <c r="D1" s="12" t="inlineStr">
        <is>
          <t>欄位名稱 *</t>
        </is>
      </c>
      <c r="E1" s="13" t="inlineStr">
        <is>
          <t>單位</t>
        </is>
      </c>
      <c r="F1" s="13" t="inlineStr">
        <is>
          <t>下限</t>
        </is>
      </c>
      <c r="G1" s="13" t="inlineStr">
        <is>
          <t>上限</t>
        </is>
      </c>
      <c r="H1" s="13" t="inlineStr">
        <is>
          <t>排除</t>
        </is>
      </c>
      <c r="I1" s="14" t="inlineStr">
        <is>
          <t>檢查項目</t>
        </is>
      </c>
      <c r="J1" s="14" t="inlineStr">
        <is>
          <t>套用方式</t>
        </is>
      </c>
      <c r="K1" s="14" t="inlineStr">
        <is>
          <t>檢核條件</t>
        </is>
      </c>
      <c r="L1" s="14" t="inlineStr">
        <is>
          <t>檢查</t>
        </is>
      </c>
    </row>
    <row r="2">
      <c r="I2" s="2">
        <f>IF(A2="","",IFERROR(INDEX(檢查項目!$E$2:$E$500,MATCH(1,INDEX((檢查項目!$A$2:$A$500=A2)*(檢查項目!$C$2:$C$500=C2)*(檢查項目!$B$2:$B$500=B2),0),0)),IFERROR(INDEX(檢查項目!$E$2:$E$500,MATCH(1,INDEX((檢查項目!$A$2:$A$500=A2)*(檢查項目!$C$2:$C$500=C2)*(檢查項目!$B$2:$B$500=""),0),0)),"⚠ 找不到項目")))</f>
        <v/>
      </c>
      <c r="J2" s="2">
        <f>IF(A2="","",IF(B2="","共用",IF(H2="Y","排除（"&amp;B2&amp;"）",IF(SUMPRODUCT(($A$2:$A$500=A2)*($C$2:$C$500=C2)*($D$2:$D$500=D2)*($B$2:$B$500=""))&gt;0,"覆蓋共用（"&amp;B2&amp;"）","單元新增（"&amp;B2&amp;"）"))))</f>
        <v/>
      </c>
      <c r="K2" s="2">
        <f>IF(A2="","",IF(H2="Y","—",IF(AND(F2&lt;&gt;"",G2&lt;&gt;""),F2&amp;" ~ "&amp;G2,IF(G2&lt;&gt;"","≤ "&amp;G2,IF(F2&lt;&gt;"","≥ "&amp;F2,"只記錄、不檢核")))))</f>
        <v/>
      </c>
      <c r="L2" s="2">
        <f>IF(A2="","",IF(TRIM(IF(SUMPRODUCT(($A$2:$A$500=A2)*($B$2:$B$500=B2)*($C$2:$C$500=C2)*($D$2:$D$500=D2))&gt;1,"⚠ 欄位名稱重複 ","")&amp;IF(AND(B2&lt;&gt;"",NOT(ISNUMBER(SEARCH("、"&amp;B2&amp;"、","、"&amp;IFERROR(INDEX(表單!$I$2:$I$500,MATCH(A2,表單!$A$2:$A$500,0)),"")&amp;"、")))),"⚠ 單元不在適用單元內 ","")&amp;IF(AND(H2="Y",B2=""),"⚠ 排除只能用在單元列 ","")&amp;IF(AND(H2="Y",B2&lt;&gt;"",SUMPRODUCT(($A$2:$A$500=A2)*($C$2:$C$500=C2)*($D$2:$D$500=D2)*($B$2:$B$500=""))=0),"⚠ 排除需對應共用欄位 ","")&amp;IF(AND(ISNUMBER(F2),ISNUMBER(G2),F2&gt;G2),"⚠ 下限大於上限 ","")&amp;IF(SUMPRODUCT((檢查項目!$A$2:$A$500=A2)*(檢查項目!$C$2:$C$500=C2)*(檢查項目!$G$2:$G$500="數值"))=0,"⚠ 該項目不是數值類型 ",""))="","✓",TRIM(IF(SUMPRODUCT(($A$2:$A$500=A2)*($B$2:$B$500=B2)*($C$2:$C$500=C2)*($D$2:$D$500=D2))&gt;1,"⚠ 欄位名稱重複 ","")&amp;IF(AND(B2&lt;&gt;"",NOT(ISNUMBER(SEARCH("、"&amp;B2&amp;"、","、"&amp;IFERROR(INDEX(表單!$I$2:$I$500,MATCH(A2,表單!$A$2:$A$500,0)),"")&amp;"、")))),"⚠ 單元不在適用單元內 ","")&amp;IF(AND(H2="Y",B2=""),"⚠ 排除只能用在單元列 ","")&amp;IF(AND(H2="Y",B2&lt;&gt;"",SUMPRODUCT(($A$2:$A$500=A2)*($C$2:$C$500=C2)*($D$2:$D$500=D2)*($B$2:$B$500=""))=0),"⚠ 排除需對應共用欄位 ","")&amp;IF(AND(ISNUMBER(F2),ISNUMBER(G2),F2&gt;G2),"⚠ 下限大於上限 ","")&amp;IF(SUMPRODUCT((檢查項目!$A$2:$A$500=A2)*(檢查項目!$C$2:$C$500=C2)*(檢查項目!$G$2:$G$500="數值"))=0,"⚠ 該項目不是數值類型 ",""))))</f>
        <v/>
      </c>
    </row>
    <row r="3">
      <c r="I3" s="2">
        <f>IF(A3="","",IFERROR(INDEX(檢查項目!$E$2:$E$500,MATCH(1,INDEX((檢查項目!$A$2:$A$500=A3)*(檢查項目!$C$2:$C$500=C3)*(檢查項目!$B$2:$B$500=B3),0),0)),IFERROR(INDEX(檢查項目!$E$2:$E$500,MATCH(1,INDEX((檢查項目!$A$2:$A$500=A3)*(檢查項目!$C$2:$C$500=C3)*(檢查項目!$B$2:$B$500=""),0),0)),"⚠ 找不到項目")))</f>
        <v/>
      </c>
      <c r="J3" s="2">
        <f>IF(A3="","",IF(B3="","共用",IF(H3="Y","排除（"&amp;B3&amp;"）",IF(SUMPRODUCT(($A$2:$A$500=A3)*($C$2:$C$500=C3)*($D$2:$D$500=D3)*($B$2:$B$500=""))&gt;0,"覆蓋共用（"&amp;B3&amp;"）","單元新增（"&amp;B3&amp;"）"))))</f>
        <v/>
      </c>
      <c r="K3" s="2">
        <f>IF(A3="","",IF(H3="Y","—",IF(AND(F3&lt;&gt;"",G3&lt;&gt;""),F3&amp;" ~ "&amp;G3,IF(G3&lt;&gt;"","≤ "&amp;G3,IF(F3&lt;&gt;"","≥ "&amp;F3,"只記錄、不檢核")))))</f>
        <v/>
      </c>
      <c r="L3" s="2">
        <f>IF(A3="","",IF(TRIM(IF(SUMPRODUCT(($A$2:$A$500=A3)*($B$2:$B$500=B3)*($C$2:$C$500=C3)*($D$2:$D$500=D3))&gt;1,"⚠ 欄位名稱重複 ","")&amp;IF(AND(B3&lt;&gt;"",NOT(ISNUMBER(SEARCH("、"&amp;B3&amp;"、","、"&amp;IFERROR(INDEX(表單!$I$2:$I$500,MATCH(A3,表單!$A$2:$A$500,0)),"")&amp;"、")))),"⚠ 單元不在適用單元內 ","")&amp;IF(AND(H3="Y",B3=""),"⚠ 排除只能用在單元列 ","")&amp;IF(AND(H3="Y",B3&lt;&gt;"",SUMPRODUCT(($A$2:$A$500=A3)*($C$2:$C$500=C3)*($D$2:$D$500=D3)*($B$2:$B$500=""))=0),"⚠ 排除需對應共用欄位 ","")&amp;IF(AND(ISNUMBER(F3),ISNUMBER(G3),F3&gt;G3),"⚠ 下限大於上限 ","")&amp;IF(SUMPRODUCT((檢查項目!$A$2:$A$500=A3)*(檢查項目!$C$2:$C$500=C3)*(檢查項目!$G$2:$G$500="數值"))=0,"⚠ 該項目不是數值類型 ",""))="","✓",TRIM(IF(SUMPRODUCT(($A$2:$A$500=A3)*($B$2:$B$500=B3)*($C$2:$C$500=C3)*($D$2:$D$500=D3))&gt;1,"⚠ 欄位名稱重複 ","")&amp;IF(AND(B3&lt;&gt;"",NOT(ISNUMBER(SEARCH("、"&amp;B3&amp;"、","、"&amp;IFERROR(INDEX(表單!$I$2:$I$500,MATCH(A3,表單!$A$2:$A$500,0)),"")&amp;"、")))),"⚠ 單元不在適用單元內 ","")&amp;IF(AND(H3="Y",B3=""),"⚠ 排除只能用在單元列 ","")&amp;IF(AND(H3="Y",B3&lt;&gt;"",SUMPRODUCT(($A$2:$A$500=A3)*($C$2:$C$500=C3)*($D$2:$D$500=D3)*($B$2:$B$500=""))=0),"⚠ 排除需對應共用欄位 ","")&amp;IF(AND(ISNUMBER(F3),ISNUMBER(G3),F3&gt;G3),"⚠ 下限大於上限 ","")&amp;IF(SUMPRODUCT((檢查項目!$A$2:$A$500=A3)*(檢查項目!$C$2:$C$500=C3)*(檢查項目!$G$2:$G$500="數值"))=0,"⚠ 該項目不是數值類型 ",""))))</f>
        <v/>
      </c>
    </row>
    <row r="4">
      <c r="I4" s="2">
        <f>IF(A4="","",IFERROR(INDEX(檢查項目!$E$2:$E$500,MATCH(1,INDEX((檢查項目!$A$2:$A$500=A4)*(檢查項目!$C$2:$C$500=C4)*(檢查項目!$B$2:$B$500=B4),0),0)),IFERROR(INDEX(檢查項目!$E$2:$E$500,MATCH(1,INDEX((檢查項目!$A$2:$A$500=A4)*(檢查項目!$C$2:$C$500=C4)*(檢查項目!$B$2:$B$500=""),0),0)),"⚠ 找不到項目")))</f>
        <v/>
      </c>
      <c r="J4" s="2">
        <f>IF(A4="","",IF(B4="","共用",IF(H4="Y","排除（"&amp;B4&amp;"）",IF(SUMPRODUCT(($A$2:$A$500=A4)*($C$2:$C$500=C4)*($D$2:$D$500=D4)*($B$2:$B$500=""))&gt;0,"覆蓋共用（"&amp;B4&amp;"）","單元新增（"&amp;B4&amp;"）"))))</f>
        <v/>
      </c>
      <c r="K4" s="2">
        <f>IF(A4="","",IF(H4="Y","—",IF(AND(F4&lt;&gt;"",G4&lt;&gt;""),F4&amp;" ~ "&amp;G4,IF(G4&lt;&gt;"","≤ "&amp;G4,IF(F4&lt;&gt;"","≥ "&amp;F4,"只記錄、不檢核")))))</f>
        <v/>
      </c>
      <c r="L4" s="2">
        <f>IF(A4="","",IF(TRIM(IF(SUMPRODUCT(($A$2:$A$500=A4)*($B$2:$B$500=B4)*($C$2:$C$500=C4)*($D$2:$D$500=D4))&gt;1,"⚠ 欄位名稱重複 ","")&amp;IF(AND(B4&lt;&gt;"",NOT(ISNUMBER(SEARCH("、"&amp;B4&amp;"、","、"&amp;IFERROR(INDEX(表單!$I$2:$I$500,MATCH(A4,表單!$A$2:$A$500,0)),"")&amp;"、")))),"⚠ 單元不在適用單元內 ","")&amp;IF(AND(H4="Y",B4=""),"⚠ 排除只能用在單元列 ","")&amp;IF(AND(H4="Y",B4&lt;&gt;"",SUMPRODUCT(($A$2:$A$500=A4)*($C$2:$C$500=C4)*($D$2:$D$500=D4)*($B$2:$B$500=""))=0),"⚠ 排除需對應共用欄位 ","")&amp;IF(AND(ISNUMBER(F4),ISNUMBER(G4),F4&gt;G4),"⚠ 下限大於上限 ","")&amp;IF(SUMPRODUCT((檢查項目!$A$2:$A$500=A4)*(檢查項目!$C$2:$C$500=C4)*(檢查項目!$G$2:$G$500="數值"))=0,"⚠ 該項目不是數值類型 ",""))="","✓",TRIM(IF(SUMPRODUCT(($A$2:$A$500=A4)*($B$2:$B$500=B4)*($C$2:$C$500=C4)*($D$2:$D$500=D4))&gt;1,"⚠ 欄位名稱重複 ","")&amp;IF(AND(B4&lt;&gt;"",NOT(ISNUMBER(SEARCH("、"&amp;B4&amp;"、","、"&amp;IFERROR(INDEX(表單!$I$2:$I$500,MATCH(A4,表單!$A$2:$A$500,0)),"")&amp;"、")))),"⚠ 單元不在適用單元內 ","")&amp;IF(AND(H4="Y",B4=""),"⚠ 排除只能用在單元列 ","")&amp;IF(AND(H4="Y",B4&lt;&gt;"",SUMPRODUCT(($A$2:$A$500=A4)*($C$2:$C$500=C4)*($D$2:$D$500=D4)*($B$2:$B$500=""))=0),"⚠ 排除需對應共用欄位 ","")&amp;IF(AND(ISNUMBER(F4),ISNUMBER(G4),F4&gt;G4),"⚠ 下限大於上限 ","")&amp;IF(SUMPRODUCT((檢查項目!$A$2:$A$500=A4)*(檢查項目!$C$2:$C$500=C4)*(檢查項目!$G$2:$G$500="數值"))=0,"⚠ 該項目不是數值類型 ",""))))</f>
        <v/>
      </c>
    </row>
    <row r="5">
      <c r="I5" s="2">
        <f>IF(A5="","",IFERROR(INDEX(檢查項目!$E$2:$E$500,MATCH(1,INDEX((檢查項目!$A$2:$A$500=A5)*(檢查項目!$C$2:$C$500=C5)*(檢查項目!$B$2:$B$500=B5),0),0)),IFERROR(INDEX(檢查項目!$E$2:$E$500,MATCH(1,INDEX((檢查項目!$A$2:$A$500=A5)*(檢查項目!$C$2:$C$500=C5)*(檢查項目!$B$2:$B$500=""),0),0)),"⚠ 找不到項目")))</f>
        <v/>
      </c>
      <c r="J5" s="2">
        <f>IF(A5="","",IF(B5="","共用",IF(H5="Y","排除（"&amp;B5&amp;"）",IF(SUMPRODUCT(($A$2:$A$500=A5)*($C$2:$C$500=C5)*($D$2:$D$500=D5)*($B$2:$B$500=""))&gt;0,"覆蓋共用（"&amp;B5&amp;"）","單元新增（"&amp;B5&amp;"）"))))</f>
        <v/>
      </c>
      <c r="K5" s="2">
        <f>IF(A5="","",IF(H5="Y","—",IF(AND(F5&lt;&gt;"",G5&lt;&gt;""),F5&amp;" ~ "&amp;G5,IF(G5&lt;&gt;"","≤ "&amp;G5,IF(F5&lt;&gt;"","≥ "&amp;F5,"只記錄、不檢核")))))</f>
        <v/>
      </c>
      <c r="L5" s="2">
        <f>IF(A5="","",IF(TRIM(IF(SUMPRODUCT(($A$2:$A$500=A5)*($B$2:$B$500=B5)*($C$2:$C$500=C5)*($D$2:$D$500=D5))&gt;1,"⚠ 欄位名稱重複 ","")&amp;IF(AND(B5&lt;&gt;"",NOT(ISNUMBER(SEARCH("、"&amp;B5&amp;"、","、"&amp;IFERROR(INDEX(表單!$I$2:$I$500,MATCH(A5,表單!$A$2:$A$500,0)),"")&amp;"、")))),"⚠ 單元不在適用單元內 ","")&amp;IF(AND(H5="Y",B5=""),"⚠ 排除只能用在單元列 ","")&amp;IF(AND(H5="Y",B5&lt;&gt;"",SUMPRODUCT(($A$2:$A$500=A5)*($C$2:$C$500=C5)*($D$2:$D$500=D5)*($B$2:$B$500=""))=0),"⚠ 排除需對應共用欄位 ","")&amp;IF(AND(ISNUMBER(F5),ISNUMBER(G5),F5&gt;G5),"⚠ 下限大於上限 ","")&amp;IF(SUMPRODUCT((檢查項目!$A$2:$A$500=A5)*(檢查項目!$C$2:$C$500=C5)*(檢查項目!$G$2:$G$500="數值"))=0,"⚠ 該項目不是數值類型 ",""))="","✓",TRIM(IF(SUMPRODUCT(($A$2:$A$500=A5)*($B$2:$B$500=B5)*($C$2:$C$500=C5)*($D$2:$D$500=D5))&gt;1,"⚠ 欄位名稱重複 ","")&amp;IF(AND(B5&lt;&gt;"",NOT(ISNUMBER(SEARCH("、"&amp;B5&amp;"、","、"&amp;IFERROR(INDEX(表單!$I$2:$I$500,MATCH(A5,表單!$A$2:$A$500,0)),"")&amp;"、")))),"⚠ 單元不在適用單元內 ","")&amp;IF(AND(H5="Y",B5=""),"⚠ 排除只能用在單元列 ","")&amp;IF(AND(H5="Y",B5&lt;&gt;"",SUMPRODUCT(($A$2:$A$500=A5)*($C$2:$C$500=C5)*($D$2:$D$500=D5)*($B$2:$B$500=""))=0),"⚠ 排除需對應共用欄位 ","")&amp;IF(AND(ISNUMBER(F5),ISNUMBER(G5),F5&gt;G5),"⚠ 下限大於上限 ","")&amp;IF(SUMPRODUCT((檢查項目!$A$2:$A$500=A5)*(檢查項目!$C$2:$C$500=C5)*(檢查項目!$G$2:$G$500="數值"))=0,"⚠ 該項目不是數值類型 ",""))))</f>
        <v/>
      </c>
    </row>
    <row r="6">
      <c r="I6" s="2">
        <f>IF(A6="","",IFERROR(INDEX(檢查項目!$E$2:$E$500,MATCH(1,INDEX((檢查項目!$A$2:$A$500=A6)*(檢查項目!$C$2:$C$500=C6)*(檢查項目!$B$2:$B$500=B6),0),0)),IFERROR(INDEX(檢查項目!$E$2:$E$500,MATCH(1,INDEX((檢查項目!$A$2:$A$500=A6)*(檢查項目!$C$2:$C$500=C6)*(檢查項目!$B$2:$B$500=""),0),0)),"⚠ 找不到項目")))</f>
        <v/>
      </c>
      <c r="J6" s="2">
        <f>IF(A6="","",IF(B6="","共用",IF(H6="Y","排除（"&amp;B6&amp;"）",IF(SUMPRODUCT(($A$2:$A$500=A6)*($C$2:$C$500=C6)*($D$2:$D$500=D6)*($B$2:$B$500=""))&gt;0,"覆蓋共用（"&amp;B6&amp;"）","單元新增（"&amp;B6&amp;"）"))))</f>
        <v/>
      </c>
      <c r="K6" s="2">
        <f>IF(A6="","",IF(H6="Y","—",IF(AND(F6&lt;&gt;"",G6&lt;&gt;""),F6&amp;" ~ "&amp;G6,IF(G6&lt;&gt;"","≤ "&amp;G6,IF(F6&lt;&gt;"","≥ "&amp;F6,"只記錄、不檢核")))))</f>
        <v/>
      </c>
      <c r="L6" s="2">
        <f>IF(A6="","",IF(TRIM(IF(SUMPRODUCT(($A$2:$A$500=A6)*($B$2:$B$500=B6)*($C$2:$C$500=C6)*($D$2:$D$500=D6))&gt;1,"⚠ 欄位名稱重複 ","")&amp;IF(AND(B6&lt;&gt;"",NOT(ISNUMBER(SEARCH("、"&amp;B6&amp;"、","、"&amp;IFERROR(INDEX(表單!$I$2:$I$500,MATCH(A6,表單!$A$2:$A$500,0)),"")&amp;"、")))),"⚠ 單元不在適用單元內 ","")&amp;IF(AND(H6="Y",B6=""),"⚠ 排除只能用在單元列 ","")&amp;IF(AND(H6="Y",B6&lt;&gt;"",SUMPRODUCT(($A$2:$A$500=A6)*($C$2:$C$500=C6)*($D$2:$D$500=D6)*($B$2:$B$500=""))=0),"⚠ 排除需對應共用欄位 ","")&amp;IF(AND(ISNUMBER(F6),ISNUMBER(G6),F6&gt;G6),"⚠ 下限大於上限 ","")&amp;IF(SUMPRODUCT((檢查項目!$A$2:$A$500=A6)*(檢查項目!$C$2:$C$500=C6)*(檢查項目!$G$2:$G$500="數值"))=0,"⚠ 該項目不是數值類型 ",""))="","✓",TRIM(IF(SUMPRODUCT(($A$2:$A$500=A6)*($B$2:$B$500=B6)*($C$2:$C$500=C6)*($D$2:$D$500=D6))&gt;1,"⚠ 欄位名稱重複 ","")&amp;IF(AND(B6&lt;&gt;"",NOT(ISNUMBER(SEARCH("、"&amp;B6&amp;"、","、"&amp;IFERROR(INDEX(表單!$I$2:$I$500,MATCH(A6,表單!$A$2:$A$500,0)),"")&amp;"、")))),"⚠ 單元不在適用單元內 ","")&amp;IF(AND(H6="Y",B6=""),"⚠ 排除只能用在單元列 ","")&amp;IF(AND(H6="Y",B6&lt;&gt;"",SUMPRODUCT(($A$2:$A$500=A6)*($C$2:$C$500=C6)*($D$2:$D$500=D6)*($B$2:$B$500=""))=0),"⚠ 排除需對應共用欄位 ","")&amp;IF(AND(ISNUMBER(F6),ISNUMBER(G6),F6&gt;G6),"⚠ 下限大於上限 ","")&amp;IF(SUMPRODUCT((檢查項目!$A$2:$A$500=A6)*(檢查項目!$C$2:$C$500=C6)*(檢查項目!$G$2:$G$500="數值"))=0,"⚠ 該項目不是數值類型 ",""))))</f>
        <v/>
      </c>
    </row>
    <row r="7">
      <c r="I7" s="2">
        <f>IF(A7="","",IFERROR(INDEX(檢查項目!$E$2:$E$500,MATCH(1,INDEX((檢查項目!$A$2:$A$500=A7)*(檢查項目!$C$2:$C$500=C7)*(檢查項目!$B$2:$B$500=B7),0),0)),IFERROR(INDEX(檢查項目!$E$2:$E$500,MATCH(1,INDEX((檢查項目!$A$2:$A$500=A7)*(檢查項目!$C$2:$C$500=C7)*(檢查項目!$B$2:$B$500=""),0),0)),"⚠ 找不到項目")))</f>
        <v/>
      </c>
      <c r="J7" s="2">
        <f>IF(A7="","",IF(B7="","共用",IF(H7="Y","排除（"&amp;B7&amp;"）",IF(SUMPRODUCT(($A$2:$A$500=A7)*($C$2:$C$500=C7)*($D$2:$D$500=D7)*($B$2:$B$500=""))&gt;0,"覆蓋共用（"&amp;B7&amp;"）","單元新增（"&amp;B7&amp;"）"))))</f>
        <v/>
      </c>
      <c r="K7" s="2">
        <f>IF(A7="","",IF(H7="Y","—",IF(AND(F7&lt;&gt;"",G7&lt;&gt;""),F7&amp;" ~ "&amp;G7,IF(G7&lt;&gt;"","≤ "&amp;G7,IF(F7&lt;&gt;"","≥ "&amp;F7,"只記錄、不檢核")))))</f>
        <v/>
      </c>
      <c r="L7" s="2">
        <f>IF(A7="","",IF(TRIM(IF(SUMPRODUCT(($A$2:$A$500=A7)*($B$2:$B$500=B7)*($C$2:$C$500=C7)*($D$2:$D$500=D7))&gt;1,"⚠ 欄位名稱重複 ","")&amp;IF(AND(B7&lt;&gt;"",NOT(ISNUMBER(SEARCH("、"&amp;B7&amp;"、","、"&amp;IFERROR(INDEX(表單!$I$2:$I$500,MATCH(A7,表單!$A$2:$A$500,0)),"")&amp;"、")))),"⚠ 單元不在適用單元內 ","")&amp;IF(AND(H7="Y",B7=""),"⚠ 排除只能用在單元列 ","")&amp;IF(AND(H7="Y",B7&lt;&gt;"",SUMPRODUCT(($A$2:$A$500=A7)*($C$2:$C$500=C7)*($D$2:$D$500=D7)*($B$2:$B$500=""))=0),"⚠ 排除需對應共用欄位 ","")&amp;IF(AND(ISNUMBER(F7),ISNUMBER(G7),F7&gt;G7),"⚠ 下限大於上限 ","")&amp;IF(SUMPRODUCT((檢查項目!$A$2:$A$500=A7)*(檢查項目!$C$2:$C$500=C7)*(檢查項目!$G$2:$G$500="數值"))=0,"⚠ 該項目不是數值類型 ",""))="","✓",TRIM(IF(SUMPRODUCT(($A$2:$A$500=A7)*($B$2:$B$500=B7)*($C$2:$C$500=C7)*($D$2:$D$500=D7))&gt;1,"⚠ 欄位名稱重複 ","")&amp;IF(AND(B7&lt;&gt;"",NOT(ISNUMBER(SEARCH("、"&amp;B7&amp;"、","、"&amp;IFERROR(INDEX(表單!$I$2:$I$500,MATCH(A7,表單!$A$2:$A$500,0)),"")&amp;"、")))),"⚠ 單元不在適用單元內 ","")&amp;IF(AND(H7="Y",B7=""),"⚠ 排除只能用在單元列 ","")&amp;IF(AND(H7="Y",B7&lt;&gt;"",SUMPRODUCT(($A$2:$A$500=A7)*($C$2:$C$500=C7)*($D$2:$D$500=D7)*($B$2:$B$500=""))=0),"⚠ 排除需對應共用欄位 ","")&amp;IF(AND(ISNUMBER(F7),ISNUMBER(G7),F7&gt;G7),"⚠ 下限大於上限 ","")&amp;IF(SUMPRODUCT((檢查項目!$A$2:$A$500=A7)*(檢查項目!$C$2:$C$500=C7)*(檢查項目!$G$2:$G$500="數值"))=0,"⚠ 該項目不是數值類型 ",""))))</f>
        <v/>
      </c>
    </row>
    <row r="8">
      <c r="I8" s="2">
        <f>IF(A8="","",IFERROR(INDEX(檢查項目!$E$2:$E$500,MATCH(1,INDEX((檢查項目!$A$2:$A$500=A8)*(檢查項目!$C$2:$C$500=C8)*(檢查項目!$B$2:$B$500=B8),0),0)),IFERROR(INDEX(檢查項目!$E$2:$E$500,MATCH(1,INDEX((檢查項目!$A$2:$A$500=A8)*(檢查項目!$C$2:$C$500=C8)*(檢查項目!$B$2:$B$500=""),0),0)),"⚠ 找不到項目")))</f>
        <v/>
      </c>
      <c r="J8" s="2">
        <f>IF(A8="","",IF(B8="","共用",IF(H8="Y","排除（"&amp;B8&amp;"）",IF(SUMPRODUCT(($A$2:$A$500=A8)*($C$2:$C$500=C8)*($D$2:$D$500=D8)*($B$2:$B$500=""))&gt;0,"覆蓋共用（"&amp;B8&amp;"）","單元新增（"&amp;B8&amp;"）"))))</f>
        <v/>
      </c>
      <c r="K8" s="2">
        <f>IF(A8="","",IF(H8="Y","—",IF(AND(F8&lt;&gt;"",G8&lt;&gt;""),F8&amp;" ~ "&amp;G8,IF(G8&lt;&gt;"","≤ "&amp;G8,IF(F8&lt;&gt;"","≥ "&amp;F8,"只記錄、不檢核")))))</f>
        <v/>
      </c>
      <c r="L8" s="2">
        <f>IF(A8="","",IF(TRIM(IF(SUMPRODUCT(($A$2:$A$500=A8)*($B$2:$B$500=B8)*($C$2:$C$500=C8)*($D$2:$D$500=D8))&gt;1,"⚠ 欄位名稱重複 ","")&amp;IF(AND(B8&lt;&gt;"",NOT(ISNUMBER(SEARCH("、"&amp;B8&amp;"、","、"&amp;IFERROR(INDEX(表單!$I$2:$I$500,MATCH(A8,表單!$A$2:$A$500,0)),"")&amp;"、")))),"⚠ 單元不在適用單元內 ","")&amp;IF(AND(H8="Y",B8=""),"⚠ 排除只能用在單元列 ","")&amp;IF(AND(H8="Y",B8&lt;&gt;"",SUMPRODUCT(($A$2:$A$500=A8)*($C$2:$C$500=C8)*($D$2:$D$500=D8)*($B$2:$B$500=""))=0),"⚠ 排除需對應共用欄位 ","")&amp;IF(AND(ISNUMBER(F8),ISNUMBER(G8),F8&gt;G8),"⚠ 下限大於上限 ","")&amp;IF(SUMPRODUCT((檢查項目!$A$2:$A$500=A8)*(檢查項目!$C$2:$C$500=C8)*(檢查項目!$G$2:$G$500="數值"))=0,"⚠ 該項目不是數值類型 ",""))="","✓",TRIM(IF(SUMPRODUCT(($A$2:$A$500=A8)*($B$2:$B$500=B8)*($C$2:$C$500=C8)*($D$2:$D$500=D8))&gt;1,"⚠ 欄位名稱重複 ","")&amp;IF(AND(B8&lt;&gt;"",NOT(ISNUMBER(SEARCH("、"&amp;B8&amp;"、","、"&amp;IFERROR(INDEX(表單!$I$2:$I$500,MATCH(A8,表單!$A$2:$A$500,0)),"")&amp;"、")))),"⚠ 單元不在適用單元內 ","")&amp;IF(AND(H8="Y",B8=""),"⚠ 排除只能用在單元列 ","")&amp;IF(AND(H8="Y",B8&lt;&gt;"",SUMPRODUCT(($A$2:$A$500=A8)*($C$2:$C$500=C8)*($D$2:$D$500=D8)*($B$2:$B$500=""))=0),"⚠ 排除需對應共用欄位 ","")&amp;IF(AND(ISNUMBER(F8),ISNUMBER(G8),F8&gt;G8),"⚠ 下限大於上限 ","")&amp;IF(SUMPRODUCT((檢查項目!$A$2:$A$500=A8)*(檢查項目!$C$2:$C$500=C8)*(檢查項目!$G$2:$G$500="數值"))=0,"⚠ 該項目不是數值類型 ",""))))</f>
        <v/>
      </c>
    </row>
    <row r="9">
      <c r="I9" s="2">
        <f>IF(A9="","",IFERROR(INDEX(檢查項目!$E$2:$E$500,MATCH(1,INDEX((檢查項目!$A$2:$A$500=A9)*(檢查項目!$C$2:$C$500=C9)*(檢查項目!$B$2:$B$500=B9),0),0)),IFERROR(INDEX(檢查項目!$E$2:$E$500,MATCH(1,INDEX((檢查項目!$A$2:$A$500=A9)*(檢查項目!$C$2:$C$500=C9)*(檢查項目!$B$2:$B$500=""),0),0)),"⚠ 找不到項目")))</f>
        <v/>
      </c>
      <c r="J9" s="2">
        <f>IF(A9="","",IF(B9="","共用",IF(H9="Y","排除（"&amp;B9&amp;"）",IF(SUMPRODUCT(($A$2:$A$500=A9)*($C$2:$C$500=C9)*($D$2:$D$500=D9)*($B$2:$B$500=""))&gt;0,"覆蓋共用（"&amp;B9&amp;"）","單元新增（"&amp;B9&amp;"）"))))</f>
        <v/>
      </c>
      <c r="K9" s="2">
        <f>IF(A9="","",IF(H9="Y","—",IF(AND(F9&lt;&gt;"",G9&lt;&gt;""),F9&amp;" ~ "&amp;G9,IF(G9&lt;&gt;"","≤ "&amp;G9,IF(F9&lt;&gt;"","≥ "&amp;F9,"只記錄、不檢核")))))</f>
        <v/>
      </c>
      <c r="L9" s="2">
        <f>IF(A9="","",IF(TRIM(IF(SUMPRODUCT(($A$2:$A$500=A9)*($B$2:$B$500=B9)*($C$2:$C$500=C9)*($D$2:$D$500=D9))&gt;1,"⚠ 欄位名稱重複 ","")&amp;IF(AND(B9&lt;&gt;"",NOT(ISNUMBER(SEARCH("、"&amp;B9&amp;"、","、"&amp;IFERROR(INDEX(表單!$I$2:$I$500,MATCH(A9,表單!$A$2:$A$500,0)),"")&amp;"、")))),"⚠ 單元不在適用單元內 ","")&amp;IF(AND(H9="Y",B9=""),"⚠ 排除只能用在單元列 ","")&amp;IF(AND(H9="Y",B9&lt;&gt;"",SUMPRODUCT(($A$2:$A$500=A9)*($C$2:$C$500=C9)*($D$2:$D$500=D9)*($B$2:$B$500=""))=0),"⚠ 排除需對應共用欄位 ","")&amp;IF(AND(ISNUMBER(F9),ISNUMBER(G9),F9&gt;G9),"⚠ 下限大於上限 ","")&amp;IF(SUMPRODUCT((檢查項目!$A$2:$A$500=A9)*(檢查項目!$C$2:$C$500=C9)*(檢查項目!$G$2:$G$500="數值"))=0,"⚠ 該項目不是數值類型 ",""))="","✓",TRIM(IF(SUMPRODUCT(($A$2:$A$500=A9)*($B$2:$B$500=B9)*($C$2:$C$500=C9)*($D$2:$D$500=D9))&gt;1,"⚠ 欄位名稱重複 ","")&amp;IF(AND(B9&lt;&gt;"",NOT(ISNUMBER(SEARCH("、"&amp;B9&amp;"、","、"&amp;IFERROR(INDEX(表單!$I$2:$I$500,MATCH(A9,表單!$A$2:$A$500,0)),"")&amp;"、")))),"⚠ 單元不在適用單元內 ","")&amp;IF(AND(H9="Y",B9=""),"⚠ 排除只能用在單元列 ","")&amp;IF(AND(H9="Y",B9&lt;&gt;"",SUMPRODUCT(($A$2:$A$500=A9)*($C$2:$C$500=C9)*($D$2:$D$500=D9)*($B$2:$B$500=""))=0),"⚠ 排除需對應共用欄位 ","")&amp;IF(AND(ISNUMBER(F9),ISNUMBER(G9),F9&gt;G9),"⚠ 下限大於上限 ","")&amp;IF(SUMPRODUCT((檢查項目!$A$2:$A$500=A9)*(檢查項目!$C$2:$C$500=C9)*(檢查項目!$G$2:$G$500="數值"))=0,"⚠ 該項目不是數值類型 ",""))))</f>
        <v/>
      </c>
    </row>
    <row r="10">
      <c r="I10" s="2">
        <f>IF(A10="","",IFERROR(INDEX(檢查項目!$E$2:$E$500,MATCH(1,INDEX((檢查項目!$A$2:$A$500=A10)*(檢查項目!$C$2:$C$500=C10)*(檢查項目!$B$2:$B$500=B10),0),0)),IFERROR(INDEX(檢查項目!$E$2:$E$500,MATCH(1,INDEX((檢查項目!$A$2:$A$500=A10)*(檢查項目!$C$2:$C$500=C10)*(檢查項目!$B$2:$B$500=""),0),0)),"⚠ 找不到項目")))</f>
        <v/>
      </c>
      <c r="J10" s="2">
        <f>IF(A10="","",IF(B10="","共用",IF(H10="Y","排除（"&amp;B10&amp;"）",IF(SUMPRODUCT(($A$2:$A$500=A10)*($C$2:$C$500=C10)*($D$2:$D$500=D10)*($B$2:$B$500=""))&gt;0,"覆蓋共用（"&amp;B10&amp;"）","單元新增（"&amp;B10&amp;"）"))))</f>
        <v/>
      </c>
      <c r="K10" s="2">
        <f>IF(A10="","",IF(H10="Y","—",IF(AND(F10&lt;&gt;"",G10&lt;&gt;""),F10&amp;" ~ "&amp;G10,IF(G10&lt;&gt;"","≤ "&amp;G10,IF(F10&lt;&gt;"","≥ "&amp;F10,"只記錄、不檢核")))))</f>
        <v/>
      </c>
      <c r="L10" s="2">
        <f>IF(A10="","",IF(TRIM(IF(SUMPRODUCT(($A$2:$A$500=A10)*($B$2:$B$500=B10)*($C$2:$C$500=C10)*($D$2:$D$500=D10))&gt;1,"⚠ 欄位名稱重複 ","")&amp;IF(AND(B10&lt;&gt;"",NOT(ISNUMBER(SEARCH("、"&amp;B10&amp;"、","、"&amp;IFERROR(INDEX(表單!$I$2:$I$500,MATCH(A10,表單!$A$2:$A$500,0)),"")&amp;"、")))),"⚠ 單元不在適用單元內 ","")&amp;IF(AND(H10="Y",B10=""),"⚠ 排除只能用在單元列 ","")&amp;IF(AND(H10="Y",B10&lt;&gt;"",SUMPRODUCT(($A$2:$A$500=A10)*($C$2:$C$500=C10)*($D$2:$D$500=D10)*($B$2:$B$500=""))=0),"⚠ 排除需對應共用欄位 ","")&amp;IF(AND(ISNUMBER(F10),ISNUMBER(G10),F10&gt;G10),"⚠ 下限大於上限 ","")&amp;IF(SUMPRODUCT((檢查項目!$A$2:$A$500=A10)*(檢查項目!$C$2:$C$500=C10)*(檢查項目!$G$2:$G$500="數值"))=0,"⚠ 該項目不是數值類型 ",""))="","✓",TRIM(IF(SUMPRODUCT(($A$2:$A$500=A10)*($B$2:$B$500=B10)*($C$2:$C$500=C10)*($D$2:$D$500=D10))&gt;1,"⚠ 欄位名稱重複 ","")&amp;IF(AND(B10&lt;&gt;"",NOT(ISNUMBER(SEARCH("、"&amp;B10&amp;"、","、"&amp;IFERROR(INDEX(表單!$I$2:$I$500,MATCH(A10,表單!$A$2:$A$500,0)),"")&amp;"、")))),"⚠ 單元不在適用單元內 ","")&amp;IF(AND(H10="Y",B10=""),"⚠ 排除只能用在單元列 ","")&amp;IF(AND(H10="Y",B10&lt;&gt;"",SUMPRODUCT(($A$2:$A$500=A10)*($C$2:$C$500=C10)*($D$2:$D$500=D10)*($B$2:$B$500=""))=0),"⚠ 排除需對應共用欄位 ","")&amp;IF(AND(ISNUMBER(F10),ISNUMBER(G10),F10&gt;G10),"⚠ 下限大於上限 ","")&amp;IF(SUMPRODUCT((檢查項目!$A$2:$A$500=A10)*(檢查項目!$C$2:$C$500=C10)*(檢查項目!$G$2:$G$500="數值"))=0,"⚠ 該項目不是數值類型 ",""))))</f>
        <v/>
      </c>
    </row>
    <row r="11">
      <c r="I11" s="2">
        <f>IF(A11="","",IFERROR(INDEX(檢查項目!$E$2:$E$500,MATCH(1,INDEX((檢查項目!$A$2:$A$500=A11)*(檢查項目!$C$2:$C$500=C11)*(檢查項目!$B$2:$B$500=B11),0),0)),IFERROR(INDEX(檢查項目!$E$2:$E$500,MATCH(1,INDEX((檢查項目!$A$2:$A$500=A11)*(檢查項目!$C$2:$C$500=C11)*(檢查項目!$B$2:$B$500=""),0),0)),"⚠ 找不到項目")))</f>
        <v/>
      </c>
      <c r="J11" s="2">
        <f>IF(A11="","",IF(B11="","共用",IF(H11="Y","排除（"&amp;B11&amp;"）",IF(SUMPRODUCT(($A$2:$A$500=A11)*($C$2:$C$500=C11)*($D$2:$D$500=D11)*($B$2:$B$500=""))&gt;0,"覆蓋共用（"&amp;B11&amp;"）","單元新增（"&amp;B11&amp;"）"))))</f>
        <v/>
      </c>
      <c r="K11" s="2">
        <f>IF(A11="","",IF(H11="Y","—",IF(AND(F11&lt;&gt;"",G11&lt;&gt;""),F11&amp;" ~ "&amp;G11,IF(G11&lt;&gt;"","≤ "&amp;G11,IF(F11&lt;&gt;"","≥ "&amp;F11,"只記錄、不檢核")))))</f>
        <v/>
      </c>
      <c r="L11" s="2">
        <f>IF(A11="","",IF(TRIM(IF(SUMPRODUCT(($A$2:$A$500=A11)*($B$2:$B$500=B11)*($C$2:$C$500=C11)*($D$2:$D$500=D11))&gt;1,"⚠ 欄位名稱重複 ","")&amp;IF(AND(B11&lt;&gt;"",NOT(ISNUMBER(SEARCH("、"&amp;B11&amp;"、","、"&amp;IFERROR(INDEX(表單!$I$2:$I$500,MATCH(A11,表單!$A$2:$A$500,0)),"")&amp;"、")))),"⚠ 單元不在適用單元內 ","")&amp;IF(AND(H11="Y",B11=""),"⚠ 排除只能用在單元列 ","")&amp;IF(AND(H11="Y",B11&lt;&gt;"",SUMPRODUCT(($A$2:$A$500=A11)*($C$2:$C$500=C11)*($D$2:$D$500=D11)*($B$2:$B$500=""))=0),"⚠ 排除需對應共用欄位 ","")&amp;IF(AND(ISNUMBER(F11),ISNUMBER(G11),F11&gt;G11),"⚠ 下限大於上限 ","")&amp;IF(SUMPRODUCT((檢查項目!$A$2:$A$500=A11)*(檢查項目!$C$2:$C$500=C11)*(檢查項目!$G$2:$G$500="數值"))=0,"⚠ 該項目不是數值類型 ",""))="","✓",TRIM(IF(SUMPRODUCT(($A$2:$A$500=A11)*($B$2:$B$500=B11)*($C$2:$C$500=C11)*($D$2:$D$500=D11))&gt;1,"⚠ 欄位名稱重複 ","")&amp;IF(AND(B11&lt;&gt;"",NOT(ISNUMBER(SEARCH("、"&amp;B11&amp;"、","、"&amp;IFERROR(INDEX(表單!$I$2:$I$500,MATCH(A11,表單!$A$2:$A$500,0)),"")&amp;"、")))),"⚠ 單元不在適用單元內 ","")&amp;IF(AND(H11="Y",B11=""),"⚠ 排除只能用在單元列 ","")&amp;IF(AND(H11="Y",B11&lt;&gt;"",SUMPRODUCT(($A$2:$A$500=A11)*($C$2:$C$500=C11)*($D$2:$D$500=D11)*($B$2:$B$500=""))=0),"⚠ 排除需對應共用欄位 ","")&amp;IF(AND(ISNUMBER(F11),ISNUMBER(G11),F11&gt;G11),"⚠ 下限大於上限 ","")&amp;IF(SUMPRODUCT((檢查項目!$A$2:$A$500=A11)*(檢查項目!$C$2:$C$500=C11)*(檢查項目!$G$2:$G$500="數值"))=0,"⚠ 該項目不是數值類型 ",""))))</f>
        <v/>
      </c>
    </row>
    <row r="12">
      <c r="I12" s="2">
        <f>IF(A12="","",IFERROR(INDEX(檢查項目!$E$2:$E$500,MATCH(1,INDEX((檢查項目!$A$2:$A$500=A12)*(檢查項目!$C$2:$C$500=C12)*(檢查項目!$B$2:$B$500=B12),0),0)),IFERROR(INDEX(檢查項目!$E$2:$E$500,MATCH(1,INDEX((檢查項目!$A$2:$A$500=A12)*(檢查項目!$C$2:$C$500=C12)*(檢查項目!$B$2:$B$500=""),0),0)),"⚠ 找不到項目")))</f>
        <v/>
      </c>
      <c r="J12" s="2">
        <f>IF(A12="","",IF(B12="","共用",IF(H12="Y","排除（"&amp;B12&amp;"）",IF(SUMPRODUCT(($A$2:$A$500=A12)*($C$2:$C$500=C12)*($D$2:$D$500=D12)*($B$2:$B$500=""))&gt;0,"覆蓋共用（"&amp;B12&amp;"）","單元新增（"&amp;B12&amp;"）"))))</f>
        <v/>
      </c>
      <c r="K12" s="2">
        <f>IF(A12="","",IF(H12="Y","—",IF(AND(F12&lt;&gt;"",G12&lt;&gt;""),F12&amp;" ~ "&amp;G12,IF(G12&lt;&gt;"","≤ "&amp;G12,IF(F12&lt;&gt;"","≥ "&amp;F12,"只記錄、不檢核")))))</f>
        <v/>
      </c>
      <c r="L12" s="2">
        <f>IF(A12="","",IF(TRIM(IF(SUMPRODUCT(($A$2:$A$500=A12)*($B$2:$B$500=B12)*($C$2:$C$500=C12)*($D$2:$D$500=D12))&gt;1,"⚠ 欄位名稱重複 ","")&amp;IF(AND(B12&lt;&gt;"",NOT(ISNUMBER(SEARCH("、"&amp;B12&amp;"、","、"&amp;IFERROR(INDEX(表單!$I$2:$I$500,MATCH(A12,表單!$A$2:$A$500,0)),"")&amp;"、")))),"⚠ 單元不在適用單元內 ","")&amp;IF(AND(H12="Y",B12=""),"⚠ 排除只能用在單元列 ","")&amp;IF(AND(H12="Y",B12&lt;&gt;"",SUMPRODUCT(($A$2:$A$500=A12)*($C$2:$C$500=C12)*($D$2:$D$500=D12)*($B$2:$B$500=""))=0),"⚠ 排除需對應共用欄位 ","")&amp;IF(AND(ISNUMBER(F12),ISNUMBER(G12),F12&gt;G12),"⚠ 下限大於上限 ","")&amp;IF(SUMPRODUCT((檢查項目!$A$2:$A$500=A12)*(檢查項目!$C$2:$C$500=C12)*(檢查項目!$G$2:$G$500="數值"))=0,"⚠ 該項目不是數值類型 ",""))="","✓",TRIM(IF(SUMPRODUCT(($A$2:$A$500=A12)*($B$2:$B$500=B12)*($C$2:$C$500=C12)*($D$2:$D$500=D12))&gt;1,"⚠ 欄位名稱重複 ","")&amp;IF(AND(B12&lt;&gt;"",NOT(ISNUMBER(SEARCH("、"&amp;B12&amp;"、","、"&amp;IFERROR(INDEX(表單!$I$2:$I$500,MATCH(A12,表單!$A$2:$A$500,0)),"")&amp;"、")))),"⚠ 單元不在適用單元內 ","")&amp;IF(AND(H12="Y",B12=""),"⚠ 排除只能用在單元列 ","")&amp;IF(AND(H12="Y",B12&lt;&gt;"",SUMPRODUCT(($A$2:$A$500=A12)*($C$2:$C$500=C12)*($D$2:$D$500=D12)*($B$2:$B$500=""))=0),"⚠ 排除需對應共用欄位 ","")&amp;IF(AND(ISNUMBER(F12),ISNUMBER(G12),F12&gt;G12),"⚠ 下限大於上限 ","")&amp;IF(SUMPRODUCT((檢查項目!$A$2:$A$500=A12)*(檢查項目!$C$2:$C$500=C12)*(檢查項目!$G$2:$G$500="數值"))=0,"⚠ 該項目不是數值類型 ",""))))</f>
        <v/>
      </c>
    </row>
    <row r="13">
      <c r="I13" s="2">
        <f>IF(A13="","",IFERROR(INDEX(檢查項目!$E$2:$E$500,MATCH(1,INDEX((檢查項目!$A$2:$A$500=A13)*(檢查項目!$C$2:$C$500=C13)*(檢查項目!$B$2:$B$500=B13),0),0)),IFERROR(INDEX(檢查項目!$E$2:$E$500,MATCH(1,INDEX((檢查項目!$A$2:$A$500=A13)*(檢查項目!$C$2:$C$500=C13)*(檢查項目!$B$2:$B$500=""),0),0)),"⚠ 找不到項目")))</f>
        <v/>
      </c>
      <c r="J13" s="2">
        <f>IF(A13="","",IF(B13="","共用",IF(H13="Y","排除（"&amp;B13&amp;"）",IF(SUMPRODUCT(($A$2:$A$500=A13)*($C$2:$C$500=C13)*($D$2:$D$500=D13)*($B$2:$B$500=""))&gt;0,"覆蓋共用（"&amp;B13&amp;"）","單元新增（"&amp;B13&amp;"）"))))</f>
        <v/>
      </c>
      <c r="K13" s="2">
        <f>IF(A13="","",IF(H13="Y","—",IF(AND(F13&lt;&gt;"",G13&lt;&gt;""),F13&amp;" ~ "&amp;G13,IF(G13&lt;&gt;"","≤ "&amp;G13,IF(F13&lt;&gt;"","≥ "&amp;F13,"只記錄、不檢核")))))</f>
        <v/>
      </c>
      <c r="L13" s="2">
        <f>IF(A13="","",IF(TRIM(IF(SUMPRODUCT(($A$2:$A$500=A13)*($B$2:$B$500=B13)*($C$2:$C$500=C13)*($D$2:$D$500=D13))&gt;1,"⚠ 欄位名稱重複 ","")&amp;IF(AND(B13&lt;&gt;"",NOT(ISNUMBER(SEARCH("、"&amp;B13&amp;"、","、"&amp;IFERROR(INDEX(表單!$I$2:$I$500,MATCH(A13,表單!$A$2:$A$500,0)),"")&amp;"、")))),"⚠ 單元不在適用單元內 ","")&amp;IF(AND(H13="Y",B13=""),"⚠ 排除只能用在單元列 ","")&amp;IF(AND(H13="Y",B13&lt;&gt;"",SUMPRODUCT(($A$2:$A$500=A13)*($C$2:$C$500=C13)*($D$2:$D$500=D13)*($B$2:$B$500=""))=0),"⚠ 排除需對應共用欄位 ","")&amp;IF(AND(ISNUMBER(F13),ISNUMBER(G13),F13&gt;G13),"⚠ 下限大於上限 ","")&amp;IF(SUMPRODUCT((檢查項目!$A$2:$A$500=A13)*(檢查項目!$C$2:$C$500=C13)*(檢查項目!$G$2:$G$500="數值"))=0,"⚠ 該項目不是數值類型 ",""))="","✓",TRIM(IF(SUMPRODUCT(($A$2:$A$500=A13)*($B$2:$B$500=B13)*($C$2:$C$500=C13)*($D$2:$D$500=D13))&gt;1,"⚠ 欄位名稱重複 ","")&amp;IF(AND(B13&lt;&gt;"",NOT(ISNUMBER(SEARCH("、"&amp;B13&amp;"、","、"&amp;IFERROR(INDEX(表單!$I$2:$I$500,MATCH(A13,表單!$A$2:$A$500,0)),"")&amp;"、")))),"⚠ 單元不在適用單元內 ","")&amp;IF(AND(H13="Y",B13=""),"⚠ 排除只能用在單元列 ","")&amp;IF(AND(H13="Y",B13&lt;&gt;"",SUMPRODUCT(($A$2:$A$500=A13)*($C$2:$C$500=C13)*($D$2:$D$500=D13)*($B$2:$B$500=""))=0),"⚠ 排除需對應共用欄位 ","")&amp;IF(AND(ISNUMBER(F13),ISNUMBER(G13),F13&gt;G13),"⚠ 下限大於上限 ","")&amp;IF(SUMPRODUCT((檢查項目!$A$2:$A$500=A13)*(檢查項目!$C$2:$C$500=C13)*(檢查項目!$G$2:$G$500="數值"))=0,"⚠ 該項目不是數值類型 ",""))))</f>
        <v/>
      </c>
    </row>
    <row r="14">
      <c r="I14" s="2">
        <f>IF(A14="","",IFERROR(INDEX(檢查項目!$E$2:$E$500,MATCH(1,INDEX((檢查項目!$A$2:$A$500=A14)*(檢查項目!$C$2:$C$500=C14)*(檢查項目!$B$2:$B$500=B14),0),0)),IFERROR(INDEX(檢查項目!$E$2:$E$500,MATCH(1,INDEX((檢查項目!$A$2:$A$500=A14)*(檢查項目!$C$2:$C$500=C14)*(檢查項目!$B$2:$B$500=""),0),0)),"⚠ 找不到項目")))</f>
        <v/>
      </c>
      <c r="J14" s="2">
        <f>IF(A14="","",IF(B14="","共用",IF(H14="Y","排除（"&amp;B14&amp;"）",IF(SUMPRODUCT(($A$2:$A$500=A14)*($C$2:$C$500=C14)*($D$2:$D$500=D14)*($B$2:$B$500=""))&gt;0,"覆蓋共用（"&amp;B14&amp;"）","單元新增（"&amp;B14&amp;"）"))))</f>
        <v/>
      </c>
      <c r="K14" s="2">
        <f>IF(A14="","",IF(H14="Y","—",IF(AND(F14&lt;&gt;"",G14&lt;&gt;""),F14&amp;" ~ "&amp;G14,IF(G14&lt;&gt;"","≤ "&amp;G14,IF(F14&lt;&gt;"","≥ "&amp;F14,"只記錄、不檢核")))))</f>
        <v/>
      </c>
      <c r="L14" s="2">
        <f>IF(A14="","",IF(TRIM(IF(SUMPRODUCT(($A$2:$A$500=A14)*($B$2:$B$500=B14)*($C$2:$C$500=C14)*($D$2:$D$500=D14))&gt;1,"⚠ 欄位名稱重複 ","")&amp;IF(AND(B14&lt;&gt;"",NOT(ISNUMBER(SEARCH("、"&amp;B14&amp;"、","、"&amp;IFERROR(INDEX(表單!$I$2:$I$500,MATCH(A14,表單!$A$2:$A$500,0)),"")&amp;"、")))),"⚠ 單元不在適用單元內 ","")&amp;IF(AND(H14="Y",B14=""),"⚠ 排除只能用在單元列 ","")&amp;IF(AND(H14="Y",B14&lt;&gt;"",SUMPRODUCT(($A$2:$A$500=A14)*($C$2:$C$500=C14)*($D$2:$D$500=D14)*($B$2:$B$500=""))=0),"⚠ 排除需對應共用欄位 ","")&amp;IF(AND(ISNUMBER(F14),ISNUMBER(G14),F14&gt;G14),"⚠ 下限大於上限 ","")&amp;IF(SUMPRODUCT((檢查項目!$A$2:$A$500=A14)*(檢查項目!$C$2:$C$500=C14)*(檢查項目!$G$2:$G$500="數值"))=0,"⚠ 該項目不是數值類型 ",""))="","✓",TRIM(IF(SUMPRODUCT(($A$2:$A$500=A14)*($B$2:$B$500=B14)*($C$2:$C$500=C14)*($D$2:$D$500=D14))&gt;1,"⚠ 欄位名稱重複 ","")&amp;IF(AND(B14&lt;&gt;"",NOT(ISNUMBER(SEARCH("、"&amp;B14&amp;"、","、"&amp;IFERROR(INDEX(表單!$I$2:$I$500,MATCH(A14,表單!$A$2:$A$500,0)),"")&amp;"、")))),"⚠ 單元不在適用單元內 ","")&amp;IF(AND(H14="Y",B14=""),"⚠ 排除只能用在單元列 ","")&amp;IF(AND(H14="Y",B14&lt;&gt;"",SUMPRODUCT(($A$2:$A$500=A14)*($C$2:$C$500=C14)*($D$2:$D$500=D14)*($B$2:$B$500=""))=0),"⚠ 排除需對應共用欄位 ","")&amp;IF(AND(ISNUMBER(F14),ISNUMBER(G14),F14&gt;G14),"⚠ 下限大於上限 ","")&amp;IF(SUMPRODUCT((檢查項目!$A$2:$A$500=A14)*(檢查項目!$C$2:$C$500=C14)*(檢查項目!$G$2:$G$500="數值"))=0,"⚠ 該項目不是數值類型 ",""))))</f>
        <v/>
      </c>
    </row>
    <row r="15">
      <c r="I15" s="2">
        <f>IF(A15="","",IFERROR(INDEX(檢查項目!$E$2:$E$500,MATCH(1,INDEX((檢查項目!$A$2:$A$500=A15)*(檢查項目!$C$2:$C$500=C15)*(檢查項目!$B$2:$B$500=B15),0),0)),IFERROR(INDEX(檢查項目!$E$2:$E$500,MATCH(1,INDEX((檢查項目!$A$2:$A$500=A15)*(檢查項目!$C$2:$C$500=C15)*(檢查項目!$B$2:$B$500=""),0),0)),"⚠ 找不到項目")))</f>
        <v/>
      </c>
      <c r="J15" s="2">
        <f>IF(A15="","",IF(B15="","共用",IF(H15="Y","排除（"&amp;B15&amp;"）",IF(SUMPRODUCT(($A$2:$A$500=A15)*($C$2:$C$500=C15)*($D$2:$D$500=D15)*($B$2:$B$500=""))&gt;0,"覆蓋共用（"&amp;B15&amp;"）","單元新增（"&amp;B15&amp;"）"))))</f>
        <v/>
      </c>
      <c r="K15" s="2">
        <f>IF(A15="","",IF(H15="Y","—",IF(AND(F15&lt;&gt;"",G15&lt;&gt;""),F15&amp;" ~ "&amp;G15,IF(G15&lt;&gt;"","≤ "&amp;G15,IF(F15&lt;&gt;"","≥ "&amp;F15,"只記錄、不檢核")))))</f>
        <v/>
      </c>
      <c r="L15" s="2">
        <f>IF(A15="","",IF(TRIM(IF(SUMPRODUCT(($A$2:$A$500=A15)*($B$2:$B$500=B15)*($C$2:$C$500=C15)*($D$2:$D$500=D15))&gt;1,"⚠ 欄位名稱重複 ","")&amp;IF(AND(B15&lt;&gt;"",NOT(ISNUMBER(SEARCH("、"&amp;B15&amp;"、","、"&amp;IFERROR(INDEX(表單!$I$2:$I$500,MATCH(A15,表單!$A$2:$A$500,0)),"")&amp;"、")))),"⚠ 單元不在適用單元內 ","")&amp;IF(AND(H15="Y",B15=""),"⚠ 排除只能用在單元列 ","")&amp;IF(AND(H15="Y",B15&lt;&gt;"",SUMPRODUCT(($A$2:$A$500=A15)*($C$2:$C$500=C15)*($D$2:$D$500=D15)*($B$2:$B$500=""))=0),"⚠ 排除需對應共用欄位 ","")&amp;IF(AND(ISNUMBER(F15),ISNUMBER(G15),F15&gt;G15),"⚠ 下限大於上限 ","")&amp;IF(SUMPRODUCT((檢查項目!$A$2:$A$500=A15)*(檢查項目!$C$2:$C$500=C15)*(檢查項目!$G$2:$G$500="數值"))=0,"⚠ 該項目不是數值類型 ",""))="","✓",TRIM(IF(SUMPRODUCT(($A$2:$A$500=A15)*($B$2:$B$500=B15)*($C$2:$C$500=C15)*($D$2:$D$500=D15))&gt;1,"⚠ 欄位名稱重複 ","")&amp;IF(AND(B15&lt;&gt;"",NOT(ISNUMBER(SEARCH("、"&amp;B15&amp;"、","、"&amp;IFERROR(INDEX(表單!$I$2:$I$500,MATCH(A15,表單!$A$2:$A$500,0)),"")&amp;"、")))),"⚠ 單元不在適用單元內 ","")&amp;IF(AND(H15="Y",B15=""),"⚠ 排除只能用在單元列 ","")&amp;IF(AND(H15="Y",B15&lt;&gt;"",SUMPRODUCT(($A$2:$A$500=A15)*($C$2:$C$500=C15)*($D$2:$D$500=D15)*($B$2:$B$500=""))=0),"⚠ 排除需對應共用欄位 ","")&amp;IF(AND(ISNUMBER(F15),ISNUMBER(G15),F15&gt;G15),"⚠ 下限大於上限 ","")&amp;IF(SUMPRODUCT((檢查項目!$A$2:$A$500=A15)*(檢查項目!$C$2:$C$500=C15)*(檢查項目!$G$2:$G$500="數值"))=0,"⚠ 該項目不是數值類型 ",""))))</f>
        <v/>
      </c>
    </row>
    <row r="16">
      <c r="I16" s="2">
        <f>IF(A16="","",IFERROR(INDEX(檢查項目!$E$2:$E$500,MATCH(1,INDEX((檢查項目!$A$2:$A$500=A16)*(檢查項目!$C$2:$C$500=C16)*(檢查項目!$B$2:$B$500=B16),0),0)),IFERROR(INDEX(檢查項目!$E$2:$E$500,MATCH(1,INDEX((檢查項目!$A$2:$A$500=A16)*(檢查項目!$C$2:$C$500=C16)*(檢查項目!$B$2:$B$500=""),0),0)),"⚠ 找不到項目")))</f>
        <v/>
      </c>
      <c r="J16" s="2">
        <f>IF(A16="","",IF(B16="","共用",IF(H16="Y","排除（"&amp;B16&amp;"）",IF(SUMPRODUCT(($A$2:$A$500=A16)*($C$2:$C$500=C16)*($D$2:$D$500=D16)*($B$2:$B$500=""))&gt;0,"覆蓋共用（"&amp;B16&amp;"）","單元新增（"&amp;B16&amp;"）"))))</f>
        <v/>
      </c>
      <c r="K16" s="2">
        <f>IF(A16="","",IF(H16="Y","—",IF(AND(F16&lt;&gt;"",G16&lt;&gt;""),F16&amp;" ~ "&amp;G16,IF(G16&lt;&gt;"","≤ "&amp;G16,IF(F16&lt;&gt;"","≥ "&amp;F16,"只記錄、不檢核")))))</f>
        <v/>
      </c>
      <c r="L16" s="2">
        <f>IF(A16="","",IF(TRIM(IF(SUMPRODUCT(($A$2:$A$500=A16)*($B$2:$B$500=B16)*($C$2:$C$500=C16)*($D$2:$D$500=D16))&gt;1,"⚠ 欄位名稱重複 ","")&amp;IF(AND(B16&lt;&gt;"",NOT(ISNUMBER(SEARCH("、"&amp;B16&amp;"、","、"&amp;IFERROR(INDEX(表單!$I$2:$I$500,MATCH(A16,表單!$A$2:$A$500,0)),"")&amp;"、")))),"⚠ 單元不在適用單元內 ","")&amp;IF(AND(H16="Y",B16=""),"⚠ 排除只能用在單元列 ","")&amp;IF(AND(H16="Y",B16&lt;&gt;"",SUMPRODUCT(($A$2:$A$500=A16)*($C$2:$C$500=C16)*($D$2:$D$500=D16)*($B$2:$B$500=""))=0),"⚠ 排除需對應共用欄位 ","")&amp;IF(AND(ISNUMBER(F16),ISNUMBER(G16),F16&gt;G16),"⚠ 下限大於上限 ","")&amp;IF(SUMPRODUCT((檢查項目!$A$2:$A$500=A16)*(檢查項目!$C$2:$C$500=C16)*(檢查項目!$G$2:$G$500="數值"))=0,"⚠ 該項目不是數值類型 ",""))="","✓",TRIM(IF(SUMPRODUCT(($A$2:$A$500=A16)*($B$2:$B$500=B16)*($C$2:$C$500=C16)*($D$2:$D$500=D16))&gt;1,"⚠ 欄位名稱重複 ","")&amp;IF(AND(B16&lt;&gt;"",NOT(ISNUMBER(SEARCH("、"&amp;B16&amp;"、","、"&amp;IFERROR(INDEX(表單!$I$2:$I$500,MATCH(A16,表單!$A$2:$A$500,0)),"")&amp;"、")))),"⚠ 單元不在適用單元內 ","")&amp;IF(AND(H16="Y",B16=""),"⚠ 排除只能用在單元列 ","")&amp;IF(AND(H16="Y",B16&lt;&gt;"",SUMPRODUCT(($A$2:$A$500=A16)*($C$2:$C$500=C16)*($D$2:$D$500=D16)*($B$2:$B$500=""))=0),"⚠ 排除需對應共用欄位 ","")&amp;IF(AND(ISNUMBER(F16),ISNUMBER(G16),F16&gt;G16),"⚠ 下限大於上限 ","")&amp;IF(SUMPRODUCT((檢查項目!$A$2:$A$500=A16)*(檢查項目!$C$2:$C$500=C16)*(檢查項目!$G$2:$G$500="數值"))=0,"⚠ 該項目不是數值類型 ",""))))</f>
        <v/>
      </c>
    </row>
    <row r="17">
      <c r="I17" s="2">
        <f>IF(A17="","",IFERROR(INDEX(檢查項目!$E$2:$E$500,MATCH(1,INDEX((檢查項目!$A$2:$A$500=A17)*(檢查項目!$C$2:$C$500=C17)*(檢查項目!$B$2:$B$500=B17),0),0)),IFERROR(INDEX(檢查項目!$E$2:$E$500,MATCH(1,INDEX((檢查項目!$A$2:$A$500=A17)*(檢查項目!$C$2:$C$500=C17)*(檢查項目!$B$2:$B$500=""),0),0)),"⚠ 找不到項目")))</f>
        <v/>
      </c>
      <c r="J17" s="2">
        <f>IF(A17="","",IF(B17="","共用",IF(H17="Y","排除（"&amp;B17&amp;"）",IF(SUMPRODUCT(($A$2:$A$500=A17)*($C$2:$C$500=C17)*($D$2:$D$500=D17)*($B$2:$B$500=""))&gt;0,"覆蓋共用（"&amp;B17&amp;"）","單元新增（"&amp;B17&amp;"）"))))</f>
        <v/>
      </c>
      <c r="K17" s="2">
        <f>IF(A17="","",IF(H17="Y","—",IF(AND(F17&lt;&gt;"",G17&lt;&gt;""),F17&amp;" ~ "&amp;G17,IF(G17&lt;&gt;"","≤ "&amp;G17,IF(F17&lt;&gt;"","≥ "&amp;F17,"只記錄、不檢核")))))</f>
        <v/>
      </c>
      <c r="L17" s="2">
        <f>IF(A17="","",IF(TRIM(IF(SUMPRODUCT(($A$2:$A$500=A17)*($B$2:$B$500=B17)*($C$2:$C$500=C17)*($D$2:$D$500=D17))&gt;1,"⚠ 欄位名稱重複 ","")&amp;IF(AND(B17&lt;&gt;"",NOT(ISNUMBER(SEARCH("、"&amp;B17&amp;"、","、"&amp;IFERROR(INDEX(表單!$I$2:$I$500,MATCH(A17,表單!$A$2:$A$500,0)),"")&amp;"、")))),"⚠ 單元不在適用單元內 ","")&amp;IF(AND(H17="Y",B17=""),"⚠ 排除只能用在單元列 ","")&amp;IF(AND(H17="Y",B17&lt;&gt;"",SUMPRODUCT(($A$2:$A$500=A17)*($C$2:$C$500=C17)*($D$2:$D$500=D17)*($B$2:$B$500=""))=0),"⚠ 排除需對應共用欄位 ","")&amp;IF(AND(ISNUMBER(F17),ISNUMBER(G17),F17&gt;G17),"⚠ 下限大於上限 ","")&amp;IF(SUMPRODUCT((檢查項目!$A$2:$A$500=A17)*(檢查項目!$C$2:$C$500=C17)*(檢查項目!$G$2:$G$500="數值"))=0,"⚠ 該項目不是數值類型 ",""))="","✓",TRIM(IF(SUMPRODUCT(($A$2:$A$500=A17)*($B$2:$B$500=B17)*($C$2:$C$500=C17)*($D$2:$D$500=D17))&gt;1,"⚠ 欄位名稱重複 ","")&amp;IF(AND(B17&lt;&gt;"",NOT(ISNUMBER(SEARCH("、"&amp;B17&amp;"、","、"&amp;IFERROR(INDEX(表單!$I$2:$I$500,MATCH(A17,表單!$A$2:$A$500,0)),"")&amp;"、")))),"⚠ 單元不在適用單元內 ","")&amp;IF(AND(H17="Y",B17=""),"⚠ 排除只能用在單元列 ","")&amp;IF(AND(H17="Y",B17&lt;&gt;"",SUMPRODUCT(($A$2:$A$500=A17)*($C$2:$C$500=C17)*($D$2:$D$500=D17)*($B$2:$B$500=""))=0),"⚠ 排除需對應共用欄位 ","")&amp;IF(AND(ISNUMBER(F17),ISNUMBER(G17),F17&gt;G17),"⚠ 下限大於上限 ","")&amp;IF(SUMPRODUCT((檢查項目!$A$2:$A$500=A17)*(檢查項目!$C$2:$C$500=C17)*(檢查項目!$G$2:$G$500="數值"))=0,"⚠ 該項目不是數值類型 ",""))))</f>
        <v/>
      </c>
    </row>
    <row r="18">
      <c r="I18" s="2">
        <f>IF(A18="","",IFERROR(INDEX(檢查項目!$E$2:$E$500,MATCH(1,INDEX((檢查項目!$A$2:$A$500=A18)*(檢查項目!$C$2:$C$500=C18)*(檢查項目!$B$2:$B$500=B18),0),0)),IFERROR(INDEX(檢查項目!$E$2:$E$500,MATCH(1,INDEX((檢查項目!$A$2:$A$500=A18)*(檢查項目!$C$2:$C$500=C18)*(檢查項目!$B$2:$B$500=""),0),0)),"⚠ 找不到項目")))</f>
        <v/>
      </c>
      <c r="J18" s="2">
        <f>IF(A18="","",IF(B18="","共用",IF(H18="Y","排除（"&amp;B18&amp;"）",IF(SUMPRODUCT(($A$2:$A$500=A18)*($C$2:$C$500=C18)*($D$2:$D$500=D18)*($B$2:$B$500=""))&gt;0,"覆蓋共用（"&amp;B18&amp;"）","單元新增（"&amp;B18&amp;"）"))))</f>
        <v/>
      </c>
      <c r="K18" s="2">
        <f>IF(A18="","",IF(H18="Y","—",IF(AND(F18&lt;&gt;"",G18&lt;&gt;""),F18&amp;" ~ "&amp;G18,IF(G18&lt;&gt;"","≤ "&amp;G18,IF(F18&lt;&gt;"","≥ "&amp;F18,"只記錄、不檢核")))))</f>
        <v/>
      </c>
      <c r="L18" s="2">
        <f>IF(A18="","",IF(TRIM(IF(SUMPRODUCT(($A$2:$A$500=A18)*($B$2:$B$500=B18)*($C$2:$C$500=C18)*($D$2:$D$500=D18))&gt;1,"⚠ 欄位名稱重複 ","")&amp;IF(AND(B18&lt;&gt;"",NOT(ISNUMBER(SEARCH("、"&amp;B18&amp;"、","、"&amp;IFERROR(INDEX(表單!$I$2:$I$500,MATCH(A18,表單!$A$2:$A$500,0)),"")&amp;"、")))),"⚠ 單元不在適用單元內 ","")&amp;IF(AND(H18="Y",B18=""),"⚠ 排除只能用在單元列 ","")&amp;IF(AND(H18="Y",B18&lt;&gt;"",SUMPRODUCT(($A$2:$A$500=A18)*($C$2:$C$500=C18)*($D$2:$D$500=D18)*($B$2:$B$500=""))=0),"⚠ 排除需對應共用欄位 ","")&amp;IF(AND(ISNUMBER(F18),ISNUMBER(G18),F18&gt;G18),"⚠ 下限大於上限 ","")&amp;IF(SUMPRODUCT((檢查項目!$A$2:$A$500=A18)*(檢查項目!$C$2:$C$500=C18)*(檢查項目!$G$2:$G$500="數值"))=0,"⚠ 該項目不是數值類型 ",""))="","✓",TRIM(IF(SUMPRODUCT(($A$2:$A$500=A18)*($B$2:$B$500=B18)*($C$2:$C$500=C18)*($D$2:$D$500=D18))&gt;1,"⚠ 欄位名稱重複 ","")&amp;IF(AND(B18&lt;&gt;"",NOT(ISNUMBER(SEARCH("、"&amp;B18&amp;"、","、"&amp;IFERROR(INDEX(表單!$I$2:$I$500,MATCH(A18,表單!$A$2:$A$500,0)),"")&amp;"、")))),"⚠ 單元不在適用單元內 ","")&amp;IF(AND(H18="Y",B18=""),"⚠ 排除只能用在單元列 ","")&amp;IF(AND(H18="Y",B18&lt;&gt;"",SUMPRODUCT(($A$2:$A$500=A18)*($C$2:$C$500=C18)*($D$2:$D$500=D18)*($B$2:$B$500=""))=0),"⚠ 排除需對應共用欄位 ","")&amp;IF(AND(ISNUMBER(F18),ISNUMBER(G18),F18&gt;G18),"⚠ 下限大於上限 ","")&amp;IF(SUMPRODUCT((檢查項目!$A$2:$A$500=A18)*(檢查項目!$C$2:$C$500=C18)*(檢查項目!$G$2:$G$500="數值"))=0,"⚠ 該項目不是數值類型 ",""))))</f>
        <v/>
      </c>
    </row>
    <row r="19">
      <c r="I19" s="2">
        <f>IF(A19="","",IFERROR(INDEX(檢查項目!$E$2:$E$500,MATCH(1,INDEX((檢查項目!$A$2:$A$500=A19)*(檢查項目!$C$2:$C$500=C19)*(檢查項目!$B$2:$B$500=B19),0),0)),IFERROR(INDEX(檢查項目!$E$2:$E$500,MATCH(1,INDEX((檢查項目!$A$2:$A$500=A19)*(檢查項目!$C$2:$C$500=C19)*(檢查項目!$B$2:$B$500=""),0),0)),"⚠ 找不到項目")))</f>
        <v/>
      </c>
      <c r="J19" s="2">
        <f>IF(A19="","",IF(B19="","共用",IF(H19="Y","排除（"&amp;B19&amp;"）",IF(SUMPRODUCT(($A$2:$A$500=A19)*($C$2:$C$500=C19)*($D$2:$D$500=D19)*($B$2:$B$500=""))&gt;0,"覆蓋共用（"&amp;B19&amp;"）","單元新增（"&amp;B19&amp;"）"))))</f>
        <v/>
      </c>
      <c r="K19" s="2">
        <f>IF(A19="","",IF(H19="Y","—",IF(AND(F19&lt;&gt;"",G19&lt;&gt;""),F19&amp;" ~ "&amp;G19,IF(G19&lt;&gt;"","≤ "&amp;G19,IF(F19&lt;&gt;"","≥ "&amp;F19,"只記錄、不檢核")))))</f>
        <v/>
      </c>
      <c r="L19" s="2">
        <f>IF(A19="","",IF(TRIM(IF(SUMPRODUCT(($A$2:$A$500=A19)*($B$2:$B$500=B19)*($C$2:$C$500=C19)*($D$2:$D$500=D19))&gt;1,"⚠ 欄位名稱重複 ","")&amp;IF(AND(B19&lt;&gt;"",NOT(ISNUMBER(SEARCH("、"&amp;B19&amp;"、","、"&amp;IFERROR(INDEX(表單!$I$2:$I$500,MATCH(A19,表單!$A$2:$A$500,0)),"")&amp;"、")))),"⚠ 單元不在適用單元內 ","")&amp;IF(AND(H19="Y",B19=""),"⚠ 排除只能用在單元列 ","")&amp;IF(AND(H19="Y",B19&lt;&gt;"",SUMPRODUCT(($A$2:$A$500=A19)*($C$2:$C$500=C19)*($D$2:$D$500=D19)*($B$2:$B$500=""))=0),"⚠ 排除需對應共用欄位 ","")&amp;IF(AND(ISNUMBER(F19),ISNUMBER(G19),F19&gt;G19),"⚠ 下限大於上限 ","")&amp;IF(SUMPRODUCT((檢查項目!$A$2:$A$500=A19)*(檢查項目!$C$2:$C$500=C19)*(檢查項目!$G$2:$G$500="數值"))=0,"⚠ 該項目不是數值類型 ",""))="","✓",TRIM(IF(SUMPRODUCT(($A$2:$A$500=A19)*($B$2:$B$500=B19)*($C$2:$C$500=C19)*($D$2:$D$500=D19))&gt;1,"⚠ 欄位名稱重複 ","")&amp;IF(AND(B19&lt;&gt;"",NOT(ISNUMBER(SEARCH("、"&amp;B19&amp;"、","、"&amp;IFERROR(INDEX(表單!$I$2:$I$500,MATCH(A19,表單!$A$2:$A$500,0)),"")&amp;"、")))),"⚠ 單元不在適用單元內 ","")&amp;IF(AND(H19="Y",B19=""),"⚠ 排除只能用在單元列 ","")&amp;IF(AND(H19="Y",B19&lt;&gt;"",SUMPRODUCT(($A$2:$A$500=A19)*($C$2:$C$500=C19)*($D$2:$D$500=D19)*($B$2:$B$500=""))=0),"⚠ 排除需對應共用欄位 ","")&amp;IF(AND(ISNUMBER(F19),ISNUMBER(G19),F19&gt;G19),"⚠ 下限大於上限 ","")&amp;IF(SUMPRODUCT((檢查項目!$A$2:$A$500=A19)*(檢查項目!$C$2:$C$500=C19)*(檢查項目!$G$2:$G$500="數值"))=0,"⚠ 該項目不是數值類型 ",""))))</f>
        <v/>
      </c>
    </row>
    <row r="20">
      <c r="I20" s="2">
        <f>IF(A20="","",IFERROR(INDEX(檢查項目!$E$2:$E$500,MATCH(1,INDEX((檢查項目!$A$2:$A$500=A20)*(檢查項目!$C$2:$C$500=C20)*(檢查項目!$B$2:$B$500=B20),0),0)),IFERROR(INDEX(檢查項目!$E$2:$E$500,MATCH(1,INDEX((檢查項目!$A$2:$A$500=A20)*(檢查項目!$C$2:$C$500=C20)*(檢查項目!$B$2:$B$500=""),0),0)),"⚠ 找不到項目")))</f>
        <v/>
      </c>
      <c r="J20" s="2">
        <f>IF(A20="","",IF(B20="","共用",IF(H20="Y","排除（"&amp;B20&amp;"）",IF(SUMPRODUCT(($A$2:$A$500=A20)*($C$2:$C$500=C20)*($D$2:$D$500=D20)*($B$2:$B$500=""))&gt;0,"覆蓋共用（"&amp;B20&amp;"）","單元新增（"&amp;B20&amp;"）"))))</f>
        <v/>
      </c>
      <c r="K20" s="2">
        <f>IF(A20="","",IF(H20="Y","—",IF(AND(F20&lt;&gt;"",G20&lt;&gt;""),F20&amp;" ~ "&amp;G20,IF(G20&lt;&gt;"","≤ "&amp;G20,IF(F20&lt;&gt;"","≥ "&amp;F20,"只記錄、不檢核")))))</f>
        <v/>
      </c>
      <c r="L20" s="2">
        <f>IF(A20="","",IF(TRIM(IF(SUMPRODUCT(($A$2:$A$500=A20)*($B$2:$B$500=B20)*($C$2:$C$500=C20)*($D$2:$D$500=D20))&gt;1,"⚠ 欄位名稱重複 ","")&amp;IF(AND(B20&lt;&gt;"",NOT(ISNUMBER(SEARCH("、"&amp;B20&amp;"、","、"&amp;IFERROR(INDEX(表單!$I$2:$I$500,MATCH(A20,表單!$A$2:$A$500,0)),"")&amp;"、")))),"⚠ 單元不在適用單元內 ","")&amp;IF(AND(H20="Y",B20=""),"⚠ 排除只能用在單元列 ","")&amp;IF(AND(H20="Y",B20&lt;&gt;"",SUMPRODUCT(($A$2:$A$500=A20)*($C$2:$C$500=C20)*($D$2:$D$500=D20)*($B$2:$B$500=""))=0),"⚠ 排除需對應共用欄位 ","")&amp;IF(AND(ISNUMBER(F20),ISNUMBER(G20),F20&gt;G20),"⚠ 下限大於上限 ","")&amp;IF(SUMPRODUCT((檢查項目!$A$2:$A$500=A20)*(檢查項目!$C$2:$C$500=C20)*(檢查項目!$G$2:$G$500="數值"))=0,"⚠ 該項目不是數值類型 ",""))="","✓",TRIM(IF(SUMPRODUCT(($A$2:$A$500=A20)*($B$2:$B$500=B20)*($C$2:$C$500=C20)*($D$2:$D$500=D20))&gt;1,"⚠ 欄位名稱重複 ","")&amp;IF(AND(B20&lt;&gt;"",NOT(ISNUMBER(SEARCH("、"&amp;B20&amp;"、","、"&amp;IFERROR(INDEX(表單!$I$2:$I$500,MATCH(A20,表單!$A$2:$A$500,0)),"")&amp;"、")))),"⚠ 單元不在適用單元內 ","")&amp;IF(AND(H20="Y",B20=""),"⚠ 排除只能用在單元列 ","")&amp;IF(AND(H20="Y",B20&lt;&gt;"",SUMPRODUCT(($A$2:$A$500=A20)*($C$2:$C$500=C20)*($D$2:$D$500=D20)*($B$2:$B$500=""))=0),"⚠ 排除需對應共用欄位 ","")&amp;IF(AND(ISNUMBER(F20),ISNUMBER(G20),F20&gt;G20),"⚠ 下限大於上限 ","")&amp;IF(SUMPRODUCT((檢查項目!$A$2:$A$500=A20)*(檢查項目!$C$2:$C$500=C20)*(檢查項目!$G$2:$G$500="數值"))=0,"⚠ 該項目不是數值類型 ",""))))</f>
        <v/>
      </c>
    </row>
    <row r="21">
      <c r="I21" s="2">
        <f>IF(A21="","",IFERROR(INDEX(檢查項目!$E$2:$E$500,MATCH(1,INDEX((檢查項目!$A$2:$A$500=A21)*(檢查項目!$C$2:$C$500=C21)*(檢查項目!$B$2:$B$500=B21),0),0)),IFERROR(INDEX(檢查項目!$E$2:$E$500,MATCH(1,INDEX((檢查項目!$A$2:$A$500=A21)*(檢查項目!$C$2:$C$500=C21)*(檢查項目!$B$2:$B$500=""),0),0)),"⚠ 找不到項目")))</f>
        <v/>
      </c>
      <c r="J21" s="2">
        <f>IF(A21="","",IF(B21="","共用",IF(H21="Y","排除（"&amp;B21&amp;"）",IF(SUMPRODUCT(($A$2:$A$500=A21)*($C$2:$C$500=C21)*($D$2:$D$500=D21)*($B$2:$B$500=""))&gt;0,"覆蓋共用（"&amp;B21&amp;"）","單元新增（"&amp;B21&amp;"）"))))</f>
        <v/>
      </c>
      <c r="K21" s="2">
        <f>IF(A21="","",IF(H21="Y","—",IF(AND(F21&lt;&gt;"",G21&lt;&gt;""),F21&amp;" ~ "&amp;G21,IF(G21&lt;&gt;"","≤ "&amp;G21,IF(F21&lt;&gt;"","≥ "&amp;F21,"只記錄、不檢核")))))</f>
        <v/>
      </c>
      <c r="L21" s="2">
        <f>IF(A21="","",IF(TRIM(IF(SUMPRODUCT(($A$2:$A$500=A21)*($B$2:$B$500=B21)*($C$2:$C$500=C21)*($D$2:$D$500=D21))&gt;1,"⚠ 欄位名稱重複 ","")&amp;IF(AND(B21&lt;&gt;"",NOT(ISNUMBER(SEARCH("、"&amp;B21&amp;"、","、"&amp;IFERROR(INDEX(表單!$I$2:$I$500,MATCH(A21,表單!$A$2:$A$500,0)),"")&amp;"、")))),"⚠ 單元不在適用單元內 ","")&amp;IF(AND(H21="Y",B21=""),"⚠ 排除只能用在單元列 ","")&amp;IF(AND(H21="Y",B21&lt;&gt;"",SUMPRODUCT(($A$2:$A$500=A21)*($C$2:$C$500=C21)*($D$2:$D$500=D21)*($B$2:$B$500=""))=0),"⚠ 排除需對應共用欄位 ","")&amp;IF(AND(ISNUMBER(F21),ISNUMBER(G21),F21&gt;G21),"⚠ 下限大於上限 ","")&amp;IF(SUMPRODUCT((檢查項目!$A$2:$A$500=A21)*(檢查項目!$C$2:$C$500=C21)*(檢查項目!$G$2:$G$500="數值"))=0,"⚠ 該項目不是數值類型 ",""))="","✓",TRIM(IF(SUMPRODUCT(($A$2:$A$500=A21)*($B$2:$B$500=B21)*($C$2:$C$500=C21)*($D$2:$D$500=D21))&gt;1,"⚠ 欄位名稱重複 ","")&amp;IF(AND(B21&lt;&gt;"",NOT(ISNUMBER(SEARCH("、"&amp;B21&amp;"、","、"&amp;IFERROR(INDEX(表單!$I$2:$I$500,MATCH(A21,表單!$A$2:$A$500,0)),"")&amp;"、")))),"⚠ 單元不在適用單元內 ","")&amp;IF(AND(H21="Y",B21=""),"⚠ 排除只能用在單元列 ","")&amp;IF(AND(H21="Y",B21&lt;&gt;"",SUMPRODUCT(($A$2:$A$500=A21)*($C$2:$C$500=C21)*($D$2:$D$500=D21)*($B$2:$B$500=""))=0),"⚠ 排除需對應共用欄位 ","")&amp;IF(AND(ISNUMBER(F21),ISNUMBER(G21),F21&gt;G21),"⚠ 下限大於上限 ","")&amp;IF(SUMPRODUCT((檢查項目!$A$2:$A$500=A21)*(檢查項目!$C$2:$C$500=C21)*(檢查項目!$G$2:$G$500="數值"))=0,"⚠ 該項目不是數值類型 ",""))))</f>
        <v/>
      </c>
    </row>
    <row r="22">
      <c r="I22" s="2">
        <f>IF(A22="","",IFERROR(INDEX(檢查項目!$E$2:$E$500,MATCH(1,INDEX((檢查項目!$A$2:$A$500=A22)*(檢查項目!$C$2:$C$500=C22)*(檢查項目!$B$2:$B$500=B22),0),0)),IFERROR(INDEX(檢查項目!$E$2:$E$500,MATCH(1,INDEX((檢查項目!$A$2:$A$500=A22)*(檢查項目!$C$2:$C$500=C22)*(檢查項目!$B$2:$B$500=""),0),0)),"⚠ 找不到項目")))</f>
        <v/>
      </c>
      <c r="J22" s="2">
        <f>IF(A22="","",IF(B22="","共用",IF(H22="Y","排除（"&amp;B22&amp;"）",IF(SUMPRODUCT(($A$2:$A$500=A22)*($C$2:$C$500=C22)*($D$2:$D$500=D22)*($B$2:$B$500=""))&gt;0,"覆蓋共用（"&amp;B22&amp;"）","單元新增（"&amp;B22&amp;"）"))))</f>
        <v/>
      </c>
      <c r="K22" s="2">
        <f>IF(A22="","",IF(H22="Y","—",IF(AND(F22&lt;&gt;"",G22&lt;&gt;""),F22&amp;" ~ "&amp;G22,IF(G22&lt;&gt;"","≤ "&amp;G22,IF(F22&lt;&gt;"","≥ "&amp;F22,"只記錄、不檢核")))))</f>
        <v/>
      </c>
      <c r="L22" s="2">
        <f>IF(A22="","",IF(TRIM(IF(SUMPRODUCT(($A$2:$A$500=A22)*($B$2:$B$500=B22)*($C$2:$C$500=C22)*($D$2:$D$500=D22))&gt;1,"⚠ 欄位名稱重複 ","")&amp;IF(AND(B22&lt;&gt;"",NOT(ISNUMBER(SEARCH("、"&amp;B22&amp;"、","、"&amp;IFERROR(INDEX(表單!$I$2:$I$500,MATCH(A22,表單!$A$2:$A$500,0)),"")&amp;"、")))),"⚠ 單元不在適用單元內 ","")&amp;IF(AND(H22="Y",B22=""),"⚠ 排除只能用在單元列 ","")&amp;IF(AND(H22="Y",B22&lt;&gt;"",SUMPRODUCT(($A$2:$A$500=A22)*($C$2:$C$500=C22)*($D$2:$D$500=D22)*($B$2:$B$500=""))=0),"⚠ 排除需對應共用欄位 ","")&amp;IF(AND(ISNUMBER(F22),ISNUMBER(G22),F22&gt;G22),"⚠ 下限大於上限 ","")&amp;IF(SUMPRODUCT((檢查項目!$A$2:$A$500=A22)*(檢查項目!$C$2:$C$500=C22)*(檢查項目!$G$2:$G$500="數值"))=0,"⚠ 該項目不是數值類型 ",""))="","✓",TRIM(IF(SUMPRODUCT(($A$2:$A$500=A22)*($B$2:$B$500=B22)*($C$2:$C$500=C22)*($D$2:$D$500=D22))&gt;1,"⚠ 欄位名稱重複 ","")&amp;IF(AND(B22&lt;&gt;"",NOT(ISNUMBER(SEARCH("、"&amp;B22&amp;"、","、"&amp;IFERROR(INDEX(表單!$I$2:$I$500,MATCH(A22,表單!$A$2:$A$500,0)),"")&amp;"、")))),"⚠ 單元不在適用單元內 ","")&amp;IF(AND(H22="Y",B22=""),"⚠ 排除只能用在單元列 ","")&amp;IF(AND(H22="Y",B22&lt;&gt;"",SUMPRODUCT(($A$2:$A$500=A22)*($C$2:$C$500=C22)*($D$2:$D$500=D22)*($B$2:$B$500=""))=0),"⚠ 排除需對應共用欄位 ","")&amp;IF(AND(ISNUMBER(F22),ISNUMBER(G22),F22&gt;G22),"⚠ 下限大於上限 ","")&amp;IF(SUMPRODUCT((檢查項目!$A$2:$A$500=A22)*(檢查項目!$C$2:$C$500=C22)*(檢查項目!$G$2:$G$500="數值"))=0,"⚠ 該項目不是數值類型 ",""))))</f>
        <v/>
      </c>
    </row>
    <row r="23">
      <c r="I23" s="2">
        <f>IF(A23="","",IFERROR(INDEX(檢查項目!$E$2:$E$500,MATCH(1,INDEX((檢查項目!$A$2:$A$500=A23)*(檢查項目!$C$2:$C$500=C23)*(檢查項目!$B$2:$B$500=B23),0),0)),IFERROR(INDEX(檢查項目!$E$2:$E$500,MATCH(1,INDEX((檢查項目!$A$2:$A$500=A23)*(檢查項目!$C$2:$C$500=C23)*(檢查項目!$B$2:$B$500=""),0),0)),"⚠ 找不到項目")))</f>
        <v/>
      </c>
      <c r="J23" s="2">
        <f>IF(A23="","",IF(B23="","共用",IF(H23="Y","排除（"&amp;B23&amp;"）",IF(SUMPRODUCT(($A$2:$A$500=A23)*($C$2:$C$500=C23)*($D$2:$D$500=D23)*($B$2:$B$500=""))&gt;0,"覆蓋共用（"&amp;B23&amp;"）","單元新增（"&amp;B23&amp;"）"))))</f>
        <v/>
      </c>
      <c r="K23" s="2">
        <f>IF(A23="","",IF(H23="Y","—",IF(AND(F23&lt;&gt;"",G23&lt;&gt;""),F23&amp;" ~ "&amp;G23,IF(G23&lt;&gt;"","≤ "&amp;G23,IF(F23&lt;&gt;"","≥ "&amp;F23,"只記錄、不檢核")))))</f>
        <v/>
      </c>
      <c r="L23" s="2">
        <f>IF(A23="","",IF(TRIM(IF(SUMPRODUCT(($A$2:$A$500=A23)*($B$2:$B$500=B23)*($C$2:$C$500=C23)*($D$2:$D$500=D23))&gt;1,"⚠ 欄位名稱重複 ","")&amp;IF(AND(B23&lt;&gt;"",NOT(ISNUMBER(SEARCH("、"&amp;B23&amp;"、","、"&amp;IFERROR(INDEX(表單!$I$2:$I$500,MATCH(A23,表單!$A$2:$A$500,0)),"")&amp;"、")))),"⚠ 單元不在適用單元內 ","")&amp;IF(AND(H23="Y",B23=""),"⚠ 排除只能用在單元列 ","")&amp;IF(AND(H23="Y",B23&lt;&gt;"",SUMPRODUCT(($A$2:$A$500=A23)*($C$2:$C$500=C23)*($D$2:$D$500=D23)*($B$2:$B$500=""))=0),"⚠ 排除需對應共用欄位 ","")&amp;IF(AND(ISNUMBER(F23),ISNUMBER(G23),F23&gt;G23),"⚠ 下限大於上限 ","")&amp;IF(SUMPRODUCT((檢查項目!$A$2:$A$500=A23)*(檢查項目!$C$2:$C$500=C23)*(檢查項目!$G$2:$G$500="數值"))=0,"⚠ 該項目不是數值類型 ",""))="","✓",TRIM(IF(SUMPRODUCT(($A$2:$A$500=A23)*($B$2:$B$500=B23)*($C$2:$C$500=C23)*($D$2:$D$500=D23))&gt;1,"⚠ 欄位名稱重複 ","")&amp;IF(AND(B23&lt;&gt;"",NOT(ISNUMBER(SEARCH("、"&amp;B23&amp;"、","、"&amp;IFERROR(INDEX(表單!$I$2:$I$500,MATCH(A23,表單!$A$2:$A$500,0)),"")&amp;"、")))),"⚠ 單元不在適用單元內 ","")&amp;IF(AND(H23="Y",B23=""),"⚠ 排除只能用在單元列 ","")&amp;IF(AND(H23="Y",B23&lt;&gt;"",SUMPRODUCT(($A$2:$A$500=A23)*($C$2:$C$500=C23)*($D$2:$D$500=D23)*($B$2:$B$500=""))=0),"⚠ 排除需對應共用欄位 ","")&amp;IF(AND(ISNUMBER(F23),ISNUMBER(G23),F23&gt;G23),"⚠ 下限大於上限 ","")&amp;IF(SUMPRODUCT((檢查項目!$A$2:$A$500=A23)*(檢查項目!$C$2:$C$500=C23)*(檢查項目!$G$2:$G$500="數值"))=0,"⚠ 該項目不是數值類型 ",""))))</f>
        <v/>
      </c>
    </row>
    <row r="24">
      <c r="I24" s="2">
        <f>IF(A24="","",IFERROR(INDEX(檢查項目!$E$2:$E$500,MATCH(1,INDEX((檢查項目!$A$2:$A$500=A24)*(檢查項目!$C$2:$C$500=C24)*(檢查項目!$B$2:$B$500=B24),0),0)),IFERROR(INDEX(檢查項目!$E$2:$E$500,MATCH(1,INDEX((檢查項目!$A$2:$A$500=A24)*(檢查項目!$C$2:$C$500=C24)*(檢查項目!$B$2:$B$500=""),0),0)),"⚠ 找不到項目")))</f>
        <v/>
      </c>
      <c r="J24" s="2">
        <f>IF(A24="","",IF(B24="","共用",IF(H24="Y","排除（"&amp;B24&amp;"）",IF(SUMPRODUCT(($A$2:$A$500=A24)*($C$2:$C$500=C24)*($D$2:$D$500=D24)*($B$2:$B$500=""))&gt;0,"覆蓋共用（"&amp;B24&amp;"）","單元新增（"&amp;B24&amp;"）"))))</f>
        <v/>
      </c>
      <c r="K24" s="2">
        <f>IF(A24="","",IF(H24="Y","—",IF(AND(F24&lt;&gt;"",G24&lt;&gt;""),F24&amp;" ~ "&amp;G24,IF(G24&lt;&gt;"","≤ "&amp;G24,IF(F24&lt;&gt;"","≥ "&amp;F24,"只記錄、不檢核")))))</f>
        <v/>
      </c>
      <c r="L24" s="2">
        <f>IF(A24="","",IF(TRIM(IF(SUMPRODUCT(($A$2:$A$500=A24)*($B$2:$B$500=B24)*($C$2:$C$500=C24)*($D$2:$D$500=D24))&gt;1,"⚠ 欄位名稱重複 ","")&amp;IF(AND(B24&lt;&gt;"",NOT(ISNUMBER(SEARCH("、"&amp;B24&amp;"、","、"&amp;IFERROR(INDEX(表單!$I$2:$I$500,MATCH(A24,表單!$A$2:$A$500,0)),"")&amp;"、")))),"⚠ 單元不在適用單元內 ","")&amp;IF(AND(H24="Y",B24=""),"⚠ 排除只能用在單元列 ","")&amp;IF(AND(H24="Y",B24&lt;&gt;"",SUMPRODUCT(($A$2:$A$500=A24)*($C$2:$C$500=C24)*($D$2:$D$500=D24)*($B$2:$B$500=""))=0),"⚠ 排除需對應共用欄位 ","")&amp;IF(AND(ISNUMBER(F24),ISNUMBER(G24),F24&gt;G24),"⚠ 下限大於上限 ","")&amp;IF(SUMPRODUCT((檢查項目!$A$2:$A$500=A24)*(檢查項目!$C$2:$C$500=C24)*(檢查項目!$G$2:$G$500="數值"))=0,"⚠ 該項目不是數值類型 ",""))="","✓",TRIM(IF(SUMPRODUCT(($A$2:$A$500=A24)*($B$2:$B$500=B24)*($C$2:$C$500=C24)*($D$2:$D$500=D24))&gt;1,"⚠ 欄位名稱重複 ","")&amp;IF(AND(B24&lt;&gt;"",NOT(ISNUMBER(SEARCH("、"&amp;B24&amp;"、","、"&amp;IFERROR(INDEX(表單!$I$2:$I$500,MATCH(A24,表單!$A$2:$A$500,0)),"")&amp;"、")))),"⚠ 單元不在適用單元內 ","")&amp;IF(AND(H24="Y",B24=""),"⚠ 排除只能用在單元列 ","")&amp;IF(AND(H24="Y",B24&lt;&gt;"",SUMPRODUCT(($A$2:$A$500=A24)*($C$2:$C$500=C24)*($D$2:$D$500=D24)*($B$2:$B$500=""))=0),"⚠ 排除需對應共用欄位 ","")&amp;IF(AND(ISNUMBER(F24),ISNUMBER(G24),F24&gt;G24),"⚠ 下限大於上限 ","")&amp;IF(SUMPRODUCT((檢查項目!$A$2:$A$500=A24)*(檢查項目!$C$2:$C$500=C24)*(檢查項目!$G$2:$G$500="數值"))=0,"⚠ 該項目不是數值類型 ",""))))</f>
        <v/>
      </c>
    </row>
    <row r="25">
      <c r="I25" s="2">
        <f>IF(A25="","",IFERROR(INDEX(檢查項目!$E$2:$E$500,MATCH(1,INDEX((檢查項目!$A$2:$A$500=A25)*(檢查項目!$C$2:$C$500=C25)*(檢查項目!$B$2:$B$500=B25),0),0)),IFERROR(INDEX(檢查項目!$E$2:$E$500,MATCH(1,INDEX((檢查項目!$A$2:$A$500=A25)*(檢查項目!$C$2:$C$500=C25)*(檢查項目!$B$2:$B$500=""),0),0)),"⚠ 找不到項目")))</f>
        <v/>
      </c>
      <c r="J25" s="2">
        <f>IF(A25="","",IF(B25="","共用",IF(H25="Y","排除（"&amp;B25&amp;"）",IF(SUMPRODUCT(($A$2:$A$500=A25)*($C$2:$C$500=C25)*($D$2:$D$500=D25)*($B$2:$B$500=""))&gt;0,"覆蓋共用（"&amp;B25&amp;"）","單元新增（"&amp;B25&amp;"）"))))</f>
        <v/>
      </c>
      <c r="K25" s="2">
        <f>IF(A25="","",IF(H25="Y","—",IF(AND(F25&lt;&gt;"",G25&lt;&gt;""),F25&amp;" ~ "&amp;G25,IF(G25&lt;&gt;"","≤ "&amp;G25,IF(F25&lt;&gt;"","≥ "&amp;F25,"只記錄、不檢核")))))</f>
        <v/>
      </c>
      <c r="L25" s="2">
        <f>IF(A25="","",IF(TRIM(IF(SUMPRODUCT(($A$2:$A$500=A25)*($B$2:$B$500=B25)*($C$2:$C$500=C25)*($D$2:$D$500=D25))&gt;1,"⚠ 欄位名稱重複 ","")&amp;IF(AND(B25&lt;&gt;"",NOT(ISNUMBER(SEARCH("、"&amp;B25&amp;"、","、"&amp;IFERROR(INDEX(表單!$I$2:$I$500,MATCH(A25,表單!$A$2:$A$500,0)),"")&amp;"、")))),"⚠ 單元不在適用單元內 ","")&amp;IF(AND(H25="Y",B25=""),"⚠ 排除只能用在單元列 ","")&amp;IF(AND(H25="Y",B25&lt;&gt;"",SUMPRODUCT(($A$2:$A$500=A25)*($C$2:$C$500=C25)*($D$2:$D$500=D25)*($B$2:$B$500=""))=0),"⚠ 排除需對應共用欄位 ","")&amp;IF(AND(ISNUMBER(F25),ISNUMBER(G25),F25&gt;G25),"⚠ 下限大於上限 ","")&amp;IF(SUMPRODUCT((檢查項目!$A$2:$A$500=A25)*(檢查項目!$C$2:$C$500=C25)*(檢查項目!$G$2:$G$500="數值"))=0,"⚠ 該項目不是數值類型 ",""))="","✓",TRIM(IF(SUMPRODUCT(($A$2:$A$500=A25)*($B$2:$B$500=B25)*($C$2:$C$500=C25)*($D$2:$D$500=D25))&gt;1,"⚠ 欄位名稱重複 ","")&amp;IF(AND(B25&lt;&gt;"",NOT(ISNUMBER(SEARCH("、"&amp;B25&amp;"、","、"&amp;IFERROR(INDEX(表單!$I$2:$I$500,MATCH(A25,表單!$A$2:$A$500,0)),"")&amp;"、")))),"⚠ 單元不在適用單元內 ","")&amp;IF(AND(H25="Y",B25=""),"⚠ 排除只能用在單元列 ","")&amp;IF(AND(H25="Y",B25&lt;&gt;"",SUMPRODUCT(($A$2:$A$500=A25)*($C$2:$C$500=C25)*($D$2:$D$500=D25)*($B$2:$B$500=""))=0),"⚠ 排除需對應共用欄位 ","")&amp;IF(AND(ISNUMBER(F25),ISNUMBER(G25),F25&gt;G25),"⚠ 下限大於上限 ","")&amp;IF(SUMPRODUCT((檢查項目!$A$2:$A$500=A25)*(檢查項目!$C$2:$C$500=C25)*(檢查項目!$G$2:$G$500="數值"))=0,"⚠ 該項目不是數值類型 ",""))))</f>
        <v/>
      </c>
    </row>
    <row r="26">
      <c r="I26" s="2">
        <f>IF(A26="","",IFERROR(INDEX(檢查項目!$E$2:$E$500,MATCH(1,INDEX((檢查項目!$A$2:$A$500=A26)*(檢查項目!$C$2:$C$500=C26)*(檢查項目!$B$2:$B$500=B26),0),0)),IFERROR(INDEX(檢查項目!$E$2:$E$500,MATCH(1,INDEX((檢查項目!$A$2:$A$500=A26)*(檢查項目!$C$2:$C$500=C26)*(檢查項目!$B$2:$B$500=""),0),0)),"⚠ 找不到項目")))</f>
        <v/>
      </c>
      <c r="J26" s="2">
        <f>IF(A26="","",IF(B26="","共用",IF(H26="Y","排除（"&amp;B26&amp;"）",IF(SUMPRODUCT(($A$2:$A$500=A26)*($C$2:$C$500=C26)*($D$2:$D$500=D26)*($B$2:$B$500=""))&gt;0,"覆蓋共用（"&amp;B26&amp;"）","單元新增（"&amp;B26&amp;"）"))))</f>
        <v/>
      </c>
      <c r="K26" s="2">
        <f>IF(A26="","",IF(H26="Y","—",IF(AND(F26&lt;&gt;"",G26&lt;&gt;""),F26&amp;" ~ "&amp;G26,IF(G26&lt;&gt;"","≤ "&amp;G26,IF(F26&lt;&gt;"","≥ "&amp;F26,"只記錄、不檢核")))))</f>
        <v/>
      </c>
      <c r="L26" s="2">
        <f>IF(A26="","",IF(TRIM(IF(SUMPRODUCT(($A$2:$A$500=A26)*($B$2:$B$500=B26)*($C$2:$C$500=C26)*($D$2:$D$500=D26))&gt;1,"⚠ 欄位名稱重複 ","")&amp;IF(AND(B26&lt;&gt;"",NOT(ISNUMBER(SEARCH("、"&amp;B26&amp;"、","、"&amp;IFERROR(INDEX(表單!$I$2:$I$500,MATCH(A26,表單!$A$2:$A$500,0)),"")&amp;"、")))),"⚠ 單元不在適用單元內 ","")&amp;IF(AND(H26="Y",B26=""),"⚠ 排除只能用在單元列 ","")&amp;IF(AND(H26="Y",B26&lt;&gt;"",SUMPRODUCT(($A$2:$A$500=A26)*($C$2:$C$500=C26)*($D$2:$D$500=D26)*($B$2:$B$500=""))=0),"⚠ 排除需對應共用欄位 ","")&amp;IF(AND(ISNUMBER(F26),ISNUMBER(G26),F26&gt;G26),"⚠ 下限大於上限 ","")&amp;IF(SUMPRODUCT((檢查項目!$A$2:$A$500=A26)*(檢查項目!$C$2:$C$500=C26)*(檢查項目!$G$2:$G$500="數值"))=0,"⚠ 該項目不是數值類型 ",""))="","✓",TRIM(IF(SUMPRODUCT(($A$2:$A$500=A26)*($B$2:$B$500=B26)*($C$2:$C$500=C26)*($D$2:$D$500=D26))&gt;1,"⚠ 欄位名稱重複 ","")&amp;IF(AND(B26&lt;&gt;"",NOT(ISNUMBER(SEARCH("、"&amp;B26&amp;"、","、"&amp;IFERROR(INDEX(表單!$I$2:$I$500,MATCH(A26,表單!$A$2:$A$500,0)),"")&amp;"、")))),"⚠ 單元不在適用單元內 ","")&amp;IF(AND(H26="Y",B26=""),"⚠ 排除只能用在單元列 ","")&amp;IF(AND(H26="Y",B26&lt;&gt;"",SUMPRODUCT(($A$2:$A$500=A26)*($C$2:$C$500=C26)*($D$2:$D$500=D26)*($B$2:$B$500=""))=0),"⚠ 排除需對應共用欄位 ","")&amp;IF(AND(ISNUMBER(F26),ISNUMBER(G26),F26&gt;G26),"⚠ 下限大於上限 ","")&amp;IF(SUMPRODUCT((檢查項目!$A$2:$A$500=A26)*(檢查項目!$C$2:$C$500=C26)*(檢查項目!$G$2:$G$500="數值"))=0,"⚠ 該項目不是數值類型 ",""))))</f>
        <v/>
      </c>
    </row>
    <row r="27">
      <c r="I27" s="2">
        <f>IF(A27="","",IFERROR(INDEX(檢查項目!$E$2:$E$500,MATCH(1,INDEX((檢查項目!$A$2:$A$500=A27)*(檢查項目!$C$2:$C$500=C27)*(檢查項目!$B$2:$B$500=B27),0),0)),IFERROR(INDEX(檢查項目!$E$2:$E$500,MATCH(1,INDEX((檢查項目!$A$2:$A$500=A27)*(檢查項目!$C$2:$C$500=C27)*(檢查項目!$B$2:$B$500=""),0),0)),"⚠ 找不到項目")))</f>
        <v/>
      </c>
      <c r="J27" s="2">
        <f>IF(A27="","",IF(B27="","共用",IF(H27="Y","排除（"&amp;B27&amp;"）",IF(SUMPRODUCT(($A$2:$A$500=A27)*($C$2:$C$500=C27)*($D$2:$D$500=D27)*($B$2:$B$500=""))&gt;0,"覆蓋共用（"&amp;B27&amp;"）","單元新增（"&amp;B27&amp;"）"))))</f>
        <v/>
      </c>
      <c r="K27" s="2">
        <f>IF(A27="","",IF(H27="Y","—",IF(AND(F27&lt;&gt;"",G27&lt;&gt;""),F27&amp;" ~ "&amp;G27,IF(G27&lt;&gt;"","≤ "&amp;G27,IF(F27&lt;&gt;"","≥ "&amp;F27,"只記錄、不檢核")))))</f>
        <v/>
      </c>
      <c r="L27" s="2">
        <f>IF(A27="","",IF(TRIM(IF(SUMPRODUCT(($A$2:$A$500=A27)*($B$2:$B$500=B27)*($C$2:$C$500=C27)*($D$2:$D$500=D27))&gt;1,"⚠ 欄位名稱重複 ","")&amp;IF(AND(B27&lt;&gt;"",NOT(ISNUMBER(SEARCH("、"&amp;B27&amp;"、","、"&amp;IFERROR(INDEX(表單!$I$2:$I$500,MATCH(A27,表單!$A$2:$A$500,0)),"")&amp;"、")))),"⚠ 單元不在適用單元內 ","")&amp;IF(AND(H27="Y",B27=""),"⚠ 排除只能用在單元列 ","")&amp;IF(AND(H27="Y",B27&lt;&gt;"",SUMPRODUCT(($A$2:$A$500=A27)*($C$2:$C$500=C27)*($D$2:$D$500=D27)*($B$2:$B$500=""))=0),"⚠ 排除需對應共用欄位 ","")&amp;IF(AND(ISNUMBER(F27),ISNUMBER(G27),F27&gt;G27),"⚠ 下限大於上限 ","")&amp;IF(SUMPRODUCT((檢查項目!$A$2:$A$500=A27)*(檢查項目!$C$2:$C$500=C27)*(檢查項目!$G$2:$G$500="數值"))=0,"⚠ 該項目不是數值類型 ",""))="","✓",TRIM(IF(SUMPRODUCT(($A$2:$A$500=A27)*($B$2:$B$500=B27)*($C$2:$C$500=C27)*($D$2:$D$500=D27))&gt;1,"⚠ 欄位名稱重複 ","")&amp;IF(AND(B27&lt;&gt;"",NOT(ISNUMBER(SEARCH("、"&amp;B27&amp;"、","、"&amp;IFERROR(INDEX(表單!$I$2:$I$500,MATCH(A27,表單!$A$2:$A$500,0)),"")&amp;"、")))),"⚠ 單元不在適用單元內 ","")&amp;IF(AND(H27="Y",B27=""),"⚠ 排除只能用在單元列 ","")&amp;IF(AND(H27="Y",B27&lt;&gt;"",SUMPRODUCT(($A$2:$A$500=A27)*($C$2:$C$500=C27)*($D$2:$D$500=D27)*($B$2:$B$500=""))=0),"⚠ 排除需對應共用欄位 ","")&amp;IF(AND(ISNUMBER(F27),ISNUMBER(G27),F27&gt;G27),"⚠ 下限大於上限 ","")&amp;IF(SUMPRODUCT((檢查項目!$A$2:$A$500=A27)*(檢查項目!$C$2:$C$500=C27)*(檢查項目!$G$2:$G$500="數值"))=0,"⚠ 該項目不是數值類型 ",""))))</f>
        <v/>
      </c>
    </row>
    <row r="28">
      <c r="I28" s="2">
        <f>IF(A28="","",IFERROR(INDEX(檢查項目!$E$2:$E$500,MATCH(1,INDEX((檢查項目!$A$2:$A$500=A28)*(檢查項目!$C$2:$C$500=C28)*(檢查項目!$B$2:$B$500=B28),0),0)),IFERROR(INDEX(檢查項目!$E$2:$E$500,MATCH(1,INDEX((檢查項目!$A$2:$A$500=A28)*(檢查項目!$C$2:$C$500=C28)*(檢查項目!$B$2:$B$500=""),0),0)),"⚠ 找不到項目")))</f>
        <v/>
      </c>
      <c r="J28" s="2">
        <f>IF(A28="","",IF(B28="","共用",IF(H28="Y","排除（"&amp;B28&amp;"）",IF(SUMPRODUCT(($A$2:$A$500=A28)*($C$2:$C$500=C28)*($D$2:$D$500=D28)*($B$2:$B$500=""))&gt;0,"覆蓋共用（"&amp;B28&amp;"）","單元新增（"&amp;B28&amp;"）"))))</f>
        <v/>
      </c>
      <c r="K28" s="2">
        <f>IF(A28="","",IF(H28="Y","—",IF(AND(F28&lt;&gt;"",G28&lt;&gt;""),F28&amp;" ~ "&amp;G28,IF(G28&lt;&gt;"","≤ "&amp;G28,IF(F28&lt;&gt;"","≥ "&amp;F28,"只記錄、不檢核")))))</f>
        <v/>
      </c>
      <c r="L28" s="2">
        <f>IF(A28="","",IF(TRIM(IF(SUMPRODUCT(($A$2:$A$500=A28)*($B$2:$B$500=B28)*($C$2:$C$500=C28)*($D$2:$D$500=D28))&gt;1,"⚠ 欄位名稱重複 ","")&amp;IF(AND(B28&lt;&gt;"",NOT(ISNUMBER(SEARCH("、"&amp;B28&amp;"、","、"&amp;IFERROR(INDEX(表單!$I$2:$I$500,MATCH(A28,表單!$A$2:$A$500,0)),"")&amp;"、")))),"⚠ 單元不在適用單元內 ","")&amp;IF(AND(H28="Y",B28=""),"⚠ 排除只能用在單元列 ","")&amp;IF(AND(H28="Y",B28&lt;&gt;"",SUMPRODUCT(($A$2:$A$500=A28)*($C$2:$C$500=C28)*($D$2:$D$500=D28)*($B$2:$B$500=""))=0),"⚠ 排除需對應共用欄位 ","")&amp;IF(AND(ISNUMBER(F28),ISNUMBER(G28),F28&gt;G28),"⚠ 下限大於上限 ","")&amp;IF(SUMPRODUCT((檢查項目!$A$2:$A$500=A28)*(檢查項目!$C$2:$C$500=C28)*(檢查項目!$G$2:$G$500="數值"))=0,"⚠ 該項目不是數值類型 ",""))="","✓",TRIM(IF(SUMPRODUCT(($A$2:$A$500=A28)*($B$2:$B$500=B28)*($C$2:$C$500=C28)*($D$2:$D$500=D28))&gt;1,"⚠ 欄位名稱重複 ","")&amp;IF(AND(B28&lt;&gt;"",NOT(ISNUMBER(SEARCH("、"&amp;B28&amp;"、","、"&amp;IFERROR(INDEX(表單!$I$2:$I$500,MATCH(A28,表單!$A$2:$A$500,0)),"")&amp;"、")))),"⚠ 單元不在適用單元內 ","")&amp;IF(AND(H28="Y",B28=""),"⚠ 排除只能用在單元列 ","")&amp;IF(AND(H28="Y",B28&lt;&gt;"",SUMPRODUCT(($A$2:$A$500=A28)*($C$2:$C$500=C28)*($D$2:$D$500=D28)*($B$2:$B$500=""))=0),"⚠ 排除需對應共用欄位 ","")&amp;IF(AND(ISNUMBER(F28),ISNUMBER(G28),F28&gt;G28),"⚠ 下限大於上限 ","")&amp;IF(SUMPRODUCT((檢查項目!$A$2:$A$500=A28)*(檢查項目!$C$2:$C$500=C28)*(檢查項目!$G$2:$G$500="數值"))=0,"⚠ 該項目不是數值類型 ",""))))</f>
        <v/>
      </c>
    </row>
    <row r="29">
      <c r="I29" s="2">
        <f>IF(A29="","",IFERROR(INDEX(檢查項目!$E$2:$E$500,MATCH(1,INDEX((檢查項目!$A$2:$A$500=A29)*(檢查項目!$C$2:$C$500=C29)*(檢查項目!$B$2:$B$500=B29),0),0)),IFERROR(INDEX(檢查項目!$E$2:$E$500,MATCH(1,INDEX((檢查項目!$A$2:$A$500=A29)*(檢查項目!$C$2:$C$500=C29)*(檢查項目!$B$2:$B$500=""),0),0)),"⚠ 找不到項目")))</f>
        <v/>
      </c>
      <c r="J29" s="2">
        <f>IF(A29="","",IF(B29="","共用",IF(H29="Y","排除（"&amp;B29&amp;"）",IF(SUMPRODUCT(($A$2:$A$500=A29)*($C$2:$C$500=C29)*($D$2:$D$500=D29)*($B$2:$B$500=""))&gt;0,"覆蓋共用（"&amp;B29&amp;"）","單元新增（"&amp;B29&amp;"）"))))</f>
        <v/>
      </c>
      <c r="K29" s="2">
        <f>IF(A29="","",IF(H29="Y","—",IF(AND(F29&lt;&gt;"",G29&lt;&gt;""),F29&amp;" ~ "&amp;G29,IF(G29&lt;&gt;"","≤ "&amp;G29,IF(F29&lt;&gt;"","≥ "&amp;F29,"只記錄、不檢核")))))</f>
        <v/>
      </c>
      <c r="L29" s="2">
        <f>IF(A29="","",IF(TRIM(IF(SUMPRODUCT(($A$2:$A$500=A29)*($B$2:$B$500=B29)*($C$2:$C$500=C29)*($D$2:$D$500=D29))&gt;1,"⚠ 欄位名稱重複 ","")&amp;IF(AND(B29&lt;&gt;"",NOT(ISNUMBER(SEARCH("、"&amp;B29&amp;"、","、"&amp;IFERROR(INDEX(表單!$I$2:$I$500,MATCH(A29,表單!$A$2:$A$500,0)),"")&amp;"、")))),"⚠ 單元不在適用單元內 ","")&amp;IF(AND(H29="Y",B29=""),"⚠ 排除只能用在單元列 ","")&amp;IF(AND(H29="Y",B29&lt;&gt;"",SUMPRODUCT(($A$2:$A$500=A29)*($C$2:$C$500=C29)*($D$2:$D$500=D29)*($B$2:$B$500=""))=0),"⚠ 排除需對應共用欄位 ","")&amp;IF(AND(ISNUMBER(F29),ISNUMBER(G29),F29&gt;G29),"⚠ 下限大於上限 ","")&amp;IF(SUMPRODUCT((檢查項目!$A$2:$A$500=A29)*(檢查項目!$C$2:$C$500=C29)*(檢查項目!$G$2:$G$500="數值"))=0,"⚠ 該項目不是數值類型 ",""))="","✓",TRIM(IF(SUMPRODUCT(($A$2:$A$500=A29)*($B$2:$B$500=B29)*($C$2:$C$500=C29)*($D$2:$D$500=D29))&gt;1,"⚠ 欄位名稱重複 ","")&amp;IF(AND(B29&lt;&gt;"",NOT(ISNUMBER(SEARCH("、"&amp;B29&amp;"、","、"&amp;IFERROR(INDEX(表單!$I$2:$I$500,MATCH(A29,表單!$A$2:$A$500,0)),"")&amp;"、")))),"⚠ 單元不在適用單元內 ","")&amp;IF(AND(H29="Y",B29=""),"⚠ 排除只能用在單元列 ","")&amp;IF(AND(H29="Y",B29&lt;&gt;"",SUMPRODUCT(($A$2:$A$500=A29)*($C$2:$C$500=C29)*($D$2:$D$500=D29)*($B$2:$B$500=""))=0),"⚠ 排除需對應共用欄位 ","")&amp;IF(AND(ISNUMBER(F29),ISNUMBER(G29),F29&gt;G29),"⚠ 下限大於上限 ","")&amp;IF(SUMPRODUCT((檢查項目!$A$2:$A$500=A29)*(檢查項目!$C$2:$C$500=C29)*(檢查項目!$G$2:$G$500="數值"))=0,"⚠ 該項目不是數值類型 ",""))))</f>
        <v/>
      </c>
    </row>
    <row r="30">
      <c r="I30" s="2">
        <f>IF(A30="","",IFERROR(INDEX(檢查項目!$E$2:$E$500,MATCH(1,INDEX((檢查項目!$A$2:$A$500=A30)*(檢查項目!$C$2:$C$500=C30)*(檢查項目!$B$2:$B$500=B30),0),0)),IFERROR(INDEX(檢查項目!$E$2:$E$500,MATCH(1,INDEX((檢查項目!$A$2:$A$500=A30)*(檢查項目!$C$2:$C$500=C30)*(檢查項目!$B$2:$B$500=""),0),0)),"⚠ 找不到項目")))</f>
        <v/>
      </c>
      <c r="J30" s="2">
        <f>IF(A30="","",IF(B30="","共用",IF(H30="Y","排除（"&amp;B30&amp;"）",IF(SUMPRODUCT(($A$2:$A$500=A30)*($C$2:$C$500=C30)*($D$2:$D$500=D30)*($B$2:$B$500=""))&gt;0,"覆蓋共用（"&amp;B30&amp;"）","單元新增（"&amp;B30&amp;"）"))))</f>
        <v/>
      </c>
      <c r="K30" s="2">
        <f>IF(A30="","",IF(H30="Y","—",IF(AND(F30&lt;&gt;"",G30&lt;&gt;""),F30&amp;" ~ "&amp;G30,IF(G30&lt;&gt;"","≤ "&amp;G30,IF(F30&lt;&gt;"","≥ "&amp;F30,"只記錄、不檢核")))))</f>
        <v/>
      </c>
      <c r="L30" s="2">
        <f>IF(A30="","",IF(TRIM(IF(SUMPRODUCT(($A$2:$A$500=A30)*($B$2:$B$500=B30)*($C$2:$C$500=C30)*($D$2:$D$500=D30))&gt;1,"⚠ 欄位名稱重複 ","")&amp;IF(AND(B30&lt;&gt;"",NOT(ISNUMBER(SEARCH("、"&amp;B30&amp;"、","、"&amp;IFERROR(INDEX(表單!$I$2:$I$500,MATCH(A30,表單!$A$2:$A$500,0)),"")&amp;"、")))),"⚠ 單元不在適用單元內 ","")&amp;IF(AND(H30="Y",B30=""),"⚠ 排除只能用在單元列 ","")&amp;IF(AND(H30="Y",B30&lt;&gt;"",SUMPRODUCT(($A$2:$A$500=A30)*($C$2:$C$500=C30)*($D$2:$D$500=D30)*($B$2:$B$500=""))=0),"⚠ 排除需對應共用欄位 ","")&amp;IF(AND(ISNUMBER(F30),ISNUMBER(G30),F30&gt;G30),"⚠ 下限大於上限 ","")&amp;IF(SUMPRODUCT((檢查項目!$A$2:$A$500=A30)*(檢查項目!$C$2:$C$500=C30)*(檢查項目!$G$2:$G$500="數值"))=0,"⚠ 該項目不是數值類型 ",""))="","✓",TRIM(IF(SUMPRODUCT(($A$2:$A$500=A30)*($B$2:$B$500=B30)*($C$2:$C$500=C30)*($D$2:$D$500=D30))&gt;1,"⚠ 欄位名稱重複 ","")&amp;IF(AND(B30&lt;&gt;"",NOT(ISNUMBER(SEARCH("、"&amp;B30&amp;"、","、"&amp;IFERROR(INDEX(表單!$I$2:$I$500,MATCH(A30,表單!$A$2:$A$500,0)),"")&amp;"、")))),"⚠ 單元不在適用單元內 ","")&amp;IF(AND(H30="Y",B30=""),"⚠ 排除只能用在單元列 ","")&amp;IF(AND(H30="Y",B30&lt;&gt;"",SUMPRODUCT(($A$2:$A$500=A30)*($C$2:$C$500=C30)*($D$2:$D$500=D30)*($B$2:$B$500=""))=0),"⚠ 排除需對應共用欄位 ","")&amp;IF(AND(ISNUMBER(F30),ISNUMBER(G30),F30&gt;G30),"⚠ 下限大於上限 ","")&amp;IF(SUMPRODUCT((檢查項目!$A$2:$A$500=A30)*(檢查項目!$C$2:$C$500=C30)*(檢查項目!$G$2:$G$500="數值"))=0,"⚠ 該項目不是數值類型 ",""))))</f>
        <v/>
      </c>
    </row>
    <row r="31">
      <c r="I31" s="2">
        <f>IF(A31="","",IFERROR(INDEX(檢查項目!$E$2:$E$500,MATCH(1,INDEX((檢查項目!$A$2:$A$500=A31)*(檢查項目!$C$2:$C$500=C31)*(檢查項目!$B$2:$B$500=B31),0),0)),IFERROR(INDEX(檢查項目!$E$2:$E$500,MATCH(1,INDEX((檢查項目!$A$2:$A$500=A31)*(檢查項目!$C$2:$C$500=C31)*(檢查項目!$B$2:$B$500=""),0),0)),"⚠ 找不到項目")))</f>
        <v/>
      </c>
      <c r="J31" s="2">
        <f>IF(A31="","",IF(B31="","共用",IF(H31="Y","排除（"&amp;B31&amp;"）",IF(SUMPRODUCT(($A$2:$A$500=A31)*($C$2:$C$500=C31)*($D$2:$D$500=D31)*($B$2:$B$500=""))&gt;0,"覆蓋共用（"&amp;B31&amp;"）","單元新增（"&amp;B31&amp;"）"))))</f>
        <v/>
      </c>
      <c r="K31" s="2">
        <f>IF(A31="","",IF(H31="Y","—",IF(AND(F31&lt;&gt;"",G31&lt;&gt;""),F31&amp;" ~ "&amp;G31,IF(G31&lt;&gt;"","≤ "&amp;G31,IF(F31&lt;&gt;"","≥ "&amp;F31,"只記錄、不檢核")))))</f>
        <v/>
      </c>
      <c r="L31" s="2">
        <f>IF(A31="","",IF(TRIM(IF(SUMPRODUCT(($A$2:$A$500=A31)*($B$2:$B$500=B31)*($C$2:$C$500=C31)*($D$2:$D$500=D31))&gt;1,"⚠ 欄位名稱重複 ","")&amp;IF(AND(B31&lt;&gt;"",NOT(ISNUMBER(SEARCH("、"&amp;B31&amp;"、","、"&amp;IFERROR(INDEX(表單!$I$2:$I$500,MATCH(A31,表單!$A$2:$A$500,0)),"")&amp;"、")))),"⚠ 單元不在適用單元內 ","")&amp;IF(AND(H31="Y",B31=""),"⚠ 排除只能用在單元列 ","")&amp;IF(AND(H31="Y",B31&lt;&gt;"",SUMPRODUCT(($A$2:$A$500=A31)*($C$2:$C$500=C31)*($D$2:$D$500=D31)*($B$2:$B$500=""))=0),"⚠ 排除需對應共用欄位 ","")&amp;IF(AND(ISNUMBER(F31),ISNUMBER(G31),F31&gt;G31),"⚠ 下限大於上限 ","")&amp;IF(SUMPRODUCT((檢查項目!$A$2:$A$500=A31)*(檢查項目!$C$2:$C$500=C31)*(檢查項目!$G$2:$G$500="數值"))=0,"⚠ 該項目不是數值類型 ",""))="","✓",TRIM(IF(SUMPRODUCT(($A$2:$A$500=A31)*($B$2:$B$500=B31)*($C$2:$C$500=C31)*($D$2:$D$500=D31))&gt;1,"⚠ 欄位名稱重複 ","")&amp;IF(AND(B31&lt;&gt;"",NOT(ISNUMBER(SEARCH("、"&amp;B31&amp;"、","、"&amp;IFERROR(INDEX(表單!$I$2:$I$500,MATCH(A31,表單!$A$2:$A$500,0)),"")&amp;"、")))),"⚠ 單元不在適用單元內 ","")&amp;IF(AND(H31="Y",B31=""),"⚠ 排除只能用在單元列 ","")&amp;IF(AND(H31="Y",B31&lt;&gt;"",SUMPRODUCT(($A$2:$A$500=A31)*($C$2:$C$500=C31)*($D$2:$D$500=D31)*($B$2:$B$500=""))=0),"⚠ 排除需對應共用欄位 ","")&amp;IF(AND(ISNUMBER(F31),ISNUMBER(G31),F31&gt;G31),"⚠ 下限大於上限 ","")&amp;IF(SUMPRODUCT((檢查項目!$A$2:$A$500=A31)*(檢查項目!$C$2:$C$500=C31)*(檢查項目!$G$2:$G$500="數值"))=0,"⚠ 該項目不是數值類型 ",""))))</f>
        <v/>
      </c>
    </row>
    <row r="32">
      <c r="I32" s="2">
        <f>IF(A32="","",IFERROR(INDEX(檢查項目!$E$2:$E$500,MATCH(1,INDEX((檢查項目!$A$2:$A$500=A32)*(檢查項目!$C$2:$C$500=C32)*(檢查項目!$B$2:$B$500=B32),0),0)),IFERROR(INDEX(檢查項目!$E$2:$E$500,MATCH(1,INDEX((檢查項目!$A$2:$A$500=A32)*(檢查項目!$C$2:$C$500=C32)*(檢查項目!$B$2:$B$500=""),0),0)),"⚠ 找不到項目")))</f>
        <v/>
      </c>
      <c r="J32" s="2">
        <f>IF(A32="","",IF(B32="","共用",IF(H32="Y","排除（"&amp;B32&amp;"）",IF(SUMPRODUCT(($A$2:$A$500=A32)*($C$2:$C$500=C32)*($D$2:$D$500=D32)*($B$2:$B$500=""))&gt;0,"覆蓋共用（"&amp;B32&amp;"）","單元新增（"&amp;B32&amp;"）"))))</f>
        <v/>
      </c>
      <c r="K32" s="2">
        <f>IF(A32="","",IF(H32="Y","—",IF(AND(F32&lt;&gt;"",G32&lt;&gt;""),F32&amp;" ~ "&amp;G32,IF(G32&lt;&gt;"","≤ "&amp;G32,IF(F32&lt;&gt;"","≥ "&amp;F32,"只記錄、不檢核")))))</f>
        <v/>
      </c>
      <c r="L32" s="2">
        <f>IF(A32="","",IF(TRIM(IF(SUMPRODUCT(($A$2:$A$500=A32)*($B$2:$B$500=B32)*($C$2:$C$500=C32)*($D$2:$D$500=D32))&gt;1,"⚠ 欄位名稱重複 ","")&amp;IF(AND(B32&lt;&gt;"",NOT(ISNUMBER(SEARCH("、"&amp;B32&amp;"、","、"&amp;IFERROR(INDEX(表單!$I$2:$I$500,MATCH(A32,表單!$A$2:$A$500,0)),"")&amp;"、")))),"⚠ 單元不在適用單元內 ","")&amp;IF(AND(H32="Y",B32=""),"⚠ 排除只能用在單元列 ","")&amp;IF(AND(H32="Y",B32&lt;&gt;"",SUMPRODUCT(($A$2:$A$500=A32)*($C$2:$C$500=C32)*($D$2:$D$500=D32)*($B$2:$B$500=""))=0),"⚠ 排除需對應共用欄位 ","")&amp;IF(AND(ISNUMBER(F32),ISNUMBER(G32),F32&gt;G32),"⚠ 下限大於上限 ","")&amp;IF(SUMPRODUCT((檢查項目!$A$2:$A$500=A32)*(檢查項目!$C$2:$C$500=C32)*(檢查項目!$G$2:$G$500="數值"))=0,"⚠ 該項目不是數值類型 ",""))="","✓",TRIM(IF(SUMPRODUCT(($A$2:$A$500=A32)*($B$2:$B$500=B32)*($C$2:$C$500=C32)*($D$2:$D$500=D32))&gt;1,"⚠ 欄位名稱重複 ","")&amp;IF(AND(B32&lt;&gt;"",NOT(ISNUMBER(SEARCH("、"&amp;B32&amp;"、","、"&amp;IFERROR(INDEX(表單!$I$2:$I$500,MATCH(A32,表單!$A$2:$A$500,0)),"")&amp;"、")))),"⚠ 單元不在適用單元內 ","")&amp;IF(AND(H32="Y",B32=""),"⚠ 排除只能用在單元列 ","")&amp;IF(AND(H32="Y",B32&lt;&gt;"",SUMPRODUCT(($A$2:$A$500=A32)*($C$2:$C$500=C32)*($D$2:$D$500=D32)*($B$2:$B$500=""))=0),"⚠ 排除需對應共用欄位 ","")&amp;IF(AND(ISNUMBER(F32),ISNUMBER(G32),F32&gt;G32),"⚠ 下限大於上限 ","")&amp;IF(SUMPRODUCT((檢查項目!$A$2:$A$500=A32)*(檢查項目!$C$2:$C$500=C32)*(檢查項目!$G$2:$G$500="數值"))=0,"⚠ 該項目不是數值類型 ",""))))</f>
        <v/>
      </c>
    </row>
    <row r="33">
      <c r="I33" s="2">
        <f>IF(A33="","",IFERROR(INDEX(檢查項目!$E$2:$E$500,MATCH(1,INDEX((檢查項目!$A$2:$A$500=A33)*(檢查項目!$C$2:$C$500=C33)*(檢查項目!$B$2:$B$500=B33),0),0)),IFERROR(INDEX(檢查項目!$E$2:$E$500,MATCH(1,INDEX((檢查項目!$A$2:$A$500=A33)*(檢查項目!$C$2:$C$500=C33)*(檢查項目!$B$2:$B$500=""),0),0)),"⚠ 找不到項目")))</f>
        <v/>
      </c>
      <c r="J33" s="2">
        <f>IF(A33="","",IF(B33="","共用",IF(H33="Y","排除（"&amp;B33&amp;"）",IF(SUMPRODUCT(($A$2:$A$500=A33)*($C$2:$C$500=C33)*($D$2:$D$500=D33)*($B$2:$B$500=""))&gt;0,"覆蓋共用（"&amp;B33&amp;"）","單元新增（"&amp;B33&amp;"）"))))</f>
        <v/>
      </c>
      <c r="K33" s="2">
        <f>IF(A33="","",IF(H33="Y","—",IF(AND(F33&lt;&gt;"",G33&lt;&gt;""),F33&amp;" ~ "&amp;G33,IF(G33&lt;&gt;"","≤ "&amp;G33,IF(F33&lt;&gt;"","≥ "&amp;F33,"只記錄、不檢核")))))</f>
        <v/>
      </c>
      <c r="L33" s="2">
        <f>IF(A33="","",IF(TRIM(IF(SUMPRODUCT(($A$2:$A$500=A33)*($B$2:$B$500=B33)*($C$2:$C$500=C33)*($D$2:$D$500=D33))&gt;1,"⚠ 欄位名稱重複 ","")&amp;IF(AND(B33&lt;&gt;"",NOT(ISNUMBER(SEARCH("、"&amp;B33&amp;"、","、"&amp;IFERROR(INDEX(表單!$I$2:$I$500,MATCH(A33,表單!$A$2:$A$500,0)),"")&amp;"、")))),"⚠ 單元不在適用單元內 ","")&amp;IF(AND(H33="Y",B33=""),"⚠ 排除只能用在單元列 ","")&amp;IF(AND(H33="Y",B33&lt;&gt;"",SUMPRODUCT(($A$2:$A$500=A33)*($C$2:$C$500=C33)*($D$2:$D$500=D33)*($B$2:$B$500=""))=0),"⚠ 排除需對應共用欄位 ","")&amp;IF(AND(ISNUMBER(F33),ISNUMBER(G33),F33&gt;G33),"⚠ 下限大於上限 ","")&amp;IF(SUMPRODUCT((檢查項目!$A$2:$A$500=A33)*(檢查項目!$C$2:$C$500=C33)*(檢查項目!$G$2:$G$500="數值"))=0,"⚠ 該項目不是數值類型 ",""))="","✓",TRIM(IF(SUMPRODUCT(($A$2:$A$500=A33)*($B$2:$B$500=B33)*($C$2:$C$500=C33)*($D$2:$D$500=D33))&gt;1,"⚠ 欄位名稱重複 ","")&amp;IF(AND(B33&lt;&gt;"",NOT(ISNUMBER(SEARCH("、"&amp;B33&amp;"、","、"&amp;IFERROR(INDEX(表單!$I$2:$I$500,MATCH(A33,表單!$A$2:$A$500,0)),"")&amp;"、")))),"⚠ 單元不在適用單元內 ","")&amp;IF(AND(H33="Y",B33=""),"⚠ 排除只能用在單元列 ","")&amp;IF(AND(H33="Y",B33&lt;&gt;"",SUMPRODUCT(($A$2:$A$500=A33)*($C$2:$C$500=C33)*($D$2:$D$500=D33)*($B$2:$B$500=""))=0),"⚠ 排除需對應共用欄位 ","")&amp;IF(AND(ISNUMBER(F33),ISNUMBER(G33),F33&gt;G33),"⚠ 下限大於上限 ","")&amp;IF(SUMPRODUCT((檢查項目!$A$2:$A$500=A33)*(檢查項目!$C$2:$C$500=C33)*(檢查項目!$G$2:$G$500="數值"))=0,"⚠ 該項目不是數值類型 ",""))))</f>
        <v/>
      </c>
    </row>
    <row r="34">
      <c r="I34" s="2">
        <f>IF(A34="","",IFERROR(INDEX(檢查項目!$E$2:$E$500,MATCH(1,INDEX((檢查項目!$A$2:$A$500=A34)*(檢查項目!$C$2:$C$500=C34)*(檢查項目!$B$2:$B$500=B34),0),0)),IFERROR(INDEX(檢查項目!$E$2:$E$500,MATCH(1,INDEX((檢查項目!$A$2:$A$500=A34)*(檢查項目!$C$2:$C$500=C34)*(檢查項目!$B$2:$B$500=""),0),0)),"⚠ 找不到項目")))</f>
        <v/>
      </c>
      <c r="J34" s="2">
        <f>IF(A34="","",IF(B34="","共用",IF(H34="Y","排除（"&amp;B34&amp;"）",IF(SUMPRODUCT(($A$2:$A$500=A34)*($C$2:$C$500=C34)*($D$2:$D$500=D34)*($B$2:$B$500=""))&gt;0,"覆蓋共用（"&amp;B34&amp;"）","單元新增（"&amp;B34&amp;"）"))))</f>
        <v/>
      </c>
      <c r="K34" s="2">
        <f>IF(A34="","",IF(H34="Y","—",IF(AND(F34&lt;&gt;"",G34&lt;&gt;""),F34&amp;" ~ "&amp;G34,IF(G34&lt;&gt;"","≤ "&amp;G34,IF(F34&lt;&gt;"","≥ "&amp;F34,"只記錄、不檢核")))))</f>
        <v/>
      </c>
      <c r="L34" s="2">
        <f>IF(A34="","",IF(TRIM(IF(SUMPRODUCT(($A$2:$A$500=A34)*($B$2:$B$500=B34)*($C$2:$C$500=C34)*($D$2:$D$500=D34))&gt;1,"⚠ 欄位名稱重複 ","")&amp;IF(AND(B34&lt;&gt;"",NOT(ISNUMBER(SEARCH("、"&amp;B34&amp;"、","、"&amp;IFERROR(INDEX(表單!$I$2:$I$500,MATCH(A34,表單!$A$2:$A$500,0)),"")&amp;"、")))),"⚠ 單元不在適用單元內 ","")&amp;IF(AND(H34="Y",B34=""),"⚠ 排除只能用在單元列 ","")&amp;IF(AND(H34="Y",B34&lt;&gt;"",SUMPRODUCT(($A$2:$A$500=A34)*($C$2:$C$500=C34)*($D$2:$D$500=D34)*($B$2:$B$500=""))=0),"⚠ 排除需對應共用欄位 ","")&amp;IF(AND(ISNUMBER(F34),ISNUMBER(G34),F34&gt;G34),"⚠ 下限大於上限 ","")&amp;IF(SUMPRODUCT((檢查項目!$A$2:$A$500=A34)*(檢查項目!$C$2:$C$500=C34)*(檢查項目!$G$2:$G$500="數值"))=0,"⚠ 該項目不是數值類型 ",""))="","✓",TRIM(IF(SUMPRODUCT(($A$2:$A$500=A34)*($B$2:$B$500=B34)*($C$2:$C$500=C34)*($D$2:$D$500=D34))&gt;1,"⚠ 欄位名稱重複 ","")&amp;IF(AND(B34&lt;&gt;"",NOT(ISNUMBER(SEARCH("、"&amp;B34&amp;"、","、"&amp;IFERROR(INDEX(表單!$I$2:$I$500,MATCH(A34,表單!$A$2:$A$500,0)),"")&amp;"、")))),"⚠ 單元不在適用單元內 ","")&amp;IF(AND(H34="Y",B34=""),"⚠ 排除只能用在單元列 ","")&amp;IF(AND(H34="Y",B34&lt;&gt;"",SUMPRODUCT(($A$2:$A$500=A34)*($C$2:$C$500=C34)*($D$2:$D$500=D34)*($B$2:$B$500=""))=0),"⚠ 排除需對應共用欄位 ","")&amp;IF(AND(ISNUMBER(F34),ISNUMBER(G34),F34&gt;G34),"⚠ 下限大於上限 ","")&amp;IF(SUMPRODUCT((檢查項目!$A$2:$A$500=A34)*(檢查項目!$C$2:$C$500=C34)*(檢查項目!$G$2:$G$500="數值"))=0,"⚠ 該項目不是數值類型 ",""))))</f>
        <v/>
      </c>
    </row>
    <row r="35">
      <c r="I35" s="2">
        <f>IF(A35="","",IFERROR(INDEX(檢查項目!$E$2:$E$500,MATCH(1,INDEX((檢查項目!$A$2:$A$500=A35)*(檢查項目!$C$2:$C$500=C35)*(檢查項目!$B$2:$B$500=B35),0),0)),IFERROR(INDEX(檢查項目!$E$2:$E$500,MATCH(1,INDEX((檢查項目!$A$2:$A$500=A35)*(檢查項目!$C$2:$C$500=C35)*(檢查項目!$B$2:$B$500=""),0),0)),"⚠ 找不到項目")))</f>
        <v/>
      </c>
      <c r="J35" s="2">
        <f>IF(A35="","",IF(B35="","共用",IF(H35="Y","排除（"&amp;B35&amp;"）",IF(SUMPRODUCT(($A$2:$A$500=A35)*($C$2:$C$500=C35)*($D$2:$D$500=D35)*($B$2:$B$500=""))&gt;0,"覆蓋共用（"&amp;B35&amp;"）","單元新增（"&amp;B35&amp;"）"))))</f>
        <v/>
      </c>
      <c r="K35" s="2">
        <f>IF(A35="","",IF(H35="Y","—",IF(AND(F35&lt;&gt;"",G35&lt;&gt;""),F35&amp;" ~ "&amp;G35,IF(G35&lt;&gt;"","≤ "&amp;G35,IF(F35&lt;&gt;"","≥ "&amp;F35,"只記錄、不檢核")))))</f>
        <v/>
      </c>
      <c r="L35" s="2">
        <f>IF(A35="","",IF(TRIM(IF(SUMPRODUCT(($A$2:$A$500=A35)*($B$2:$B$500=B35)*($C$2:$C$500=C35)*($D$2:$D$500=D35))&gt;1,"⚠ 欄位名稱重複 ","")&amp;IF(AND(B35&lt;&gt;"",NOT(ISNUMBER(SEARCH("、"&amp;B35&amp;"、","、"&amp;IFERROR(INDEX(表單!$I$2:$I$500,MATCH(A35,表單!$A$2:$A$500,0)),"")&amp;"、")))),"⚠ 單元不在適用單元內 ","")&amp;IF(AND(H35="Y",B35=""),"⚠ 排除只能用在單元列 ","")&amp;IF(AND(H35="Y",B35&lt;&gt;"",SUMPRODUCT(($A$2:$A$500=A35)*($C$2:$C$500=C35)*($D$2:$D$500=D35)*($B$2:$B$500=""))=0),"⚠ 排除需對應共用欄位 ","")&amp;IF(AND(ISNUMBER(F35),ISNUMBER(G35),F35&gt;G35),"⚠ 下限大於上限 ","")&amp;IF(SUMPRODUCT((檢查項目!$A$2:$A$500=A35)*(檢查項目!$C$2:$C$500=C35)*(檢查項目!$G$2:$G$500="數值"))=0,"⚠ 該項目不是數值類型 ",""))="","✓",TRIM(IF(SUMPRODUCT(($A$2:$A$500=A35)*($B$2:$B$500=B35)*($C$2:$C$500=C35)*($D$2:$D$500=D35))&gt;1,"⚠ 欄位名稱重複 ","")&amp;IF(AND(B35&lt;&gt;"",NOT(ISNUMBER(SEARCH("、"&amp;B35&amp;"、","、"&amp;IFERROR(INDEX(表單!$I$2:$I$500,MATCH(A35,表單!$A$2:$A$500,0)),"")&amp;"、")))),"⚠ 單元不在適用單元內 ","")&amp;IF(AND(H35="Y",B35=""),"⚠ 排除只能用在單元列 ","")&amp;IF(AND(H35="Y",B35&lt;&gt;"",SUMPRODUCT(($A$2:$A$500=A35)*($C$2:$C$500=C35)*($D$2:$D$500=D35)*($B$2:$B$500=""))=0),"⚠ 排除需對應共用欄位 ","")&amp;IF(AND(ISNUMBER(F35),ISNUMBER(G35),F35&gt;G35),"⚠ 下限大於上限 ","")&amp;IF(SUMPRODUCT((檢查項目!$A$2:$A$500=A35)*(檢查項目!$C$2:$C$500=C35)*(檢查項目!$G$2:$G$500="數值"))=0,"⚠ 該項目不是數值類型 ",""))))</f>
        <v/>
      </c>
    </row>
    <row r="36">
      <c r="I36" s="2">
        <f>IF(A36="","",IFERROR(INDEX(檢查項目!$E$2:$E$500,MATCH(1,INDEX((檢查項目!$A$2:$A$500=A36)*(檢查項目!$C$2:$C$500=C36)*(檢查項目!$B$2:$B$500=B36),0),0)),IFERROR(INDEX(檢查項目!$E$2:$E$500,MATCH(1,INDEX((檢查項目!$A$2:$A$500=A36)*(檢查項目!$C$2:$C$500=C36)*(檢查項目!$B$2:$B$500=""),0),0)),"⚠ 找不到項目")))</f>
        <v/>
      </c>
      <c r="J36" s="2">
        <f>IF(A36="","",IF(B36="","共用",IF(H36="Y","排除（"&amp;B36&amp;"）",IF(SUMPRODUCT(($A$2:$A$500=A36)*($C$2:$C$500=C36)*($D$2:$D$500=D36)*($B$2:$B$500=""))&gt;0,"覆蓋共用（"&amp;B36&amp;"）","單元新增（"&amp;B36&amp;"）"))))</f>
        <v/>
      </c>
      <c r="K36" s="2">
        <f>IF(A36="","",IF(H36="Y","—",IF(AND(F36&lt;&gt;"",G36&lt;&gt;""),F36&amp;" ~ "&amp;G36,IF(G36&lt;&gt;"","≤ "&amp;G36,IF(F36&lt;&gt;"","≥ "&amp;F36,"只記錄、不檢核")))))</f>
        <v/>
      </c>
      <c r="L36" s="2">
        <f>IF(A36="","",IF(TRIM(IF(SUMPRODUCT(($A$2:$A$500=A36)*($B$2:$B$500=B36)*($C$2:$C$500=C36)*($D$2:$D$500=D36))&gt;1,"⚠ 欄位名稱重複 ","")&amp;IF(AND(B36&lt;&gt;"",NOT(ISNUMBER(SEARCH("、"&amp;B36&amp;"、","、"&amp;IFERROR(INDEX(表單!$I$2:$I$500,MATCH(A36,表單!$A$2:$A$500,0)),"")&amp;"、")))),"⚠ 單元不在適用單元內 ","")&amp;IF(AND(H36="Y",B36=""),"⚠ 排除只能用在單元列 ","")&amp;IF(AND(H36="Y",B36&lt;&gt;"",SUMPRODUCT(($A$2:$A$500=A36)*($C$2:$C$500=C36)*($D$2:$D$500=D36)*($B$2:$B$500=""))=0),"⚠ 排除需對應共用欄位 ","")&amp;IF(AND(ISNUMBER(F36),ISNUMBER(G36),F36&gt;G36),"⚠ 下限大於上限 ","")&amp;IF(SUMPRODUCT((檢查項目!$A$2:$A$500=A36)*(檢查項目!$C$2:$C$500=C36)*(檢查項目!$G$2:$G$500="數值"))=0,"⚠ 該項目不是數值類型 ",""))="","✓",TRIM(IF(SUMPRODUCT(($A$2:$A$500=A36)*($B$2:$B$500=B36)*($C$2:$C$500=C36)*($D$2:$D$500=D36))&gt;1,"⚠ 欄位名稱重複 ","")&amp;IF(AND(B36&lt;&gt;"",NOT(ISNUMBER(SEARCH("、"&amp;B36&amp;"、","、"&amp;IFERROR(INDEX(表單!$I$2:$I$500,MATCH(A36,表單!$A$2:$A$500,0)),"")&amp;"、")))),"⚠ 單元不在適用單元內 ","")&amp;IF(AND(H36="Y",B36=""),"⚠ 排除只能用在單元列 ","")&amp;IF(AND(H36="Y",B36&lt;&gt;"",SUMPRODUCT(($A$2:$A$500=A36)*($C$2:$C$500=C36)*($D$2:$D$500=D36)*($B$2:$B$500=""))=0),"⚠ 排除需對應共用欄位 ","")&amp;IF(AND(ISNUMBER(F36),ISNUMBER(G36),F36&gt;G36),"⚠ 下限大於上限 ","")&amp;IF(SUMPRODUCT((檢查項目!$A$2:$A$500=A36)*(檢查項目!$C$2:$C$500=C36)*(檢查項目!$G$2:$G$500="數值"))=0,"⚠ 該項目不是數值類型 ",""))))</f>
        <v/>
      </c>
    </row>
    <row r="37">
      <c r="I37" s="2">
        <f>IF(A37="","",IFERROR(INDEX(檢查項目!$E$2:$E$500,MATCH(1,INDEX((檢查項目!$A$2:$A$500=A37)*(檢查項目!$C$2:$C$500=C37)*(檢查項目!$B$2:$B$500=B37),0),0)),IFERROR(INDEX(檢查項目!$E$2:$E$500,MATCH(1,INDEX((檢查項目!$A$2:$A$500=A37)*(檢查項目!$C$2:$C$500=C37)*(檢查項目!$B$2:$B$500=""),0),0)),"⚠ 找不到項目")))</f>
        <v/>
      </c>
      <c r="J37" s="2">
        <f>IF(A37="","",IF(B37="","共用",IF(H37="Y","排除（"&amp;B37&amp;"）",IF(SUMPRODUCT(($A$2:$A$500=A37)*($C$2:$C$500=C37)*($D$2:$D$500=D37)*($B$2:$B$500=""))&gt;0,"覆蓋共用（"&amp;B37&amp;"）","單元新增（"&amp;B37&amp;"）"))))</f>
        <v/>
      </c>
      <c r="K37" s="2">
        <f>IF(A37="","",IF(H37="Y","—",IF(AND(F37&lt;&gt;"",G37&lt;&gt;""),F37&amp;" ~ "&amp;G37,IF(G37&lt;&gt;"","≤ "&amp;G37,IF(F37&lt;&gt;"","≥ "&amp;F37,"只記錄、不檢核")))))</f>
        <v/>
      </c>
      <c r="L37" s="2">
        <f>IF(A37="","",IF(TRIM(IF(SUMPRODUCT(($A$2:$A$500=A37)*($B$2:$B$500=B37)*($C$2:$C$500=C37)*($D$2:$D$500=D37))&gt;1,"⚠ 欄位名稱重複 ","")&amp;IF(AND(B37&lt;&gt;"",NOT(ISNUMBER(SEARCH("、"&amp;B37&amp;"、","、"&amp;IFERROR(INDEX(表單!$I$2:$I$500,MATCH(A37,表單!$A$2:$A$500,0)),"")&amp;"、")))),"⚠ 單元不在適用單元內 ","")&amp;IF(AND(H37="Y",B37=""),"⚠ 排除只能用在單元列 ","")&amp;IF(AND(H37="Y",B37&lt;&gt;"",SUMPRODUCT(($A$2:$A$500=A37)*($C$2:$C$500=C37)*($D$2:$D$500=D37)*($B$2:$B$500=""))=0),"⚠ 排除需對應共用欄位 ","")&amp;IF(AND(ISNUMBER(F37),ISNUMBER(G37),F37&gt;G37),"⚠ 下限大於上限 ","")&amp;IF(SUMPRODUCT((檢查項目!$A$2:$A$500=A37)*(檢查項目!$C$2:$C$500=C37)*(檢查項目!$G$2:$G$500="數值"))=0,"⚠ 該項目不是數值類型 ",""))="","✓",TRIM(IF(SUMPRODUCT(($A$2:$A$500=A37)*($B$2:$B$500=B37)*($C$2:$C$500=C37)*($D$2:$D$500=D37))&gt;1,"⚠ 欄位名稱重複 ","")&amp;IF(AND(B37&lt;&gt;"",NOT(ISNUMBER(SEARCH("、"&amp;B37&amp;"、","、"&amp;IFERROR(INDEX(表單!$I$2:$I$500,MATCH(A37,表單!$A$2:$A$500,0)),"")&amp;"、")))),"⚠ 單元不在適用單元內 ","")&amp;IF(AND(H37="Y",B37=""),"⚠ 排除只能用在單元列 ","")&amp;IF(AND(H37="Y",B37&lt;&gt;"",SUMPRODUCT(($A$2:$A$500=A37)*($C$2:$C$500=C37)*($D$2:$D$500=D37)*($B$2:$B$500=""))=0),"⚠ 排除需對應共用欄位 ","")&amp;IF(AND(ISNUMBER(F37),ISNUMBER(G37),F37&gt;G37),"⚠ 下限大於上限 ","")&amp;IF(SUMPRODUCT((檢查項目!$A$2:$A$500=A37)*(檢查項目!$C$2:$C$500=C37)*(檢查項目!$G$2:$G$500="數值"))=0,"⚠ 該項目不是數值類型 ",""))))</f>
        <v/>
      </c>
    </row>
    <row r="38">
      <c r="I38" s="2">
        <f>IF(A38="","",IFERROR(INDEX(檢查項目!$E$2:$E$500,MATCH(1,INDEX((檢查項目!$A$2:$A$500=A38)*(檢查項目!$C$2:$C$500=C38)*(檢查項目!$B$2:$B$500=B38),0),0)),IFERROR(INDEX(檢查項目!$E$2:$E$500,MATCH(1,INDEX((檢查項目!$A$2:$A$500=A38)*(檢查項目!$C$2:$C$500=C38)*(檢查項目!$B$2:$B$500=""),0),0)),"⚠ 找不到項目")))</f>
        <v/>
      </c>
      <c r="J38" s="2">
        <f>IF(A38="","",IF(B38="","共用",IF(H38="Y","排除（"&amp;B38&amp;"）",IF(SUMPRODUCT(($A$2:$A$500=A38)*($C$2:$C$500=C38)*($D$2:$D$500=D38)*($B$2:$B$500=""))&gt;0,"覆蓋共用（"&amp;B38&amp;"）","單元新增（"&amp;B38&amp;"）"))))</f>
        <v/>
      </c>
      <c r="K38" s="2">
        <f>IF(A38="","",IF(H38="Y","—",IF(AND(F38&lt;&gt;"",G38&lt;&gt;""),F38&amp;" ~ "&amp;G38,IF(G38&lt;&gt;"","≤ "&amp;G38,IF(F38&lt;&gt;"","≥ "&amp;F38,"只記錄、不檢核")))))</f>
        <v/>
      </c>
      <c r="L38" s="2">
        <f>IF(A38="","",IF(TRIM(IF(SUMPRODUCT(($A$2:$A$500=A38)*($B$2:$B$500=B38)*($C$2:$C$500=C38)*($D$2:$D$500=D38))&gt;1,"⚠ 欄位名稱重複 ","")&amp;IF(AND(B38&lt;&gt;"",NOT(ISNUMBER(SEARCH("、"&amp;B38&amp;"、","、"&amp;IFERROR(INDEX(表單!$I$2:$I$500,MATCH(A38,表單!$A$2:$A$500,0)),"")&amp;"、")))),"⚠ 單元不在適用單元內 ","")&amp;IF(AND(H38="Y",B38=""),"⚠ 排除只能用在單元列 ","")&amp;IF(AND(H38="Y",B38&lt;&gt;"",SUMPRODUCT(($A$2:$A$500=A38)*($C$2:$C$500=C38)*($D$2:$D$500=D38)*($B$2:$B$500=""))=0),"⚠ 排除需對應共用欄位 ","")&amp;IF(AND(ISNUMBER(F38),ISNUMBER(G38),F38&gt;G38),"⚠ 下限大於上限 ","")&amp;IF(SUMPRODUCT((檢查項目!$A$2:$A$500=A38)*(檢查項目!$C$2:$C$500=C38)*(檢查項目!$G$2:$G$500="數值"))=0,"⚠ 該項目不是數值類型 ",""))="","✓",TRIM(IF(SUMPRODUCT(($A$2:$A$500=A38)*($B$2:$B$500=B38)*($C$2:$C$500=C38)*($D$2:$D$500=D38))&gt;1,"⚠ 欄位名稱重複 ","")&amp;IF(AND(B38&lt;&gt;"",NOT(ISNUMBER(SEARCH("、"&amp;B38&amp;"、","、"&amp;IFERROR(INDEX(表單!$I$2:$I$500,MATCH(A38,表單!$A$2:$A$500,0)),"")&amp;"、")))),"⚠ 單元不在適用單元內 ","")&amp;IF(AND(H38="Y",B38=""),"⚠ 排除只能用在單元列 ","")&amp;IF(AND(H38="Y",B38&lt;&gt;"",SUMPRODUCT(($A$2:$A$500=A38)*($C$2:$C$500=C38)*($D$2:$D$500=D38)*($B$2:$B$500=""))=0),"⚠ 排除需對應共用欄位 ","")&amp;IF(AND(ISNUMBER(F38),ISNUMBER(G38),F38&gt;G38),"⚠ 下限大於上限 ","")&amp;IF(SUMPRODUCT((檢查項目!$A$2:$A$500=A38)*(檢查項目!$C$2:$C$500=C38)*(檢查項目!$G$2:$G$500="數值"))=0,"⚠ 該項目不是數值類型 ",""))))</f>
        <v/>
      </c>
    </row>
    <row r="39">
      <c r="I39" s="2">
        <f>IF(A39="","",IFERROR(INDEX(檢查項目!$E$2:$E$500,MATCH(1,INDEX((檢查項目!$A$2:$A$500=A39)*(檢查項目!$C$2:$C$500=C39)*(檢查項目!$B$2:$B$500=B39),0),0)),IFERROR(INDEX(檢查項目!$E$2:$E$500,MATCH(1,INDEX((檢查項目!$A$2:$A$500=A39)*(檢查項目!$C$2:$C$500=C39)*(檢查項目!$B$2:$B$500=""),0),0)),"⚠ 找不到項目")))</f>
        <v/>
      </c>
      <c r="J39" s="2">
        <f>IF(A39="","",IF(B39="","共用",IF(H39="Y","排除（"&amp;B39&amp;"）",IF(SUMPRODUCT(($A$2:$A$500=A39)*($C$2:$C$500=C39)*($D$2:$D$500=D39)*($B$2:$B$500=""))&gt;0,"覆蓋共用（"&amp;B39&amp;"）","單元新增（"&amp;B39&amp;"）"))))</f>
        <v/>
      </c>
      <c r="K39" s="2">
        <f>IF(A39="","",IF(H39="Y","—",IF(AND(F39&lt;&gt;"",G39&lt;&gt;""),F39&amp;" ~ "&amp;G39,IF(G39&lt;&gt;"","≤ "&amp;G39,IF(F39&lt;&gt;"","≥ "&amp;F39,"只記錄、不檢核")))))</f>
        <v/>
      </c>
      <c r="L39" s="2">
        <f>IF(A39="","",IF(TRIM(IF(SUMPRODUCT(($A$2:$A$500=A39)*($B$2:$B$500=B39)*($C$2:$C$500=C39)*($D$2:$D$500=D39))&gt;1,"⚠ 欄位名稱重複 ","")&amp;IF(AND(B39&lt;&gt;"",NOT(ISNUMBER(SEARCH("、"&amp;B39&amp;"、","、"&amp;IFERROR(INDEX(表單!$I$2:$I$500,MATCH(A39,表單!$A$2:$A$500,0)),"")&amp;"、")))),"⚠ 單元不在適用單元內 ","")&amp;IF(AND(H39="Y",B39=""),"⚠ 排除只能用在單元列 ","")&amp;IF(AND(H39="Y",B39&lt;&gt;"",SUMPRODUCT(($A$2:$A$500=A39)*($C$2:$C$500=C39)*($D$2:$D$500=D39)*($B$2:$B$500=""))=0),"⚠ 排除需對應共用欄位 ","")&amp;IF(AND(ISNUMBER(F39),ISNUMBER(G39),F39&gt;G39),"⚠ 下限大於上限 ","")&amp;IF(SUMPRODUCT((檢查項目!$A$2:$A$500=A39)*(檢查項目!$C$2:$C$500=C39)*(檢查項目!$G$2:$G$500="數值"))=0,"⚠ 該項目不是數值類型 ",""))="","✓",TRIM(IF(SUMPRODUCT(($A$2:$A$500=A39)*($B$2:$B$500=B39)*($C$2:$C$500=C39)*($D$2:$D$500=D39))&gt;1,"⚠ 欄位名稱重複 ","")&amp;IF(AND(B39&lt;&gt;"",NOT(ISNUMBER(SEARCH("、"&amp;B39&amp;"、","、"&amp;IFERROR(INDEX(表單!$I$2:$I$500,MATCH(A39,表單!$A$2:$A$500,0)),"")&amp;"、")))),"⚠ 單元不在適用單元內 ","")&amp;IF(AND(H39="Y",B39=""),"⚠ 排除只能用在單元列 ","")&amp;IF(AND(H39="Y",B39&lt;&gt;"",SUMPRODUCT(($A$2:$A$500=A39)*($C$2:$C$500=C39)*($D$2:$D$500=D39)*($B$2:$B$500=""))=0),"⚠ 排除需對應共用欄位 ","")&amp;IF(AND(ISNUMBER(F39),ISNUMBER(G39),F39&gt;G39),"⚠ 下限大於上限 ","")&amp;IF(SUMPRODUCT((檢查項目!$A$2:$A$500=A39)*(檢查項目!$C$2:$C$500=C39)*(檢查項目!$G$2:$G$500="數值"))=0,"⚠ 該項目不是數值類型 ",""))))</f>
        <v/>
      </c>
    </row>
    <row r="40">
      <c r="I40" s="2">
        <f>IF(A40="","",IFERROR(INDEX(檢查項目!$E$2:$E$500,MATCH(1,INDEX((檢查項目!$A$2:$A$500=A40)*(檢查項目!$C$2:$C$500=C40)*(檢查項目!$B$2:$B$500=B40),0),0)),IFERROR(INDEX(檢查項目!$E$2:$E$500,MATCH(1,INDEX((檢查項目!$A$2:$A$500=A40)*(檢查項目!$C$2:$C$500=C40)*(檢查項目!$B$2:$B$500=""),0),0)),"⚠ 找不到項目")))</f>
        <v/>
      </c>
      <c r="J40" s="2">
        <f>IF(A40="","",IF(B40="","共用",IF(H40="Y","排除（"&amp;B40&amp;"）",IF(SUMPRODUCT(($A$2:$A$500=A40)*($C$2:$C$500=C40)*($D$2:$D$500=D40)*($B$2:$B$500=""))&gt;0,"覆蓋共用（"&amp;B40&amp;"）","單元新增（"&amp;B40&amp;"）"))))</f>
        <v/>
      </c>
      <c r="K40" s="2">
        <f>IF(A40="","",IF(H40="Y","—",IF(AND(F40&lt;&gt;"",G40&lt;&gt;""),F40&amp;" ~ "&amp;G40,IF(G40&lt;&gt;"","≤ "&amp;G40,IF(F40&lt;&gt;"","≥ "&amp;F40,"只記錄、不檢核")))))</f>
        <v/>
      </c>
      <c r="L40" s="2">
        <f>IF(A40="","",IF(TRIM(IF(SUMPRODUCT(($A$2:$A$500=A40)*($B$2:$B$500=B40)*($C$2:$C$500=C40)*($D$2:$D$500=D40))&gt;1,"⚠ 欄位名稱重複 ","")&amp;IF(AND(B40&lt;&gt;"",NOT(ISNUMBER(SEARCH("、"&amp;B40&amp;"、","、"&amp;IFERROR(INDEX(表單!$I$2:$I$500,MATCH(A40,表單!$A$2:$A$500,0)),"")&amp;"、")))),"⚠ 單元不在適用單元內 ","")&amp;IF(AND(H40="Y",B40=""),"⚠ 排除只能用在單元列 ","")&amp;IF(AND(H40="Y",B40&lt;&gt;"",SUMPRODUCT(($A$2:$A$500=A40)*($C$2:$C$500=C40)*($D$2:$D$500=D40)*($B$2:$B$500=""))=0),"⚠ 排除需對應共用欄位 ","")&amp;IF(AND(ISNUMBER(F40),ISNUMBER(G40),F40&gt;G40),"⚠ 下限大於上限 ","")&amp;IF(SUMPRODUCT((檢查項目!$A$2:$A$500=A40)*(檢查項目!$C$2:$C$500=C40)*(檢查項目!$G$2:$G$500="數值"))=0,"⚠ 該項目不是數值類型 ",""))="","✓",TRIM(IF(SUMPRODUCT(($A$2:$A$500=A40)*($B$2:$B$500=B40)*($C$2:$C$500=C40)*($D$2:$D$500=D40))&gt;1,"⚠ 欄位名稱重複 ","")&amp;IF(AND(B40&lt;&gt;"",NOT(ISNUMBER(SEARCH("、"&amp;B40&amp;"、","、"&amp;IFERROR(INDEX(表單!$I$2:$I$500,MATCH(A40,表單!$A$2:$A$500,0)),"")&amp;"、")))),"⚠ 單元不在適用單元內 ","")&amp;IF(AND(H40="Y",B40=""),"⚠ 排除只能用在單元列 ","")&amp;IF(AND(H40="Y",B40&lt;&gt;"",SUMPRODUCT(($A$2:$A$500=A40)*($C$2:$C$500=C40)*($D$2:$D$500=D40)*($B$2:$B$500=""))=0),"⚠ 排除需對應共用欄位 ","")&amp;IF(AND(ISNUMBER(F40),ISNUMBER(G40),F40&gt;G40),"⚠ 下限大於上限 ","")&amp;IF(SUMPRODUCT((檢查項目!$A$2:$A$500=A40)*(檢查項目!$C$2:$C$500=C40)*(檢查項目!$G$2:$G$500="數值"))=0,"⚠ 該項目不是數值類型 ",""))))</f>
        <v/>
      </c>
    </row>
    <row r="41">
      <c r="I41" s="2">
        <f>IF(A41="","",IFERROR(INDEX(檢查項目!$E$2:$E$500,MATCH(1,INDEX((檢查項目!$A$2:$A$500=A41)*(檢查項目!$C$2:$C$500=C41)*(檢查項目!$B$2:$B$500=B41),0),0)),IFERROR(INDEX(檢查項目!$E$2:$E$500,MATCH(1,INDEX((檢查項目!$A$2:$A$500=A41)*(檢查項目!$C$2:$C$500=C41)*(檢查項目!$B$2:$B$500=""),0),0)),"⚠ 找不到項目")))</f>
        <v/>
      </c>
      <c r="J41" s="2">
        <f>IF(A41="","",IF(B41="","共用",IF(H41="Y","排除（"&amp;B41&amp;"）",IF(SUMPRODUCT(($A$2:$A$500=A41)*($C$2:$C$500=C41)*($D$2:$D$500=D41)*($B$2:$B$500=""))&gt;0,"覆蓋共用（"&amp;B41&amp;"）","單元新增（"&amp;B41&amp;"）"))))</f>
        <v/>
      </c>
      <c r="K41" s="2">
        <f>IF(A41="","",IF(H41="Y","—",IF(AND(F41&lt;&gt;"",G41&lt;&gt;""),F41&amp;" ~ "&amp;G41,IF(G41&lt;&gt;"","≤ "&amp;G41,IF(F41&lt;&gt;"","≥ "&amp;F41,"只記錄、不檢核")))))</f>
        <v/>
      </c>
      <c r="L41" s="2">
        <f>IF(A41="","",IF(TRIM(IF(SUMPRODUCT(($A$2:$A$500=A41)*($B$2:$B$500=B41)*($C$2:$C$500=C41)*($D$2:$D$500=D41))&gt;1,"⚠ 欄位名稱重複 ","")&amp;IF(AND(B41&lt;&gt;"",NOT(ISNUMBER(SEARCH("、"&amp;B41&amp;"、","、"&amp;IFERROR(INDEX(表單!$I$2:$I$500,MATCH(A41,表單!$A$2:$A$500,0)),"")&amp;"、")))),"⚠ 單元不在適用單元內 ","")&amp;IF(AND(H41="Y",B41=""),"⚠ 排除只能用在單元列 ","")&amp;IF(AND(H41="Y",B41&lt;&gt;"",SUMPRODUCT(($A$2:$A$500=A41)*($C$2:$C$500=C41)*($D$2:$D$500=D41)*($B$2:$B$500=""))=0),"⚠ 排除需對應共用欄位 ","")&amp;IF(AND(ISNUMBER(F41),ISNUMBER(G41),F41&gt;G41),"⚠ 下限大於上限 ","")&amp;IF(SUMPRODUCT((檢查項目!$A$2:$A$500=A41)*(檢查項目!$C$2:$C$500=C41)*(檢查項目!$G$2:$G$500="數值"))=0,"⚠ 該項目不是數值類型 ",""))="","✓",TRIM(IF(SUMPRODUCT(($A$2:$A$500=A41)*($B$2:$B$500=B41)*($C$2:$C$500=C41)*($D$2:$D$500=D41))&gt;1,"⚠ 欄位名稱重複 ","")&amp;IF(AND(B41&lt;&gt;"",NOT(ISNUMBER(SEARCH("、"&amp;B41&amp;"、","、"&amp;IFERROR(INDEX(表單!$I$2:$I$500,MATCH(A41,表單!$A$2:$A$500,0)),"")&amp;"、")))),"⚠ 單元不在適用單元內 ","")&amp;IF(AND(H41="Y",B41=""),"⚠ 排除只能用在單元列 ","")&amp;IF(AND(H41="Y",B41&lt;&gt;"",SUMPRODUCT(($A$2:$A$500=A41)*($C$2:$C$500=C41)*($D$2:$D$500=D41)*($B$2:$B$500=""))=0),"⚠ 排除需對應共用欄位 ","")&amp;IF(AND(ISNUMBER(F41),ISNUMBER(G41),F41&gt;G41),"⚠ 下限大於上限 ","")&amp;IF(SUMPRODUCT((檢查項目!$A$2:$A$500=A41)*(檢查項目!$C$2:$C$500=C41)*(檢查項目!$G$2:$G$500="數值"))=0,"⚠ 該項目不是數值類型 ",""))))</f>
        <v/>
      </c>
    </row>
    <row r="42">
      <c r="I42" s="2">
        <f>IF(A42="","",IFERROR(INDEX(檢查項目!$E$2:$E$500,MATCH(1,INDEX((檢查項目!$A$2:$A$500=A42)*(檢查項目!$C$2:$C$500=C42)*(檢查項目!$B$2:$B$500=B42),0),0)),IFERROR(INDEX(檢查項目!$E$2:$E$500,MATCH(1,INDEX((檢查項目!$A$2:$A$500=A42)*(檢查項目!$C$2:$C$500=C42)*(檢查項目!$B$2:$B$500=""),0),0)),"⚠ 找不到項目")))</f>
        <v/>
      </c>
      <c r="J42" s="2">
        <f>IF(A42="","",IF(B42="","共用",IF(H42="Y","排除（"&amp;B42&amp;"）",IF(SUMPRODUCT(($A$2:$A$500=A42)*($C$2:$C$500=C42)*($D$2:$D$500=D42)*($B$2:$B$500=""))&gt;0,"覆蓋共用（"&amp;B42&amp;"）","單元新增（"&amp;B42&amp;"）"))))</f>
        <v/>
      </c>
      <c r="K42" s="2">
        <f>IF(A42="","",IF(H42="Y","—",IF(AND(F42&lt;&gt;"",G42&lt;&gt;""),F42&amp;" ~ "&amp;G42,IF(G42&lt;&gt;"","≤ "&amp;G42,IF(F42&lt;&gt;"","≥ "&amp;F42,"只記錄、不檢核")))))</f>
        <v/>
      </c>
      <c r="L42" s="2">
        <f>IF(A42="","",IF(TRIM(IF(SUMPRODUCT(($A$2:$A$500=A42)*($B$2:$B$500=B42)*($C$2:$C$500=C42)*($D$2:$D$500=D42))&gt;1,"⚠ 欄位名稱重複 ","")&amp;IF(AND(B42&lt;&gt;"",NOT(ISNUMBER(SEARCH("、"&amp;B42&amp;"、","、"&amp;IFERROR(INDEX(表單!$I$2:$I$500,MATCH(A42,表單!$A$2:$A$500,0)),"")&amp;"、")))),"⚠ 單元不在適用單元內 ","")&amp;IF(AND(H42="Y",B42=""),"⚠ 排除只能用在單元列 ","")&amp;IF(AND(H42="Y",B42&lt;&gt;"",SUMPRODUCT(($A$2:$A$500=A42)*($C$2:$C$500=C42)*($D$2:$D$500=D42)*($B$2:$B$500=""))=0),"⚠ 排除需對應共用欄位 ","")&amp;IF(AND(ISNUMBER(F42),ISNUMBER(G42),F42&gt;G42),"⚠ 下限大於上限 ","")&amp;IF(SUMPRODUCT((檢查項目!$A$2:$A$500=A42)*(檢查項目!$C$2:$C$500=C42)*(檢查項目!$G$2:$G$500="數值"))=0,"⚠ 該項目不是數值類型 ",""))="","✓",TRIM(IF(SUMPRODUCT(($A$2:$A$500=A42)*($B$2:$B$500=B42)*($C$2:$C$500=C42)*($D$2:$D$500=D42))&gt;1,"⚠ 欄位名稱重複 ","")&amp;IF(AND(B42&lt;&gt;"",NOT(ISNUMBER(SEARCH("、"&amp;B42&amp;"、","、"&amp;IFERROR(INDEX(表單!$I$2:$I$500,MATCH(A42,表單!$A$2:$A$500,0)),"")&amp;"、")))),"⚠ 單元不在適用單元內 ","")&amp;IF(AND(H42="Y",B42=""),"⚠ 排除只能用在單元列 ","")&amp;IF(AND(H42="Y",B42&lt;&gt;"",SUMPRODUCT(($A$2:$A$500=A42)*($C$2:$C$500=C42)*($D$2:$D$500=D42)*($B$2:$B$500=""))=0),"⚠ 排除需對應共用欄位 ","")&amp;IF(AND(ISNUMBER(F42),ISNUMBER(G42),F42&gt;G42),"⚠ 下限大於上限 ","")&amp;IF(SUMPRODUCT((檢查項目!$A$2:$A$500=A42)*(檢查項目!$C$2:$C$500=C42)*(檢查項目!$G$2:$G$500="數值"))=0,"⚠ 該項目不是數值類型 ",""))))</f>
        <v/>
      </c>
    </row>
    <row r="43">
      <c r="I43" s="2">
        <f>IF(A43="","",IFERROR(INDEX(檢查項目!$E$2:$E$500,MATCH(1,INDEX((檢查項目!$A$2:$A$500=A43)*(檢查項目!$C$2:$C$500=C43)*(檢查項目!$B$2:$B$500=B43),0),0)),IFERROR(INDEX(檢查項目!$E$2:$E$500,MATCH(1,INDEX((檢查項目!$A$2:$A$500=A43)*(檢查項目!$C$2:$C$500=C43)*(檢查項目!$B$2:$B$500=""),0),0)),"⚠ 找不到項目")))</f>
        <v/>
      </c>
      <c r="J43" s="2">
        <f>IF(A43="","",IF(B43="","共用",IF(H43="Y","排除（"&amp;B43&amp;"）",IF(SUMPRODUCT(($A$2:$A$500=A43)*($C$2:$C$500=C43)*($D$2:$D$500=D43)*($B$2:$B$500=""))&gt;0,"覆蓋共用（"&amp;B43&amp;"）","單元新增（"&amp;B43&amp;"）"))))</f>
        <v/>
      </c>
      <c r="K43" s="2">
        <f>IF(A43="","",IF(H43="Y","—",IF(AND(F43&lt;&gt;"",G43&lt;&gt;""),F43&amp;" ~ "&amp;G43,IF(G43&lt;&gt;"","≤ "&amp;G43,IF(F43&lt;&gt;"","≥ "&amp;F43,"只記錄、不檢核")))))</f>
        <v/>
      </c>
      <c r="L43" s="2">
        <f>IF(A43="","",IF(TRIM(IF(SUMPRODUCT(($A$2:$A$500=A43)*($B$2:$B$500=B43)*($C$2:$C$500=C43)*($D$2:$D$500=D43))&gt;1,"⚠ 欄位名稱重複 ","")&amp;IF(AND(B43&lt;&gt;"",NOT(ISNUMBER(SEARCH("、"&amp;B43&amp;"、","、"&amp;IFERROR(INDEX(表單!$I$2:$I$500,MATCH(A43,表單!$A$2:$A$500,0)),"")&amp;"、")))),"⚠ 單元不在適用單元內 ","")&amp;IF(AND(H43="Y",B43=""),"⚠ 排除只能用在單元列 ","")&amp;IF(AND(H43="Y",B43&lt;&gt;"",SUMPRODUCT(($A$2:$A$500=A43)*($C$2:$C$500=C43)*($D$2:$D$500=D43)*($B$2:$B$500=""))=0),"⚠ 排除需對應共用欄位 ","")&amp;IF(AND(ISNUMBER(F43),ISNUMBER(G43),F43&gt;G43),"⚠ 下限大於上限 ","")&amp;IF(SUMPRODUCT((檢查項目!$A$2:$A$500=A43)*(檢查項目!$C$2:$C$500=C43)*(檢查項目!$G$2:$G$500="數值"))=0,"⚠ 該項目不是數值類型 ",""))="","✓",TRIM(IF(SUMPRODUCT(($A$2:$A$500=A43)*($B$2:$B$500=B43)*($C$2:$C$500=C43)*($D$2:$D$500=D43))&gt;1,"⚠ 欄位名稱重複 ","")&amp;IF(AND(B43&lt;&gt;"",NOT(ISNUMBER(SEARCH("、"&amp;B43&amp;"、","、"&amp;IFERROR(INDEX(表單!$I$2:$I$500,MATCH(A43,表單!$A$2:$A$500,0)),"")&amp;"、")))),"⚠ 單元不在適用單元內 ","")&amp;IF(AND(H43="Y",B43=""),"⚠ 排除只能用在單元列 ","")&amp;IF(AND(H43="Y",B43&lt;&gt;"",SUMPRODUCT(($A$2:$A$500=A43)*($C$2:$C$500=C43)*($D$2:$D$500=D43)*($B$2:$B$500=""))=0),"⚠ 排除需對應共用欄位 ","")&amp;IF(AND(ISNUMBER(F43),ISNUMBER(G43),F43&gt;G43),"⚠ 下限大於上限 ","")&amp;IF(SUMPRODUCT((檢查項目!$A$2:$A$500=A43)*(檢查項目!$C$2:$C$500=C43)*(檢查項目!$G$2:$G$500="數值"))=0,"⚠ 該項目不是數值類型 ",""))))</f>
        <v/>
      </c>
    </row>
    <row r="44">
      <c r="I44" s="2">
        <f>IF(A44="","",IFERROR(INDEX(檢查項目!$E$2:$E$500,MATCH(1,INDEX((檢查項目!$A$2:$A$500=A44)*(檢查項目!$C$2:$C$500=C44)*(檢查項目!$B$2:$B$500=B44),0),0)),IFERROR(INDEX(檢查項目!$E$2:$E$500,MATCH(1,INDEX((檢查項目!$A$2:$A$500=A44)*(檢查項目!$C$2:$C$500=C44)*(檢查項目!$B$2:$B$500=""),0),0)),"⚠ 找不到項目")))</f>
        <v/>
      </c>
      <c r="J44" s="2">
        <f>IF(A44="","",IF(B44="","共用",IF(H44="Y","排除（"&amp;B44&amp;"）",IF(SUMPRODUCT(($A$2:$A$500=A44)*($C$2:$C$500=C44)*($D$2:$D$500=D44)*($B$2:$B$500=""))&gt;0,"覆蓋共用（"&amp;B44&amp;"）","單元新增（"&amp;B44&amp;"）"))))</f>
        <v/>
      </c>
      <c r="K44" s="2">
        <f>IF(A44="","",IF(H44="Y","—",IF(AND(F44&lt;&gt;"",G44&lt;&gt;""),F44&amp;" ~ "&amp;G44,IF(G44&lt;&gt;"","≤ "&amp;G44,IF(F44&lt;&gt;"","≥ "&amp;F44,"只記錄、不檢核")))))</f>
        <v/>
      </c>
      <c r="L44" s="2">
        <f>IF(A44="","",IF(TRIM(IF(SUMPRODUCT(($A$2:$A$500=A44)*($B$2:$B$500=B44)*($C$2:$C$500=C44)*($D$2:$D$500=D44))&gt;1,"⚠ 欄位名稱重複 ","")&amp;IF(AND(B44&lt;&gt;"",NOT(ISNUMBER(SEARCH("、"&amp;B44&amp;"、","、"&amp;IFERROR(INDEX(表單!$I$2:$I$500,MATCH(A44,表單!$A$2:$A$500,0)),"")&amp;"、")))),"⚠ 單元不在適用單元內 ","")&amp;IF(AND(H44="Y",B44=""),"⚠ 排除只能用在單元列 ","")&amp;IF(AND(H44="Y",B44&lt;&gt;"",SUMPRODUCT(($A$2:$A$500=A44)*($C$2:$C$500=C44)*($D$2:$D$500=D44)*($B$2:$B$500=""))=0),"⚠ 排除需對應共用欄位 ","")&amp;IF(AND(ISNUMBER(F44),ISNUMBER(G44),F44&gt;G44),"⚠ 下限大於上限 ","")&amp;IF(SUMPRODUCT((檢查項目!$A$2:$A$500=A44)*(檢查項目!$C$2:$C$500=C44)*(檢查項目!$G$2:$G$500="數值"))=0,"⚠ 該項目不是數值類型 ",""))="","✓",TRIM(IF(SUMPRODUCT(($A$2:$A$500=A44)*($B$2:$B$500=B44)*($C$2:$C$500=C44)*($D$2:$D$500=D44))&gt;1,"⚠ 欄位名稱重複 ","")&amp;IF(AND(B44&lt;&gt;"",NOT(ISNUMBER(SEARCH("、"&amp;B44&amp;"、","、"&amp;IFERROR(INDEX(表單!$I$2:$I$500,MATCH(A44,表單!$A$2:$A$500,0)),"")&amp;"、")))),"⚠ 單元不在適用單元內 ","")&amp;IF(AND(H44="Y",B44=""),"⚠ 排除只能用在單元列 ","")&amp;IF(AND(H44="Y",B44&lt;&gt;"",SUMPRODUCT(($A$2:$A$500=A44)*($C$2:$C$500=C44)*($D$2:$D$500=D44)*($B$2:$B$500=""))=0),"⚠ 排除需對應共用欄位 ","")&amp;IF(AND(ISNUMBER(F44),ISNUMBER(G44),F44&gt;G44),"⚠ 下限大於上限 ","")&amp;IF(SUMPRODUCT((檢查項目!$A$2:$A$500=A44)*(檢查項目!$C$2:$C$500=C44)*(檢查項目!$G$2:$G$500="數值"))=0,"⚠ 該項目不是數值類型 ",""))))</f>
        <v/>
      </c>
    </row>
    <row r="45">
      <c r="I45" s="2">
        <f>IF(A45="","",IFERROR(INDEX(檢查項目!$E$2:$E$500,MATCH(1,INDEX((檢查項目!$A$2:$A$500=A45)*(檢查項目!$C$2:$C$500=C45)*(檢查項目!$B$2:$B$500=B45),0),0)),IFERROR(INDEX(檢查項目!$E$2:$E$500,MATCH(1,INDEX((檢查項目!$A$2:$A$500=A45)*(檢查項目!$C$2:$C$500=C45)*(檢查項目!$B$2:$B$500=""),0),0)),"⚠ 找不到項目")))</f>
        <v/>
      </c>
      <c r="J45" s="2">
        <f>IF(A45="","",IF(B45="","共用",IF(H45="Y","排除（"&amp;B45&amp;"）",IF(SUMPRODUCT(($A$2:$A$500=A45)*($C$2:$C$500=C45)*($D$2:$D$500=D45)*($B$2:$B$500=""))&gt;0,"覆蓋共用（"&amp;B45&amp;"）","單元新增（"&amp;B45&amp;"）"))))</f>
        <v/>
      </c>
      <c r="K45" s="2">
        <f>IF(A45="","",IF(H45="Y","—",IF(AND(F45&lt;&gt;"",G45&lt;&gt;""),F45&amp;" ~ "&amp;G45,IF(G45&lt;&gt;"","≤ "&amp;G45,IF(F45&lt;&gt;"","≥ "&amp;F45,"只記錄、不檢核")))))</f>
        <v/>
      </c>
      <c r="L45" s="2">
        <f>IF(A45="","",IF(TRIM(IF(SUMPRODUCT(($A$2:$A$500=A45)*($B$2:$B$500=B45)*($C$2:$C$500=C45)*($D$2:$D$500=D45))&gt;1,"⚠ 欄位名稱重複 ","")&amp;IF(AND(B45&lt;&gt;"",NOT(ISNUMBER(SEARCH("、"&amp;B45&amp;"、","、"&amp;IFERROR(INDEX(表單!$I$2:$I$500,MATCH(A45,表單!$A$2:$A$500,0)),"")&amp;"、")))),"⚠ 單元不在適用單元內 ","")&amp;IF(AND(H45="Y",B45=""),"⚠ 排除只能用在單元列 ","")&amp;IF(AND(H45="Y",B45&lt;&gt;"",SUMPRODUCT(($A$2:$A$500=A45)*($C$2:$C$500=C45)*($D$2:$D$500=D45)*($B$2:$B$500=""))=0),"⚠ 排除需對應共用欄位 ","")&amp;IF(AND(ISNUMBER(F45),ISNUMBER(G45),F45&gt;G45),"⚠ 下限大於上限 ","")&amp;IF(SUMPRODUCT((檢查項目!$A$2:$A$500=A45)*(檢查項目!$C$2:$C$500=C45)*(檢查項目!$G$2:$G$500="數值"))=0,"⚠ 該項目不是數值類型 ",""))="","✓",TRIM(IF(SUMPRODUCT(($A$2:$A$500=A45)*($B$2:$B$500=B45)*($C$2:$C$500=C45)*($D$2:$D$500=D45))&gt;1,"⚠ 欄位名稱重複 ","")&amp;IF(AND(B45&lt;&gt;"",NOT(ISNUMBER(SEARCH("、"&amp;B45&amp;"、","、"&amp;IFERROR(INDEX(表單!$I$2:$I$500,MATCH(A45,表單!$A$2:$A$500,0)),"")&amp;"、")))),"⚠ 單元不在適用單元內 ","")&amp;IF(AND(H45="Y",B45=""),"⚠ 排除只能用在單元列 ","")&amp;IF(AND(H45="Y",B45&lt;&gt;"",SUMPRODUCT(($A$2:$A$500=A45)*($C$2:$C$500=C45)*($D$2:$D$500=D45)*($B$2:$B$500=""))=0),"⚠ 排除需對應共用欄位 ","")&amp;IF(AND(ISNUMBER(F45),ISNUMBER(G45),F45&gt;G45),"⚠ 下限大於上限 ","")&amp;IF(SUMPRODUCT((檢查項目!$A$2:$A$500=A45)*(檢查項目!$C$2:$C$500=C45)*(檢查項目!$G$2:$G$500="數值"))=0,"⚠ 該項目不是數值類型 ",""))))</f>
        <v/>
      </c>
    </row>
    <row r="46">
      <c r="I46" s="2">
        <f>IF(A46="","",IFERROR(INDEX(檢查項目!$E$2:$E$500,MATCH(1,INDEX((檢查項目!$A$2:$A$500=A46)*(檢查項目!$C$2:$C$500=C46)*(檢查項目!$B$2:$B$500=B46),0),0)),IFERROR(INDEX(檢查項目!$E$2:$E$500,MATCH(1,INDEX((檢查項目!$A$2:$A$500=A46)*(檢查項目!$C$2:$C$500=C46)*(檢查項目!$B$2:$B$500=""),0),0)),"⚠ 找不到項目")))</f>
        <v/>
      </c>
      <c r="J46" s="2">
        <f>IF(A46="","",IF(B46="","共用",IF(H46="Y","排除（"&amp;B46&amp;"）",IF(SUMPRODUCT(($A$2:$A$500=A46)*($C$2:$C$500=C46)*($D$2:$D$500=D46)*($B$2:$B$500=""))&gt;0,"覆蓋共用（"&amp;B46&amp;"）","單元新增（"&amp;B46&amp;"）"))))</f>
        <v/>
      </c>
      <c r="K46" s="2">
        <f>IF(A46="","",IF(H46="Y","—",IF(AND(F46&lt;&gt;"",G46&lt;&gt;""),F46&amp;" ~ "&amp;G46,IF(G46&lt;&gt;"","≤ "&amp;G46,IF(F46&lt;&gt;"","≥ "&amp;F46,"只記錄、不檢核")))))</f>
        <v/>
      </c>
      <c r="L46" s="2">
        <f>IF(A46="","",IF(TRIM(IF(SUMPRODUCT(($A$2:$A$500=A46)*($B$2:$B$500=B46)*($C$2:$C$500=C46)*($D$2:$D$500=D46))&gt;1,"⚠ 欄位名稱重複 ","")&amp;IF(AND(B46&lt;&gt;"",NOT(ISNUMBER(SEARCH("、"&amp;B46&amp;"、","、"&amp;IFERROR(INDEX(表單!$I$2:$I$500,MATCH(A46,表單!$A$2:$A$500,0)),"")&amp;"、")))),"⚠ 單元不在適用單元內 ","")&amp;IF(AND(H46="Y",B46=""),"⚠ 排除只能用在單元列 ","")&amp;IF(AND(H46="Y",B46&lt;&gt;"",SUMPRODUCT(($A$2:$A$500=A46)*($C$2:$C$500=C46)*($D$2:$D$500=D46)*($B$2:$B$500=""))=0),"⚠ 排除需對應共用欄位 ","")&amp;IF(AND(ISNUMBER(F46),ISNUMBER(G46),F46&gt;G46),"⚠ 下限大於上限 ","")&amp;IF(SUMPRODUCT((檢查項目!$A$2:$A$500=A46)*(檢查項目!$C$2:$C$500=C46)*(檢查項目!$G$2:$G$500="數值"))=0,"⚠ 該項目不是數值類型 ",""))="","✓",TRIM(IF(SUMPRODUCT(($A$2:$A$500=A46)*($B$2:$B$500=B46)*($C$2:$C$500=C46)*($D$2:$D$500=D46))&gt;1,"⚠ 欄位名稱重複 ","")&amp;IF(AND(B46&lt;&gt;"",NOT(ISNUMBER(SEARCH("、"&amp;B46&amp;"、","、"&amp;IFERROR(INDEX(表單!$I$2:$I$500,MATCH(A46,表單!$A$2:$A$500,0)),"")&amp;"、")))),"⚠ 單元不在適用單元內 ","")&amp;IF(AND(H46="Y",B46=""),"⚠ 排除只能用在單元列 ","")&amp;IF(AND(H46="Y",B46&lt;&gt;"",SUMPRODUCT(($A$2:$A$500=A46)*($C$2:$C$500=C46)*($D$2:$D$500=D46)*($B$2:$B$500=""))=0),"⚠ 排除需對應共用欄位 ","")&amp;IF(AND(ISNUMBER(F46),ISNUMBER(G46),F46&gt;G46),"⚠ 下限大於上限 ","")&amp;IF(SUMPRODUCT((檢查項目!$A$2:$A$500=A46)*(檢查項目!$C$2:$C$500=C46)*(檢查項目!$G$2:$G$500="數值"))=0,"⚠ 該項目不是數值類型 ",""))))</f>
        <v/>
      </c>
    </row>
    <row r="47">
      <c r="I47" s="2">
        <f>IF(A47="","",IFERROR(INDEX(檢查項目!$E$2:$E$500,MATCH(1,INDEX((檢查項目!$A$2:$A$500=A47)*(檢查項目!$C$2:$C$500=C47)*(檢查項目!$B$2:$B$500=B47),0),0)),IFERROR(INDEX(檢查項目!$E$2:$E$500,MATCH(1,INDEX((檢查項目!$A$2:$A$500=A47)*(檢查項目!$C$2:$C$500=C47)*(檢查項目!$B$2:$B$500=""),0),0)),"⚠ 找不到項目")))</f>
        <v/>
      </c>
      <c r="J47" s="2">
        <f>IF(A47="","",IF(B47="","共用",IF(H47="Y","排除（"&amp;B47&amp;"）",IF(SUMPRODUCT(($A$2:$A$500=A47)*($C$2:$C$500=C47)*($D$2:$D$500=D47)*($B$2:$B$500=""))&gt;0,"覆蓋共用（"&amp;B47&amp;"）","單元新增（"&amp;B47&amp;"）"))))</f>
        <v/>
      </c>
      <c r="K47" s="2">
        <f>IF(A47="","",IF(H47="Y","—",IF(AND(F47&lt;&gt;"",G47&lt;&gt;""),F47&amp;" ~ "&amp;G47,IF(G47&lt;&gt;"","≤ "&amp;G47,IF(F47&lt;&gt;"","≥ "&amp;F47,"只記錄、不檢核")))))</f>
        <v/>
      </c>
      <c r="L47" s="2">
        <f>IF(A47="","",IF(TRIM(IF(SUMPRODUCT(($A$2:$A$500=A47)*($B$2:$B$500=B47)*($C$2:$C$500=C47)*($D$2:$D$500=D47))&gt;1,"⚠ 欄位名稱重複 ","")&amp;IF(AND(B47&lt;&gt;"",NOT(ISNUMBER(SEARCH("、"&amp;B47&amp;"、","、"&amp;IFERROR(INDEX(表單!$I$2:$I$500,MATCH(A47,表單!$A$2:$A$500,0)),"")&amp;"、")))),"⚠ 單元不在適用單元內 ","")&amp;IF(AND(H47="Y",B47=""),"⚠ 排除只能用在單元列 ","")&amp;IF(AND(H47="Y",B47&lt;&gt;"",SUMPRODUCT(($A$2:$A$500=A47)*($C$2:$C$500=C47)*($D$2:$D$500=D47)*($B$2:$B$500=""))=0),"⚠ 排除需對應共用欄位 ","")&amp;IF(AND(ISNUMBER(F47),ISNUMBER(G47),F47&gt;G47),"⚠ 下限大於上限 ","")&amp;IF(SUMPRODUCT((檢查項目!$A$2:$A$500=A47)*(檢查項目!$C$2:$C$500=C47)*(檢查項目!$G$2:$G$500="數值"))=0,"⚠ 該項目不是數值類型 ",""))="","✓",TRIM(IF(SUMPRODUCT(($A$2:$A$500=A47)*($B$2:$B$500=B47)*($C$2:$C$500=C47)*($D$2:$D$500=D47))&gt;1,"⚠ 欄位名稱重複 ","")&amp;IF(AND(B47&lt;&gt;"",NOT(ISNUMBER(SEARCH("、"&amp;B47&amp;"、","、"&amp;IFERROR(INDEX(表單!$I$2:$I$500,MATCH(A47,表單!$A$2:$A$500,0)),"")&amp;"、")))),"⚠ 單元不在適用單元內 ","")&amp;IF(AND(H47="Y",B47=""),"⚠ 排除只能用在單元列 ","")&amp;IF(AND(H47="Y",B47&lt;&gt;"",SUMPRODUCT(($A$2:$A$500=A47)*($C$2:$C$500=C47)*($D$2:$D$500=D47)*($B$2:$B$500=""))=0),"⚠ 排除需對應共用欄位 ","")&amp;IF(AND(ISNUMBER(F47),ISNUMBER(G47),F47&gt;G47),"⚠ 下限大於上限 ","")&amp;IF(SUMPRODUCT((檢查項目!$A$2:$A$500=A47)*(檢查項目!$C$2:$C$500=C47)*(檢查項目!$G$2:$G$500="數值"))=0,"⚠ 該項目不是數值類型 ",""))))</f>
        <v/>
      </c>
    </row>
    <row r="48">
      <c r="I48" s="2">
        <f>IF(A48="","",IFERROR(INDEX(檢查項目!$E$2:$E$500,MATCH(1,INDEX((檢查項目!$A$2:$A$500=A48)*(檢查項目!$C$2:$C$500=C48)*(檢查項目!$B$2:$B$500=B48),0),0)),IFERROR(INDEX(檢查項目!$E$2:$E$500,MATCH(1,INDEX((檢查項目!$A$2:$A$500=A48)*(檢查項目!$C$2:$C$500=C48)*(檢查項目!$B$2:$B$500=""),0),0)),"⚠ 找不到項目")))</f>
        <v/>
      </c>
      <c r="J48" s="2">
        <f>IF(A48="","",IF(B48="","共用",IF(H48="Y","排除（"&amp;B48&amp;"）",IF(SUMPRODUCT(($A$2:$A$500=A48)*($C$2:$C$500=C48)*($D$2:$D$500=D48)*($B$2:$B$500=""))&gt;0,"覆蓋共用（"&amp;B48&amp;"）","單元新增（"&amp;B48&amp;"）"))))</f>
        <v/>
      </c>
      <c r="K48" s="2">
        <f>IF(A48="","",IF(H48="Y","—",IF(AND(F48&lt;&gt;"",G48&lt;&gt;""),F48&amp;" ~ "&amp;G48,IF(G48&lt;&gt;"","≤ "&amp;G48,IF(F48&lt;&gt;"","≥ "&amp;F48,"只記錄、不檢核")))))</f>
        <v/>
      </c>
      <c r="L48" s="2">
        <f>IF(A48="","",IF(TRIM(IF(SUMPRODUCT(($A$2:$A$500=A48)*($B$2:$B$500=B48)*($C$2:$C$500=C48)*($D$2:$D$500=D48))&gt;1,"⚠ 欄位名稱重複 ","")&amp;IF(AND(B48&lt;&gt;"",NOT(ISNUMBER(SEARCH("、"&amp;B48&amp;"、","、"&amp;IFERROR(INDEX(表單!$I$2:$I$500,MATCH(A48,表單!$A$2:$A$500,0)),"")&amp;"、")))),"⚠ 單元不在適用單元內 ","")&amp;IF(AND(H48="Y",B48=""),"⚠ 排除只能用在單元列 ","")&amp;IF(AND(H48="Y",B48&lt;&gt;"",SUMPRODUCT(($A$2:$A$500=A48)*($C$2:$C$500=C48)*($D$2:$D$500=D48)*($B$2:$B$500=""))=0),"⚠ 排除需對應共用欄位 ","")&amp;IF(AND(ISNUMBER(F48),ISNUMBER(G48),F48&gt;G48),"⚠ 下限大於上限 ","")&amp;IF(SUMPRODUCT((檢查項目!$A$2:$A$500=A48)*(檢查項目!$C$2:$C$500=C48)*(檢查項目!$G$2:$G$500="數值"))=0,"⚠ 該項目不是數值類型 ",""))="","✓",TRIM(IF(SUMPRODUCT(($A$2:$A$500=A48)*($B$2:$B$500=B48)*($C$2:$C$500=C48)*($D$2:$D$500=D48))&gt;1,"⚠ 欄位名稱重複 ","")&amp;IF(AND(B48&lt;&gt;"",NOT(ISNUMBER(SEARCH("、"&amp;B48&amp;"、","、"&amp;IFERROR(INDEX(表單!$I$2:$I$500,MATCH(A48,表單!$A$2:$A$500,0)),"")&amp;"、")))),"⚠ 單元不在適用單元內 ","")&amp;IF(AND(H48="Y",B48=""),"⚠ 排除只能用在單元列 ","")&amp;IF(AND(H48="Y",B48&lt;&gt;"",SUMPRODUCT(($A$2:$A$500=A48)*($C$2:$C$500=C48)*($D$2:$D$500=D48)*($B$2:$B$500=""))=0),"⚠ 排除需對應共用欄位 ","")&amp;IF(AND(ISNUMBER(F48),ISNUMBER(G48),F48&gt;G48),"⚠ 下限大於上限 ","")&amp;IF(SUMPRODUCT((檢查項目!$A$2:$A$500=A48)*(檢查項目!$C$2:$C$500=C48)*(檢查項目!$G$2:$G$500="數值"))=0,"⚠ 該項目不是數值類型 ",""))))</f>
        <v/>
      </c>
    </row>
    <row r="49">
      <c r="I49" s="2">
        <f>IF(A49="","",IFERROR(INDEX(檢查項目!$E$2:$E$500,MATCH(1,INDEX((檢查項目!$A$2:$A$500=A49)*(檢查項目!$C$2:$C$500=C49)*(檢查項目!$B$2:$B$500=B49),0),0)),IFERROR(INDEX(檢查項目!$E$2:$E$500,MATCH(1,INDEX((檢查項目!$A$2:$A$500=A49)*(檢查項目!$C$2:$C$500=C49)*(檢查項目!$B$2:$B$500=""),0),0)),"⚠ 找不到項目")))</f>
        <v/>
      </c>
      <c r="J49" s="2">
        <f>IF(A49="","",IF(B49="","共用",IF(H49="Y","排除（"&amp;B49&amp;"）",IF(SUMPRODUCT(($A$2:$A$500=A49)*($C$2:$C$500=C49)*($D$2:$D$500=D49)*($B$2:$B$500=""))&gt;0,"覆蓋共用（"&amp;B49&amp;"）","單元新增（"&amp;B49&amp;"）"))))</f>
        <v/>
      </c>
      <c r="K49" s="2">
        <f>IF(A49="","",IF(H49="Y","—",IF(AND(F49&lt;&gt;"",G49&lt;&gt;""),F49&amp;" ~ "&amp;G49,IF(G49&lt;&gt;"","≤ "&amp;G49,IF(F49&lt;&gt;"","≥ "&amp;F49,"只記錄、不檢核")))))</f>
        <v/>
      </c>
      <c r="L49" s="2">
        <f>IF(A49="","",IF(TRIM(IF(SUMPRODUCT(($A$2:$A$500=A49)*($B$2:$B$500=B49)*($C$2:$C$500=C49)*($D$2:$D$500=D49))&gt;1,"⚠ 欄位名稱重複 ","")&amp;IF(AND(B49&lt;&gt;"",NOT(ISNUMBER(SEARCH("、"&amp;B49&amp;"、","、"&amp;IFERROR(INDEX(表單!$I$2:$I$500,MATCH(A49,表單!$A$2:$A$500,0)),"")&amp;"、")))),"⚠ 單元不在適用單元內 ","")&amp;IF(AND(H49="Y",B49=""),"⚠ 排除只能用在單元列 ","")&amp;IF(AND(H49="Y",B49&lt;&gt;"",SUMPRODUCT(($A$2:$A$500=A49)*($C$2:$C$500=C49)*($D$2:$D$500=D49)*($B$2:$B$500=""))=0),"⚠ 排除需對應共用欄位 ","")&amp;IF(AND(ISNUMBER(F49),ISNUMBER(G49),F49&gt;G49),"⚠ 下限大於上限 ","")&amp;IF(SUMPRODUCT((檢查項目!$A$2:$A$500=A49)*(檢查項目!$C$2:$C$500=C49)*(檢查項目!$G$2:$G$500="數值"))=0,"⚠ 該項目不是數值類型 ",""))="","✓",TRIM(IF(SUMPRODUCT(($A$2:$A$500=A49)*($B$2:$B$500=B49)*($C$2:$C$500=C49)*($D$2:$D$500=D49))&gt;1,"⚠ 欄位名稱重複 ","")&amp;IF(AND(B49&lt;&gt;"",NOT(ISNUMBER(SEARCH("、"&amp;B49&amp;"、","、"&amp;IFERROR(INDEX(表單!$I$2:$I$500,MATCH(A49,表單!$A$2:$A$500,0)),"")&amp;"、")))),"⚠ 單元不在適用單元內 ","")&amp;IF(AND(H49="Y",B49=""),"⚠ 排除只能用在單元列 ","")&amp;IF(AND(H49="Y",B49&lt;&gt;"",SUMPRODUCT(($A$2:$A$500=A49)*($C$2:$C$500=C49)*($D$2:$D$500=D49)*($B$2:$B$500=""))=0),"⚠ 排除需對應共用欄位 ","")&amp;IF(AND(ISNUMBER(F49),ISNUMBER(G49),F49&gt;G49),"⚠ 下限大於上限 ","")&amp;IF(SUMPRODUCT((檢查項目!$A$2:$A$500=A49)*(檢查項目!$C$2:$C$500=C49)*(檢查項目!$G$2:$G$500="數值"))=0,"⚠ 該項目不是數值類型 ",""))))</f>
        <v/>
      </c>
    </row>
    <row r="50">
      <c r="I50" s="2">
        <f>IF(A50="","",IFERROR(INDEX(檢查項目!$E$2:$E$500,MATCH(1,INDEX((檢查項目!$A$2:$A$500=A50)*(檢查項目!$C$2:$C$500=C50)*(檢查項目!$B$2:$B$500=B50),0),0)),IFERROR(INDEX(檢查項目!$E$2:$E$500,MATCH(1,INDEX((檢查項目!$A$2:$A$500=A50)*(檢查項目!$C$2:$C$500=C50)*(檢查項目!$B$2:$B$500=""),0),0)),"⚠ 找不到項目")))</f>
        <v/>
      </c>
      <c r="J50" s="2">
        <f>IF(A50="","",IF(B50="","共用",IF(H50="Y","排除（"&amp;B50&amp;"）",IF(SUMPRODUCT(($A$2:$A$500=A50)*($C$2:$C$500=C50)*($D$2:$D$500=D50)*($B$2:$B$500=""))&gt;0,"覆蓋共用（"&amp;B50&amp;"）","單元新增（"&amp;B50&amp;"）"))))</f>
        <v/>
      </c>
      <c r="K50" s="2">
        <f>IF(A50="","",IF(H50="Y","—",IF(AND(F50&lt;&gt;"",G50&lt;&gt;""),F50&amp;" ~ "&amp;G50,IF(G50&lt;&gt;"","≤ "&amp;G50,IF(F50&lt;&gt;"","≥ "&amp;F50,"只記錄、不檢核")))))</f>
        <v/>
      </c>
      <c r="L50" s="2">
        <f>IF(A50="","",IF(TRIM(IF(SUMPRODUCT(($A$2:$A$500=A50)*($B$2:$B$500=B50)*($C$2:$C$500=C50)*($D$2:$D$500=D50))&gt;1,"⚠ 欄位名稱重複 ","")&amp;IF(AND(B50&lt;&gt;"",NOT(ISNUMBER(SEARCH("、"&amp;B50&amp;"、","、"&amp;IFERROR(INDEX(表單!$I$2:$I$500,MATCH(A50,表單!$A$2:$A$500,0)),"")&amp;"、")))),"⚠ 單元不在適用單元內 ","")&amp;IF(AND(H50="Y",B50=""),"⚠ 排除只能用在單元列 ","")&amp;IF(AND(H50="Y",B50&lt;&gt;"",SUMPRODUCT(($A$2:$A$500=A50)*($C$2:$C$500=C50)*($D$2:$D$500=D50)*($B$2:$B$500=""))=0),"⚠ 排除需對應共用欄位 ","")&amp;IF(AND(ISNUMBER(F50),ISNUMBER(G50),F50&gt;G50),"⚠ 下限大於上限 ","")&amp;IF(SUMPRODUCT((檢查項目!$A$2:$A$500=A50)*(檢查項目!$C$2:$C$500=C50)*(檢查項目!$G$2:$G$500="數值"))=0,"⚠ 該項目不是數值類型 ",""))="","✓",TRIM(IF(SUMPRODUCT(($A$2:$A$500=A50)*($B$2:$B$500=B50)*($C$2:$C$500=C50)*($D$2:$D$500=D50))&gt;1,"⚠ 欄位名稱重複 ","")&amp;IF(AND(B50&lt;&gt;"",NOT(ISNUMBER(SEARCH("、"&amp;B50&amp;"、","、"&amp;IFERROR(INDEX(表單!$I$2:$I$500,MATCH(A50,表單!$A$2:$A$500,0)),"")&amp;"、")))),"⚠ 單元不在適用單元內 ","")&amp;IF(AND(H50="Y",B50=""),"⚠ 排除只能用在單元列 ","")&amp;IF(AND(H50="Y",B50&lt;&gt;"",SUMPRODUCT(($A$2:$A$500=A50)*($C$2:$C$500=C50)*($D$2:$D$500=D50)*($B$2:$B$500=""))=0),"⚠ 排除需對應共用欄位 ","")&amp;IF(AND(ISNUMBER(F50),ISNUMBER(G50),F50&gt;G50),"⚠ 下限大於上限 ","")&amp;IF(SUMPRODUCT((檢查項目!$A$2:$A$500=A50)*(檢查項目!$C$2:$C$500=C50)*(檢查項目!$G$2:$G$500="數值"))=0,"⚠ 該項目不是數值類型 ",""))))</f>
        <v/>
      </c>
    </row>
    <row r="51">
      <c r="I51" s="2">
        <f>IF(A51="","",IFERROR(INDEX(檢查項目!$E$2:$E$500,MATCH(1,INDEX((檢查項目!$A$2:$A$500=A51)*(檢查項目!$C$2:$C$500=C51)*(檢查項目!$B$2:$B$500=B51),0),0)),IFERROR(INDEX(檢查項目!$E$2:$E$500,MATCH(1,INDEX((檢查項目!$A$2:$A$500=A51)*(檢查項目!$C$2:$C$500=C51)*(檢查項目!$B$2:$B$500=""),0),0)),"⚠ 找不到項目")))</f>
        <v/>
      </c>
      <c r="J51" s="2">
        <f>IF(A51="","",IF(B51="","共用",IF(H51="Y","排除（"&amp;B51&amp;"）",IF(SUMPRODUCT(($A$2:$A$500=A51)*($C$2:$C$500=C51)*($D$2:$D$500=D51)*($B$2:$B$500=""))&gt;0,"覆蓋共用（"&amp;B51&amp;"）","單元新增（"&amp;B51&amp;"）"))))</f>
        <v/>
      </c>
      <c r="K51" s="2">
        <f>IF(A51="","",IF(H51="Y","—",IF(AND(F51&lt;&gt;"",G51&lt;&gt;""),F51&amp;" ~ "&amp;G51,IF(G51&lt;&gt;"","≤ "&amp;G51,IF(F51&lt;&gt;"","≥ "&amp;F51,"只記錄、不檢核")))))</f>
        <v/>
      </c>
      <c r="L51" s="2">
        <f>IF(A51="","",IF(TRIM(IF(SUMPRODUCT(($A$2:$A$500=A51)*($B$2:$B$500=B51)*($C$2:$C$500=C51)*($D$2:$D$500=D51))&gt;1,"⚠ 欄位名稱重複 ","")&amp;IF(AND(B51&lt;&gt;"",NOT(ISNUMBER(SEARCH("、"&amp;B51&amp;"、","、"&amp;IFERROR(INDEX(表單!$I$2:$I$500,MATCH(A51,表單!$A$2:$A$500,0)),"")&amp;"、")))),"⚠ 單元不在適用單元內 ","")&amp;IF(AND(H51="Y",B51=""),"⚠ 排除只能用在單元列 ","")&amp;IF(AND(H51="Y",B51&lt;&gt;"",SUMPRODUCT(($A$2:$A$500=A51)*($C$2:$C$500=C51)*($D$2:$D$500=D51)*($B$2:$B$500=""))=0),"⚠ 排除需對應共用欄位 ","")&amp;IF(AND(ISNUMBER(F51),ISNUMBER(G51),F51&gt;G51),"⚠ 下限大於上限 ","")&amp;IF(SUMPRODUCT((檢查項目!$A$2:$A$500=A51)*(檢查項目!$C$2:$C$500=C51)*(檢查項目!$G$2:$G$500="數值"))=0,"⚠ 該項目不是數值類型 ",""))="","✓",TRIM(IF(SUMPRODUCT(($A$2:$A$500=A51)*($B$2:$B$500=B51)*($C$2:$C$500=C51)*($D$2:$D$500=D51))&gt;1,"⚠ 欄位名稱重複 ","")&amp;IF(AND(B51&lt;&gt;"",NOT(ISNUMBER(SEARCH("、"&amp;B51&amp;"、","、"&amp;IFERROR(INDEX(表單!$I$2:$I$500,MATCH(A51,表單!$A$2:$A$500,0)),"")&amp;"、")))),"⚠ 單元不在適用單元內 ","")&amp;IF(AND(H51="Y",B51=""),"⚠ 排除只能用在單元列 ","")&amp;IF(AND(H51="Y",B51&lt;&gt;"",SUMPRODUCT(($A$2:$A$500=A51)*($C$2:$C$500=C51)*($D$2:$D$500=D51)*($B$2:$B$500=""))=0),"⚠ 排除需對應共用欄位 ","")&amp;IF(AND(ISNUMBER(F51),ISNUMBER(G51),F51&gt;G51),"⚠ 下限大於上限 ","")&amp;IF(SUMPRODUCT((檢查項目!$A$2:$A$500=A51)*(檢查項目!$C$2:$C$500=C51)*(檢查項目!$G$2:$G$500="數值"))=0,"⚠ 該項目不是數值類型 ",""))))</f>
        <v/>
      </c>
    </row>
    <row r="52">
      <c r="I52" s="2">
        <f>IF(A52="","",IFERROR(INDEX(檢查項目!$E$2:$E$500,MATCH(1,INDEX((檢查項目!$A$2:$A$500=A52)*(檢查項目!$C$2:$C$500=C52)*(檢查項目!$B$2:$B$500=B52),0),0)),IFERROR(INDEX(檢查項目!$E$2:$E$500,MATCH(1,INDEX((檢查項目!$A$2:$A$500=A52)*(檢查項目!$C$2:$C$500=C52)*(檢查項目!$B$2:$B$500=""),0),0)),"⚠ 找不到項目")))</f>
        <v/>
      </c>
      <c r="J52" s="2">
        <f>IF(A52="","",IF(B52="","共用",IF(H52="Y","排除（"&amp;B52&amp;"）",IF(SUMPRODUCT(($A$2:$A$500=A52)*($C$2:$C$500=C52)*($D$2:$D$500=D52)*($B$2:$B$500=""))&gt;0,"覆蓋共用（"&amp;B52&amp;"）","單元新增（"&amp;B52&amp;"）"))))</f>
        <v/>
      </c>
      <c r="K52" s="2">
        <f>IF(A52="","",IF(H52="Y","—",IF(AND(F52&lt;&gt;"",G52&lt;&gt;""),F52&amp;" ~ "&amp;G52,IF(G52&lt;&gt;"","≤ "&amp;G52,IF(F52&lt;&gt;"","≥ "&amp;F52,"只記錄、不檢核")))))</f>
        <v/>
      </c>
      <c r="L52" s="2">
        <f>IF(A52="","",IF(TRIM(IF(SUMPRODUCT(($A$2:$A$500=A52)*($B$2:$B$500=B52)*($C$2:$C$500=C52)*($D$2:$D$500=D52))&gt;1,"⚠ 欄位名稱重複 ","")&amp;IF(AND(B52&lt;&gt;"",NOT(ISNUMBER(SEARCH("、"&amp;B52&amp;"、","、"&amp;IFERROR(INDEX(表單!$I$2:$I$500,MATCH(A52,表單!$A$2:$A$500,0)),"")&amp;"、")))),"⚠ 單元不在適用單元內 ","")&amp;IF(AND(H52="Y",B52=""),"⚠ 排除只能用在單元列 ","")&amp;IF(AND(H52="Y",B52&lt;&gt;"",SUMPRODUCT(($A$2:$A$500=A52)*($C$2:$C$500=C52)*($D$2:$D$500=D52)*($B$2:$B$500=""))=0),"⚠ 排除需對應共用欄位 ","")&amp;IF(AND(ISNUMBER(F52),ISNUMBER(G52),F52&gt;G52),"⚠ 下限大於上限 ","")&amp;IF(SUMPRODUCT((檢查項目!$A$2:$A$500=A52)*(檢查項目!$C$2:$C$500=C52)*(檢查項目!$G$2:$G$500="數值"))=0,"⚠ 該項目不是數值類型 ",""))="","✓",TRIM(IF(SUMPRODUCT(($A$2:$A$500=A52)*($B$2:$B$500=B52)*($C$2:$C$500=C52)*($D$2:$D$500=D52))&gt;1,"⚠ 欄位名稱重複 ","")&amp;IF(AND(B52&lt;&gt;"",NOT(ISNUMBER(SEARCH("、"&amp;B52&amp;"、","、"&amp;IFERROR(INDEX(表單!$I$2:$I$500,MATCH(A52,表單!$A$2:$A$500,0)),"")&amp;"、")))),"⚠ 單元不在適用單元內 ","")&amp;IF(AND(H52="Y",B52=""),"⚠ 排除只能用在單元列 ","")&amp;IF(AND(H52="Y",B52&lt;&gt;"",SUMPRODUCT(($A$2:$A$500=A52)*($C$2:$C$500=C52)*($D$2:$D$500=D52)*($B$2:$B$500=""))=0),"⚠ 排除需對應共用欄位 ","")&amp;IF(AND(ISNUMBER(F52),ISNUMBER(G52),F52&gt;G52),"⚠ 下限大於上限 ","")&amp;IF(SUMPRODUCT((檢查項目!$A$2:$A$500=A52)*(檢查項目!$C$2:$C$500=C52)*(檢查項目!$G$2:$G$500="數值"))=0,"⚠ 該項目不是數值類型 ",""))))</f>
        <v/>
      </c>
    </row>
    <row r="53">
      <c r="I53" s="2">
        <f>IF(A53="","",IFERROR(INDEX(檢查項目!$E$2:$E$500,MATCH(1,INDEX((檢查項目!$A$2:$A$500=A53)*(檢查項目!$C$2:$C$500=C53)*(檢查項目!$B$2:$B$500=B53),0),0)),IFERROR(INDEX(檢查項目!$E$2:$E$500,MATCH(1,INDEX((檢查項目!$A$2:$A$500=A53)*(檢查項目!$C$2:$C$500=C53)*(檢查項目!$B$2:$B$500=""),0),0)),"⚠ 找不到項目")))</f>
        <v/>
      </c>
      <c r="J53" s="2">
        <f>IF(A53="","",IF(B53="","共用",IF(H53="Y","排除（"&amp;B53&amp;"）",IF(SUMPRODUCT(($A$2:$A$500=A53)*($C$2:$C$500=C53)*($D$2:$D$500=D53)*($B$2:$B$500=""))&gt;0,"覆蓋共用（"&amp;B53&amp;"）","單元新增（"&amp;B53&amp;"）"))))</f>
        <v/>
      </c>
      <c r="K53" s="2">
        <f>IF(A53="","",IF(H53="Y","—",IF(AND(F53&lt;&gt;"",G53&lt;&gt;""),F53&amp;" ~ "&amp;G53,IF(G53&lt;&gt;"","≤ "&amp;G53,IF(F53&lt;&gt;"","≥ "&amp;F53,"只記錄、不檢核")))))</f>
        <v/>
      </c>
      <c r="L53" s="2">
        <f>IF(A53="","",IF(TRIM(IF(SUMPRODUCT(($A$2:$A$500=A53)*($B$2:$B$500=B53)*($C$2:$C$500=C53)*($D$2:$D$500=D53))&gt;1,"⚠ 欄位名稱重複 ","")&amp;IF(AND(B53&lt;&gt;"",NOT(ISNUMBER(SEARCH("、"&amp;B53&amp;"、","、"&amp;IFERROR(INDEX(表單!$I$2:$I$500,MATCH(A53,表單!$A$2:$A$500,0)),"")&amp;"、")))),"⚠ 單元不在適用單元內 ","")&amp;IF(AND(H53="Y",B53=""),"⚠ 排除只能用在單元列 ","")&amp;IF(AND(H53="Y",B53&lt;&gt;"",SUMPRODUCT(($A$2:$A$500=A53)*($C$2:$C$500=C53)*($D$2:$D$500=D53)*($B$2:$B$500=""))=0),"⚠ 排除需對應共用欄位 ","")&amp;IF(AND(ISNUMBER(F53),ISNUMBER(G53),F53&gt;G53),"⚠ 下限大於上限 ","")&amp;IF(SUMPRODUCT((檢查項目!$A$2:$A$500=A53)*(檢查項目!$C$2:$C$500=C53)*(檢查項目!$G$2:$G$500="數值"))=0,"⚠ 該項目不是數值類型 ",""))="","✓",TRIM(IF(SUMPRODUCT(($A$2:$A$500=A53)*($B$2:$B$500=B53)*($C$2:$C$500=C53)*($D$2:$D$500=D53))&gt;1,"⚠ 欄位名稱重複 ","")&amp;IF(AND(B53&lt;&gt;"",NOT(ISNUMBER(SEARCH("、"&amp;B53&amp;"、","、"&amp;IFERROR(INDEX(表單!$I$2:$I$500,MATCH(A53,表單!$A$2:$A$500,0)),"")&amp;"、")))),"⚠ 單元不在適用單元內 ","")&amp;IF(AND(H53="Y",B53=""),"⚠ 排除只能用在單元列 ","")&amp;IF(AND(H53="Y",B53&lt;&gt;"",SUMPRODUCT(($A$2:$A$500=A53)*($C$2:$C$500=C53)*($D$2:$D$500=D53)*($B$2:$B$500=""))=0),"⚠ 排除需對應共用欄位 ","")&amp;IF(AND(ISNUMBER(F53),ISNUMBER(G53),F53&gt;G53),"⚠ 下限大於上限 ","")&amp;IF(SUMPRODUCT((檢查項目!$A$2:$A$500=A53)*(檢查項目!$C$2:$C$500=C53)*(檢查項目!$G$2:$G$500="數值"))=0,"⚠ 該項目不是數值類型 ",""))))</f>
        <v/>
      </c>
    </row>
    <row r="54">
      <c r="I54" s="2">
        <f>IF(A54="","",IFERROR(INDEX(檢查項目!$E$2:$E$500,MATCH(1,INDEX((檢查項目!$A$2:$A$500=A54)*(檢查項目!$C$2:$C$500=C54)*(檢查項目!$B$2:$B$500=B54),0),0)),IFERROR(INDEX(檢查項目!$E$2:$E$500,MATCH(1,INDEX((檢查項目!$A$2:$A$500=A54)*(檢查項目!$C$2:$C$500=C54)*(檢查項目!$B$2:$B$500=""),0),0)),"⚠ 找不到項目")))</f>
        <v/>
      </c>
      <c r="J54" s="2">
        <f>IF(A54="","",IF(B54="","共用",IF(H54="Y","排除（"&amp;B54&amp;"）",IF(SUMPRODUCT(($A$2:$A$500=A54)*($C$2:$C$500=C54)*($D$2:$D$500=D54)*($B$2:$B$500=""))&gt;0,"覆蓋共用（"&amp;B54&amp;"）","單元新增（"&amp;B54&amp;"）"))))</f>
        <v/>
      </c>
      <c r="K54" s="2">
        <f>IF(A54="","",IF(H54="Y","—",IF(AND(F54&lt;&gt;"",G54&lt;&gt;""),F54&amp;" ~ "&amp;G54,IF(G54&lt;&gt;"","≤ "&amp;G54,IF(F54&lt;&gt;"","≥ "&amp;F54,"只記錄、不檢核")))))</f>
        <v/>
      </c>
      <c r="L54" s="2">
        <f>IF(A54="","",IF(TRIM(IF(SUMPRODUCT(($A$2:$A$500=A54)*($B$2:$B$500=B54)*($C$2:$C$500=C54)*($D$2:$D$500=D54))&gt;1,"⚠ 欄位名稱重複 ","")&amp;IF(AND(B54&lt;&gt;"",NOT(ISNUMBER(SEARCH("、"&amp;B54&amp;"、","、"&amp;IFERROR(INDEX(表單!$I$2:$I$500,MATCH(A54,表單!$A$2:$A$500,0)),"")&amp;"、")))),"⚠ 單元不在適用單元內 ","")&amp;IF(AND(H54="Y",B54=""),"⚠ 排除只能用在單元列 ","")&amp;IF(AND(H54="Y",B54&lt;&gt;"",SUMPRODUCT(($A$2:$A$500=A54)*($C$2:$C$500=C54)*($D$2:$D$500=D54)*($B$2:$B$500=""))=0),"⚠ 排除需對應共用欄位 ","")&amp;IF(AND(ISNUMBER(F54),ISNUMBER(G54),F54&gt;G54),"⚠ 下限大於上限 ","")&amp;IF(SUMPRODUCT((檢查項目!$A$2:$A$500=A54)*(檢查項目!$C$2:$C$500=C54)*(檢查項目!$G$2:$G$500="數值"))=0,"⚠ 該項目不是數值類型 ",""))="","✓",TRIM(IF(SUMPRODUCT(($A$2:$A$500=A54)*($B$2:$B$500=B54)*($C$2:$C$500=C54)*($D$2:$D$500=D54))&gt;1,"⚠ 欄位名稱重複 ","")&amp;IF(AND(B54&lt;&gt;"",NOT(ISNUMBER(SEARCH("、"&amp;B54&amp;"、","、"&amp;IFERROR(INDEX(表單!$I$2:$I$500,MATCH(A54,表單!$A$2:$A$500,0)),"")&amp;"、")))),"⚠ 單元不在適用單元內 ","")&amp;IF(AND(H54="Y",B54=""),"⚠ 排除只能用在單元列 ","")&amp;IF(AND(H54="Y",B54&lt;&gt;"",SUMPRODUCT(($A$2:$A$500=A54)*($C$2:$C$500=C54)*($D$2:$D$500=D54)*($B$2:$B$500=""))=0),"⚠ 排除需對應共用欄位 ","")&amp;IF(AND(ISNUMBER(F54),ISNUMBER(G54),F54&gt;G54),"⚠ 下限大於上限 ","")&amp;IF(SUMPRODUCT((檢查項目!$A$2:$A$500=A54)*(檢查項目!$C$2:$C$500=C54)*(檢查項目!$G$2:$G$500="數值"))=0,"⚠ 該項目不是數值類型 ",""))))</f>
        <v/>
      </c>
    </row>
    <row r="55">
      <c r="I55" s="2">
        <f>IF(A55="","",IFERROR(INDEX(檢查項目!$E$2:$E$500,MATCH(1,INDEX((檢查項目!$A$2:$A$500=A55)*(檢查項目!$C$2:$C$500=C55)*(檢查項目!$B$2:$B$500=B55),0),0)),IFERROR(INDEX(檢查項目!$E$2:$E$500,MATCH(1,INDEX((檢查項目!$A$2:$A$500=A55)*(檢查項目!$C$2:$C$500=C55)*(檢查項目!$B$2:$B$500=""),0),0)),"⚠ 找不到項目")))</f>
        <v/>
      </c>
      <c r="J55" s="2">
        <f>IF(A55="","",IF(B55="","共用",IF(H55="Y","排除（"&amp;B55&amp;"）",IF(SUMPRODUCT(($A$2:$A$500=A55)*($C$2:$C$500=C55)*($D$2:$D$500=D55)*($B$2:$B$500=""))&gt;0,"覆蓋共用（"&amp;B55&amp;"）","單元新增（"&amp;B55&amp;"）"))))</f>
        <v/>
      </c>
      <c r="K55" s="2">
        <f>IF(A55="","",IF(H55="Y","—",IF(AND(F55&lt;&gt;"",G55&lt;&gt;""),F55&amp;" ~ "&amp;G55,IF(G55&lt;&gt;"","≤ "&amp;G55,IF(F55&lt;&gt;"","≥ "&amp;F55,"只記錄、不檢核")))))</f>
        <v/>
      </c>
      <c r="L55" s="2">
        <f>IF(A55="","",IF(TRIM(IF(SUMPRODUCT(($A$2:$A$500=A55)*($B$2:$B$500=B55)*($C$2:$C$500=C55)*($D$2:$D$500=D55))&gt;1,"⚠ 欄位名稱重複 ","")&amp;IF(AND(B55&lt;&gt;"",NOT(ISNUMBER(SEARCH("、"&amp;B55&amp;"、","、"&amp;IFERROR(INDEX(表單!$I$2:$I$500,MATCH(A55,表單!$A$2:$A$500,0)),"")&amp;"、")))),"⚠ 單元不在適用單元內 ","")&amp;IF(AND(H55="Y",B55=""),"⚠ 排除只能用在單元列 ","")&amp;IF(AND(H55="Y",B55&lt;&gt;"",SUMPRODUCT(($A$2:$A$500=A55)*($C$2:$C$500=C55)*($D$2:$D$500=D55)*($B$2:$B$500=""))=0),"⚠ 排除需對應共用欄位 ","")&amp;IF(AND(ISNUMBER(F55),ISNUMBER(G55),F55&gt;G55),"⚠ 下限大於上限 ","")&amp;IF(SUMPRODUCT((檢查項目!$A$2:$A$500=A55)*(檢查項目!$C$2:$C$500=C55)*(檢查項目!$G$2:$G$500="數值"))=0,"⚠ 該項目不是數值類型 ",""))="","✓",TRIM(IF(SUMPRODUCT(($A$2:$A$500=A55)*($B$2:$B$500=B55)*($C$2:$C$500=C55)*($D$2:$D$500=D55))&gt;1,"⚠ 欄位名稱重複 ","")&amp;IF(AND(B55&lt;&gt;"",NOT(ISNUMBER(SEARCH("、"&amp;B55&amp;"、","、"&amp;IFERROR(INDEX(表單!$I$2:$I$500,MATCH(A55,表單!$A$2:$A$500,0)),"")&amp;"、")))),"⚠ 單元不在適用單元內 ","")&amp;IF(AND(H55="Y",B55=""),"⚠ 排除只能用在單元列 ","")&amp;IF(AND(H55="Y",B55&lt;&gt;"",SUMPRODUCT(($A$2:$A$500=A55)*($C$2:$C$500=C55)*($D$2:$D$500=D55)*($B$2:$B$500=""))=0),"⚠ 排除需對應共用欄位 ","")&amp;IF(AND(ISNUMBER(F55),ISNUMBER(G55),F55&gt;G55),"⚠ 下限大於上限 ","")&amp;IF(SUMPRODUCT((檢查項目!$A$2:$A$500=A55)*(檢查項目!$C$2:$C$500=C55)*(檢查項目!$G$2:$G$500="數值"))=0,"⚠ 該項目不是數值類型 ",""))))</f>
        <v/>
      </c>
    </row>
    <row r="56">
      <c r="I56" s="2">
        <f>IF(A56="","",IFERROR(INDEX(檢查項目!$E$2:$E$500,MATCH(1,INDEX((檢查項目!$A$2:$A$500=A56)*(檢查項目!$C$2:$C$500=C56)*(檢查項目!$B$2:$B$500=B56),0),0)),IFERROR(INDEX(檢查項目!$E$2:$E$500,MATCH(1,INDEX((檢查項目!$A$2:$A$500=A56)*(檢查項目!$C$2:$C$500=C56)*(檢查項目!$B$2:$B$500=""),0),0)),"⚠ 找不到項目")))</f>
        <v/>
      </c>
      <c r="J56" s="2">
        <f>IF(A56="","",IF(B56="","共用",IF(H56="Y","排除（"&amp;B56&amp;"）",IF(SUMPRODUCT(($A$2:$A$500=A56)*($C$2:$C$500=C56)*($D$2:$D$500=D56)*($B$2:$B$500=""))&gt;0,"覆蓋共用（"&amp;B56&amp;"）","單元新增（"&amp;B56&amp;"）"))))</f>
        <v/>
      </c>
      <c r="K56" s="2">
        <f>IF(A56="","",IF(H56="Y","—",IF(AND(F56&lt;&gt;"",G56&lt;&gt;""),F56&amp;" ~ "&amp;G56,IF(G56&lt;&gt;"","≤ "&amp;G56,IF(F56&lt;&gt;"","≥ "&amp;F56,"只記錄、不檢核")))))</f>
        <v/>
      </c>
      <c r="L56" s="2">
        <f>IF(A56="","",IF(TRIM(IF(SUMPRODUCT(($A$2:$A$500=A56)*($B$2:$B$500=B56)*($C$2:$C$500=C56)*($D$2:$D$500=D56))&gt;1,"⚠ 欄位名稱重複 ","")&amp;IF(AND(B56&lt;&gt;"",NOT(ISNUMBER(SEARCH("、"&amp;B56&amp;"、","、"&amp;IFERROR(INDEX(表單!$I$2:$I$500,MATCH(A56,表單!$A$2:$A$500,0)),"")&amp;"、")))),"⚠ 單元不在適用單元內 ","")&amp;IF(AND(H56="Y",B56=""),"⚠ 排除只能用在單元列 ","")&amp;IF(AND(H56="Y",B56&lt;&gt;"",SUMPRODUCT(($A$2:$A$500=A56)*($C$2:$C$500=C56)*($D$2:$D$500=D56)*($B$2:$B$500=""))=0),"⚠ 排除需對應共用欄位 ","")&amp;IF(AND(ISNUMBER(F56),ISNUMBER(G56),F56&gt;G56),"⚠ 下限大於上限 ","")&amp;IF(SUMPRODUCT((檢查項目!$A$2:$A$500=A56)*(檢查項目!$C$2:$C$500=C56)*(檢查項目!$G$2:$G$500="數值"))=0,"⚠ 該項目不是數值類型 ",""))="","✓",TRIM(IF(SUMPRODUCT(($A$2:$A$500=A56)*($B$2:$B$500=B56)*($C$2:$C$500=C56)*($D$2:$D$500=D56))&gt;1,"⚠ 欄位名稱重複 ","")&amp;IF(AND(B56&lt;&gt;"",NOT(ISNUMBER(SEARCH("、"&amp;B56&amp;"、","、"&amp;IFERROR(INDEX(表單!$I$2:$I$500,MATCH(A56,表單!$A$2:$A$500,0)),"")&amp;"、")))),"⚠ 單元不在適用單元內 ","")&amp;IF(AND(H56="Y",B56=""),"⚠ 排除只能用在單元列 ","")&amp;IF(AND(H56="Y",B56&lt;&gt;"",SUMPRODUCT(($A$2:$A$500=A56)*($C$2:$C$500=C56)*($D$2:$D$500=D56)*($B$2:$B$500=""))=0),"⚠ 排除需對應共用欄位 ","")&amp;IF(AND(ISNUMBER(F56),ISNUMBER(G56),F56&gt;G56),"⚠ 下限大於上限 ","")&amp;IF(SUMPRODUCT((檢查項目!$A$2:$A$500=A56)*(檢查項目!$C$2:$C$500=C56)*(檢查項目!$G$2:$G$500="數值"))=0,"⚠ 該項目不是數值類型 ",""))))</f>
        <v/>
      </c>
    </row>
    <row r="57">
      <c r="I57" s="2">
        <f>IF(A57="","",IFERROR(INDEX(檢查項目!$E$2:$E$500,MATCH(1,INDEX((檢查項目!$A$2:$A$500=A57)*(檢查項目!$C$2:$C$500=C57)*(檢查項目!$B$2:$B$500=B57),0),0)),IFERROR(INDEX(檢查項目!$E$2:$E$500,MATCH(1,INDEX((檢查項目!$A$2:$A$500=A57)*(檢查項目!$C$2:$C$500=C57)*(檢查項目!$B$2:$B$500=""),0),0)),"⚠ 找不到項目")))</f>
        <v/>
      </c>
      <c r="J57" s="2">
        <f>IF(A57="","",IF(B57="","共用",IF(H57="Y","排除（"&amp;B57&amp;"）",IF(SUMPRODUCT(($A$2:$A$500=A57)*($C$2:$C$500=C57)*($D$2:$D$500=D57)*($B$2:$B$500=""))&gt;0,"覆蓋共用（"&amp;B57&amp;"）","單元新增（"&amp;B57&amp;"）"))))</f>
        <v/>
      </c>
      <c r="K57" s="2">
        <f>IF(A57="","",IF(H57="Y","—",IF(AND(F57&lt;&gt;"",G57&lt;&gt;""),F57&amp;" ~ "&amp;G57,IF(G57&lt;&gt;"","≤ "&amp;G57,IF(F57&lt;&gt;"","≥ "&amp;F57,"只記錄、不檢核")))))</f>
        <v/>
      </c>
      <c r="L57" s="2">
        <f>IF(A57="","",IF(TRIM(IF(SUMPRODUCT(($A$2:$A$500=A57)*($B$2:$B$500=B57)*($C$2:$C$500=C57)*($D$2:$D$500=D57))&gt;1,"⚠ 欄位名稱重複 ","")&amp;IF(AND(B57&lt;&gt;"",NOT(ISNUMBER(SEARCH("、"&amp;B57&amp;"、","、"&amp;IFERROR(INDEX(表單!$I$2:$I$500,MATCH(A57,表單!$A$2:$A$500,0)),"")&amp;"、")))),"⚠ 單元不在適用單元內 ","")&amp;IF(AND(H57="Y",B57=""),"⚠ 排除只能用在單元列 ","")&amp;IF(AND(H57="Y",B57&lt;&gt;"",SUMPRODUCT(($A$2:$A$500=A57)*($C$2:$C$500=C57)*($D$2:$D$500=D57)*($B$2:$B$500=""))=0),"⚠ 排除需對應共用欄位 ","")&amp;IF(AND(ISNUMBER(F57),ISNUMBER(G57),F57&gt;G57),"⚠ 下限大於上限 ","")&amp;IF(SUMPRODUCT((檢查項目!$A$2:$A$500=A57)*(檢查項目!$C$2:$C$500=C57)*(檢查項目!$G$2:$G$500="數值"))=0,"⚠ 該項目不是數值類型 ",""))="","✓",TRIM(IF(SUMPRODUCT(($A$2:$A$500=A57)*($B$2:$B$500=B57)*($C$2:$C$500=C57)*($D$2:$D$500=D57))&gt;1,"⚠ 欄位名稱重複 ","")&amp;IF(AND(B57&lt;&gt;"",NOT(ISNUMBER(SEARCH("、"&amp;B57&amp;"、","、"&amp;IFERROR(INDEX(表單!$I$2:$I$500,MATCH(A57,表單!$A$2:$A$500,0)),"")&amp;"、")))),"⚠ 單元不在適用單元內 ","")&amp;IF(AND(H57="Y",B57=""),"⚠ 排除只能用在單元列 ","")&amp;IF(AND(H57="Y",B57&lt;&gt;"",SUMPRODUCT(($A$2:$A$500=A57)*($C$2:$C$500=C57)*($D$2:$D$500=D57)*($B$2:$B$500=""))=0),"⚠ 排除需對應共用欄位 ","")&amp;IF(AND(ISNUMBER(F57),ISNUMBER(G57),F57&gt;G57),"⚠ 下限大於上限 ","")&amp;IF(SUMPRODUCT((檢查項目!$A$2:$A$500=A57)*(檢查項目!$C$2:$C$500=C57)*(檢查項目!$G$2:$G$500="數值"))=0,"⚠ 該項目不是數值類型 ",""))))</f>
        <v/>
      </c>
    </row>
    <row r="58">
      <c r="I58" s="2">
        <f>IF(A58="","",IFERROR(INDEX(檢查項目!$E$2:$E$500,MATCH(1,INDEX((檢查項目!$A$2:$A$500=A58)*(檢查項目!$C$2:$C$500=C58)*(檢查項目!$B$2:$B$500=B58),0),0)),IFERROR(INDEX(檢查項目!$E$2:$E$500,MATCH(1,INDEX((檢查項目!$A$2:$A$500=A58)*(檢查項目!$C$2:$C$500=C58)*(檢查項目!$B$2:$B$500=""),0),0)),"⚠ 找不到項目")))</f>
        <v/>
      </c>
      <c r="J58" s="2">
        <f>IF(A58="","",IF(B58="","共用",IF(H58="Y","排除（"&amp;B58&amp;"）",IF(SUMPRODUCT(($A$2:$A$500=A58)*($C$2:$C$500=C58)*($D$2:$D$500=D58)*($B$2:$B$500=""))&gt;0,"覆蓋共用（"&amp;B58&amp;"）","單元新增（"&amp;B58&amp;"）"))))</f>
        <v/>
      </c>
      <c r="K58" s="2">
        <f>IF(A58="","",IF(H58="Y","—",IF(AND(F58&lt;&gt;"",G58&lt;&gt;""),F58&amp;" ~ "&amp;G58,IF(G58&lt;&gt;"","≤ "&amp;G58,IF(F58&lt;&gt;"","≥ "&amp;F58,"只記錄、不檢核")))))</f>
        <v/>
      </c>
      <c r="L58" s="2">
        <f>IF(A58="","",IF(TRIM(IF(SUMPRODUCT(($A$2:$A$500=A58)*($B$2:$B$500=B58)*($C$2:$C$500=C58)*($D$2:$D$500=D58))&gt;1,"⚠ 欄位名稱重複 ","")&amp;IF(AND(B58&lt;&gt;"",NOT(ISNUMBER(SEARCH("、"&amp;B58&amp;"、","、"&amp;IFERROR(INDEX(表單!$I$2:$I$500,MATCH(A58,表單!$A$2:$A$500,0)),"")&amp;"、")))),"⚠ 單元不在適用單元內 ","")&amp;IF(AND(H58="Y",B58=""),"⚠ 排除只能用在單元列 ","")&amp;IF(AND(H58="Y",B58&lt;&gt;"",SUMPRODUCT(($A$2:$A$500=A58)*($C$2:$C$500=C58)*($D$2:$D$500=D58)*($B$2:$B$500=""))=0),"⚠ 排除需對應共用欄位 ","")&amp;IF(AND(ISNUMBER(F58),ISNUMBER(G58),F58&gt;G58),"⚠ 下限大於上限 ","")&amp;IF(SUMPRODUCT((檢查項目!$A$2:$A$500=A58)*(檢查項目!$C$2:$C$500=C58)*(檢查項目!$G$2:$G$500="數值"))=0,"⚠ 該項目不是數值類型 ",""))="","✓",TRIM(IF(SUMPRODUCT(($A$2:$A$500=A58)*($B$2:$B$500=B58)*($C$2:$C$500=C58)*($D$2:$D$500=D58))&gt;1,"⚠ 欄位名稱重複 ","")&amp;IF(AND(B58&lt;&gt;"",NOT(ISNUMBER(SEARCH("、"&amp;B58&amp;"、","、"&amp;IFERROR(INDEX(表單!$I$2:$I$500,MATCH(A58,表單!$A$2:$A$500,0)),"")&amp;"、")))),"⚠ 單元不在適用單元內 ","")&amp;IF(AND(H58="Y",B58=""),"⚠ 排除只能用在單元列 ","")&amp;IF(AND(H58="Y",B58&lt;&gt;"",SUMPRODUCT(($A$2:$A$500=A58)*($C$2:$C$500=C58)*($D$2:$D$500=D58)*($B$2:$B$500=""))=0),"⚠ 排除需對應共用欄位 ","")&amp;IF(AND(ISNUMBER(F58),ISNUMBER(G58),F58&gt;G58),"⚠ 下限大於上限 ","")&amp;IF(SUMPRODUCT((檢查項目!$A$2:$A$500=A58)*(檢查項目!$C$2:$C$500=C58)*(檢查項目!$G$2:$G$500="數值"))=0,"⚠ 該項目不是數值類型 ",""))))</f>
        <v/>
      </c>
    </row>
    <row r="59">
      <c r="I59" s="2">
        <f>IF(A59="","",IFERROR(INDEX(檢查項目!$E$2:$E$500,MATCH(1,INDEX((檢查項目!$A$2:$A$500=A59)*(檢查項目!$C$2:$C$500=C59)*(檢查項目!$B$2:$B$500=B59),0),0)),IFERROR(INDEX(檢查項目!$E$2:$E$500,MATCH(1,INDEX((檢查項目!$A$2:$A$500=A59)*(檢查項目!$C$2:$C$500=C59)*(檢查項目!$B$2:$B$500=""),0),0)),"⚠ 找不到項目")))</f>
        <v/>
      </c>
      <c r="J59" s="2">
        <f>IF(A59="","",IF(B59="","共用",IF(H59="Y","排除（"&amp;B59&amp;"）",IF(SUMPRODUCT(($A$2:$A$500=A59)*($C$2:$C$500=C59)*($D$2:$D$500=D59)*($B$2:$B$500=""))&gt;0,"覆蓋共用（"&amp;B59&amp;"）","單元新增（"&amp;B59&amp;"）"))))</f>
        <v/>
      </c>
      <c r="K59" s="2">
        <f>IF(A59="","",IF(H59="Y","—",IF(AND(F59&lt;&gt;"",G59&lt;&gt;""),F59&amp;" ~ "&amp;G59,IF(G59&lt;&gt;"","≤ "&amp;G59,IF(F59&lt;&gt;"","≥ "&amp;F59,"只記錄、不檢核")))))</f>
        <v/>
      </c>
      <c r="L59" s="2">
        <f>IF(A59="","",IF(TRIM(IF(SUMPRODUCT(($A$2:$A$500=A59)*($B$2:$B$500=B59)*($C$2:$C$500=C59)*($D$2:$D$500=D59))&gt;1,"⚠ 欄位名稱重複 ","")&amp;IF(AND(B59&lt;&gt;"",NOT(ISNUMBER(SEARCH("、"&amp;B59&amp;"、","、"&amp;IFERROR(INDEX(表單!$I$2:$I$500,MATCH(A59,表單!$A$2:$A$500,0)),"")&amp;"、")))),"⚠ 單元不在適用單元內 ","")&amp;IF(AND(H59="Y",B59=""),"⚠ 排除只能用在單元列 ","")&amp;IF(AND(H59="Y",B59&lt;&gt;"",SUMPRODUCT(($A$2:$A$500=A59)*($C$2:$C$500=C59)*($D$2:$D$500=D59)*($B$2:$B$500=""))=0),"⚠ 排除需對應共用欄位 ","")&amp;IF(AND(ISNUMBER(F59),ISNUMBER(G59),F59&gt;G59),"⚠ 下限大於上限 ","")&amp;IF(SUMPRODUCT((檢查項目!$A$2:$A$500=A59)*(檢查項目!$C$2:$C$500=C59)*(檢查項目!$G$2:$G$500="數值"))=0,"⚠ 該項目不是數值類型 ",""))="","✓",TRIM(IF(SUMPRODUCT(($A$2:$A$500=A59)*($B$2:$B$500=B59)*($C$2:$C$500=C59)*($D$2:$D$500=D59))&gt;1,"⚠ 欄位名稱重複 ","")&amp;IF(AND(B59&lt;&gt;"",NOT(ISNUMBER(SEARCH("、"&amp;B59&amp;"、","、"&amp;IFERROR(INDEX(表單!$I$2:$I$500,MATCH(A59,表單!$A$2:$A$500,0)),"")&amp;"、")))),"⚠ 單元不在適用單元內 ","")&amp;IF(AND(H59="Y",B59=""),"⚠ 排除只能用在單元列 ","")&amp;IF(AND(H59="Y",B59&lt;&gt;"",SUMPRODUCT(($A$2:$A$500=A59)*($C$2:$C$500=C59)*($D$2:$D$500=D59)*($B$2:$B$500=""))=0),"⚠ 排除需對應共用欄位 ","")&amp;IF(AND(ISNUMBER(F59),ISNUMBER(G59),F59&gt;G59),"⚠ 下限大於上限 ","")&amp;IF(SUMPRODUCT((檢查項目!$A$2:$A$500=A59)*(檢查項目!$C$2:$C$500=C59)*(檢查項目!$G$2:$G$500="數值"))=0,"⚠ 該項目不是數值類型 ",""))))</f>
        <v/>
      </c>
    </row>
    <row r="60">
      <c r="I60" s="2">
        <f>IF(A60="","",IFERROR(INDEX(檢查項目!$E$2:$E$500,MATCH(1,INDEX((檢查項目!$A$2:$A$500=A60)*(檢查項目!$C$2:$C$500=C60)*(檢查項目!$B$2:$B$500=B60),0),0)),IFERROR(INDEX(檢查項目!$E$2:$E$500,MATCH(1,INDEX((檢查項目!$A$2:$A$500=A60)*(檢查項目!$C$2:$C$500=C60)*(檢查項目!$B$2:$B$500=""),0),0)),"⚠ 找不到項目")))</f>
        <v/>
      </c>
      <c r="J60" s="2">
        <f>IF(A60="","",IF(B60="","共用",IF(H60="Y","排除（"&amp;B60&amp;"）",IF(SUMPRODUCT(($A$2:$A$500=A60)*($C$2:$C$500=C60)*($D$2:$D$500=D60)*($B$2:$B$500=""))&gt;0,"覆蓋共用（"&amp;B60&amp;"）","單元新增（"&amp;B60&amp;"）"))))</f>
        <v/>
      </c>
      <c r="K60" s="2">
        <f>IF(A60="","",IF(H60="Y","—",IF(AND(F60&lt;&gt;"",G60&lt;&gt;""),F60&amp;" ~ "&amp;G60,IF(G60&lt;&gt;"","≤ "&amp;G60,IF(F60&lt;&gt;"","≥ "&amp;F60,"只記錄、不檢核")))))</f>
        <v/>
      </c>
      <c r="L60" s="2">
        <f>IF(A60="","",IF(TRIM(IF(SUMPRODUCT(($A$2:$A$500=A60)*($B$2:$B$500=B60)*($C$2:$C$500=C60)*($D$2:$D$500=D60))&gt;1,"⚠ 欄位名稱重複 ","")&amp;IF(AND(B60&lt;&gt;"",NOT(ISNUMBER(SEARCH("、"&amp;B60&amp;"、","、"&amp;IFERROR(INDEX(表單!$I$2:$I$500,MATCH(A60,表單!$A$2:$A$500,0)),"")&amp;"、")))),"⚠ 單元不在適用單元內 ","")&amp;IF(AND(H60="Y",B60=""),"⚠ 排除只能用在單元列 ","")&amp;IF(AND(H60="Y",B60&lt;&gt;"",SUMPRODUCT(($A$2:$A$500=A60)*($C$2:$C$500=C60)*($D$2:$D$500=D60)*($B$2:$B$500=""))=0),"⚠ 排除需對應共用欄位 ","")&amp;IF(AND(ISNUMBER(F60),ISNUMBER(G60),F60&gt;G60),"⚠ 下限大於上限 ","")&amp;IF(SUMPRODUCT((檢查項目!$A$2:$A$500=A60)*(檢查項目!$C$2:$C$500=C60)*(檢查項目!$G$2:$G$500="數值"))=0,"⚠ 該項目不是數值類型 ",""))="","✓",TRIM(IF(SUMPRODUCT(($A$2:$A$500=A60)*($B$2:$B$500=B60)*($C$2:$C$500=C60)*($D$2:$D$500=D60))&gt;1,"⚠ 欄位名稱重複 ","")&amp;IF(AND(B60&lt;&gt;"",NOT(ISNUMBER(SEARCH("、"&amp;B60&amp;"、","、"&amp;IFERROR(INDEX(表單!$I$2:$I$500,MATCH(A60,表單!$A$2:$A$500,0)),"")&amp;"、")))),"⚠ 單元不在適用單元內 ","")&amp;IF(AND(H60="Y",B60=""),"⚠ 排除只能用在單元列 ","")&amp;IF(AND(H60="Y",B60&lt;&gt;"",SUMPRODUCT(($A$2:$A$500=A60)*($C$2:$C$500=C60)*($D$2:$D$500=D60)*($B$2:$B$500=""))=0),"⚠ 排除需對應共用欄位 ","")&amp;IF(AND(ISNUMBER(F60),ISNUMBER(G60),F60&gt;G60),"⚠ 下限大於上限 ","")&amp;IF(SUMPRODUCT((檢查項目!$A$2:$A$500=A60)*(檢查項目!$C$2:$C$500=C60)*(檢查項目!$G$2:$G$500="數值"))=0,"⚠ 該項目不是數值類型 ",""))))</f>
        <v/>
      </c>
    </row>
    <row r="61">
      <c r="I61" s="2">
        <f>IF(A61="","",IFERROR(INDEX(檢查項目!$E$2:$E$500,MATCH(1,INDEX((檢查項目!$A$2:$A$500=A61)*(檢查項目!$C$2:$C$500=C61)*(檢查項目!$B$2:$B$500=B61),0),0)),IFERROR(INDEX(檢查項目!$E$2:$E$500,MATCH(1,INDEX((檢查項目!$A$2:$A$500=A61)*(檢查項目!$C$2:$C$500=C61)*(檢查項目!$B$2:$B$500=""),0),0)),"⚠ 找不到項目")))</f>
        <v/>
      </c>
      <c r="J61" s="2">
        <f>IF(A61="","",IF(B61="","共用",IF(H61="Y","排除（"&amp;B61&amp;"）",IF(SUMPRODUCT(($A$2:$A$500=A61)*($C$2:$C$500=C61)*($D$2:$D$500=D61)*($B$2:$B$500=""))&gt;0,"覆蓋共用（"&amp;B61&amp;"）","單元新增（"&amp;B61&amp;"）"))))</f>
        <v/>
      </c>
      <c r="K61" s="2">
        <f>IF(A61="","",IF(H61="Y","—",IF(AND(F61&lt;&gt;"",G61&lt;&gt;""),F61&amp;" ~ "&amp;G61,IF(G61&lt;&gt;"","≤ "&amp;G61,IF(F61&lt;&gt;"","≥ "&amp;F61,"只記錄、不檢核")))))</f>
        <v/>
      </c>
      <c r="L61" s="2">
        <f>IF(A61="","",IF(TRIM(IF(SUMPRODUCT(($A$2:$A$500=A61)*($B$2:$B$500=B61)*($C$2:$C$500=C61)*($D$2:$D$500=D61))&gt;1,"⚠ 欄位名稱重複 ","")&amp;IF(AND(B61&lt;&gt;"",NOT(ISNUMBER(SEARCH("、"&amp;B61&amp;"、","、"&amp;IFERROR(INDEX(表單!$I$2:$I$500,MATCH(A61,表單!$A$2:$A$500,0)),"")&amp;"、")))),"⚠ 單元不在適用單元內 ","")&amp;IF(AND(H61="Y",B61=""),"⚠ 排除只能用在單元列 ","")&amp;IF(AND(H61="Y",B61&lt;&gt;"",SUMPRODUCT(($A$2:$A$500=A61)*($C$2:$C$500=C61)*($D$2:$D$500=D61)*($B$2:$B$500=""))=0),"⚠ 排除需對應共用欄位 ","")&amp;IF(AND(ISNUMBER(F61),ISNUMBER(G61),F61&gt;G61),"⚠ 下限大於上限 ","")&amp;IF(SUMPRODUCT((檢查項目!$A$2:$A$500=A61)*(檢查項目!$C$2:$C$500=C61)*(檢查項目!$G$2:$G$500="數值"))=0,"⚠ 該項目不是數值類型 ",""))="","✓",TRIM(IF(SUMPRODUCT(($A$2:$A$500=A61)*($B$2:$B$500=B61)*($C$2:$C$500=C61)*($D$2:$D$500=D61))&gt;1,"⚠ 欄位名稱重複 ","")&amp;IF(AND(B61&lt;&gt;"",NOT(ISNUMBER(SEARCH("、"&amp;B61&amp;"、","、"&amp;IFERROR(INDEX(表單!$I$2:$I$500,MATCH(A61,表單!$A$2:$A$500,0)),"")&amp;"、")))),"⚠ 單元不在適用單元內 ","")&amp;IF(AND(H61="Y",B61=""),"⚠ 排除只能用在單元列 ","")&amp;IF(AND(H61="Y",B61&lt;&gt;"",SUMPRODUCT(($A$2:$A$500=A61)*($C$2:$C$500=C61)*($D$2:$D$500=D61)*($B$2:$B$500=""))=0),"⚠ 排除需對應共用欄位 ","")&amp;IF(AND(ISNUMBER(F61),ISNUMBER(G61),F61&gt;G61),"⚠ 下限大於上限 ","")&amp;IF(SUMPRODUCT((檢查項目!$A$2:$A$500=A61)*(檢查項目!$C$2:$C$500=C61)*(檢查項目!$G$2:$G$500="數值"))=0,"⚠ 該項目不是數值類型 ",""))))</f>
        <v/>
      </c>
    </row>
    <row r="62">
      <c r="I62" s="2">
        <f>IF(A62="","",IFERROR(INDEX(檢查項目!$E$2:$E$500,MATCH(1,INDEX((檢查項目!$A$2:$A$500=A62)*(檢查項目!$C$2:$C$500=C62)*(檢查項目!$B$2:$B$500=B62),0),0)),IFERROR(INDEX(檢查項目!$E$2:$E$500,MATCH(1,INDEX((檢查項目!$A$2:$A$500=A62)*(檢查項目!$C$2:$C$500=C62)*(檢查項目!$B$2:$B$500=""),0),0)),"⚠ 找不到項目")))</f>
        <v/>
      </c>
      <c r="J62" s="2">
        <f>IF(A62="","",IF(B62="","共用",IF(H62="Y","排除（"&amp;B62&amp;"）",IF(SUMPRODUCT(($A$2:$A$500=A62)*($C$2:$C$500=C62)*($D$2:$D$500=D62)*($B$2:$B$500=""))&gt;0,"覆蓋共用（"&amp;B62&amp;"）","單元新增（"&amp;B62&amp;"）"))))</f>
        <v/>
      </c>
      <c r="K62" s="2">
        <f>IF(A62="","",IF(H62="Y","—",IF(AND(F62&lt;&gt;"",G62&lt;&gt;""),F62&amp;" ~ "&amp;G62,IF(G62&lt;&gt;"","≤ "&amp;G62,IF(F62&lt;&gt;"","≥ "&amp;F62,"只記錄、不檢核")))))</f>
        <v/>
      </c>
      <c r="L62" s="2">
        <f>IF(A62="","",IF(TRIM(IF(SUMPRODUCT(($A$2:$A$500=A62)*($B$2:$B$500=B62)*($C$2:$C$500=C62)*($D$2:$D$500=D62))&gt;1,"⚠ 欄位名稱重複 ","")&amp;IF(AND(B62&lt;&gt;"",NOT(ISNUMBER(SEARCH("、"&amp;B62&amp;"、","、"&amp;IFERROR(INDEX(表單!$I$2:$I$500,MATCH(A62,表單!$A$2:$A$500,0)),"")&amp;"、")))),"⚠ 單元不在適用單元內 ","")&amp;IF(AND(H62="Y",B62=""),"⚠ 排除只能用在單元列 ","")&amp;IF(AND(H62="Y",B62&lt;&gt;"",SUMPRODUCT(($A$2:$A$500=A62)*($C$2:$C$500=C62)*($D$2:$D$500=D62)*($B$2:$B$500=""))=0),"⚠ 排除需對應共用欄位 ","")&amp;IF(AND(ISNUMBER(F62),ISNUMBER(G62),F62&gt;G62),"⚠ 下限大於上限 ","")&amp;IF(SUMPRODUCT((檢查項目!$A$2:$A$500=A62)*(檢查項目!$C$2:$C$500=C62)*(檢查項目!$G$2:$G$500="數值"))=0,"⚠ 該項目不是數值類型 ",""))="","✓",TRIM(IF(SUMPRODUCT(($A$2:$A$500=A62)*($B$2:$B$500=B62)*($C$2:$C$500=C62)*($D$2:$D$500=D62))&gt;1,"⚠ 欄位名稱重複 ","")&amp;IF(AND(B62&lt;&gt;"",NOT(ISNUMBER(SEARCH("、"&amp;B62&amp;"、","、"&amp;IFERROR(INDEX(表單!$I$2:$I$500,MATCH(A62,表單!$A$2:$A$500,0)),"")&amp;"、")))),"⚠ 單元不在適用單元內 ","")&amp;IF(AND(H62="Y",B62=""),"⚠ 排除只能用在單元列 ","")&amp;IF(AND(H62="Y",B62&lt;&gt;"",SUMPRODUCT(($A$2:$A$500=A62)*($C$2:$C$500=C62)*($D$2:$D$500=D62)*($B$2:$B$500=""))=0),"⚠ 排除需對應共用欄位 ","")&amp;IF(AND(ISNUMBER(F62),ISNUMBER(G62),F62&gt;G62),"⚠ 下限大於上限 ","")&amp;IF(SUMPRODUCT((檢查項目!$A$2:$A$500=A62)*(檢查項目!$C$2:$C$500=C62)*(檢查項目!$G$2:$G$500="數值"))=0,"⚠ 該項目不是數值類型 ",""))))</f>
        <v/>
      </c>
    </row>
    <row r="63">
      <c r="I63" s="2">
        <f>IF(A63="","",IFERROR(INDEX(檢查項目!$E$2:$E$500,MATCH(1,INDEX((檢查項目!$A$2:$A$500=A63)*(檢查項目!$C$2:$C$500=C63)*(檢查項目!$B$2:$B$500=B63),0),0)),IFERROR(INDEX(檢查項目!$E$2:$E$500,MATCH(1,INDEX((檢查項目!$A$2:$A$500=A63)*(檢查項目!$C$2:$C$500=C63)*(檢查項目!$B$2:$B$500=""),0),0)),"⚠ 找不到項目")))</f>
        <v/>
      </c>
      <c r="J63" s="2">
        <f>IF(A63="","",IF(B63="","共用",IF(H63="Y","排除（"&amp;B63&amp;"）",IF(SUMPRODUCT(($A$2:$A$500=A63)*($C$2:$C$500=C63)*($D$2:$D$500=D63)*($B$2:$B$500=""))&gt;0,"覆蓋共用（"&amp;B63&amp;"）","單元新增（"&amp;B63&amp;"）"))))</f>
        <v/>
      </c>
      <c r="K63" s="2">
        <f>IF(A63="","",IF(H63="Y","—",IF(AND(F63&lt;&gt;"",G63&lt;&gt;""),F63&amp;" ~ "&amp;G63,IF(G63&lt;&gt;"","≤ "&amp;G63,IF(F63&lt;&gt;"","≥ "&amp;F63,"只記錄、不檢核")))))</f>
        <v/>
      </c>
      <c r="L63" s="2">
        <f>IF(A63="","",IF(TRIM(IF(SUMPRODUCT(($A$2:$A$500=A63)*($B$2:$B$500=B63)*($C$2:$C$500=C63)*($D$2:$D$500=D63))&gt;1,"⚠ 欄位名稱重複 ","")&amp;IF(AND(B63&lt;&gt;"",NOT(ISNUMBER(SEARCH("、"&amp;B63&amp;"、","、"&amp;IFERROR(INDEX(表單!$I$2:$I$500,MATCH(A63,表單!$A$2:$A$500,0)),"")&amp;"、")))),"⚠ 單元不在適用單元內 ","")&amp;IF(AND(H63="Y",B63=""),"⚠ 排除只能用在單元列 ","")&amp;IF(AND(H63="Y",B63&lt;&gt;"",SUMPRODUCT(($A$2:$A$500=A63)*($C$2:$C$500=C63)*($D$2:$D$500=D63)*($B$2:$B$500=""))=0),"⚠ 排除需對應共用欄位 ","")&amp;IF(AND(ISNUMBER(F63),ISNUMBER(G63),F63&gt;G63),"⚠ 下限大於上限 ","")&amp;IF(SUMPRODUCT((檢查項目!$A$2:$A$500=A63)*(檢查項目!$C$2:$C$500=C63)*(檢查項目!$G$2:$G$500="數值"))=0,"⚠ 該項目不是數值類型 ",""))="","✓",TRIM(IF(SUMPRODUCT(($A$2:$A$500=A63)*($B$2:$B$500=B63)*($C$2:$C$500=C63)*($D$2:$D$500=D63))&gt;1,"⚠ 欄位名稱重複 ","")&amp;IF(AND(B63&lt;&gt;"",NOT(ISNUMBER(SEARCH("、"&amp;B63&amp;"、","、"&amp;IFERROR(INDEX(表單!$I$2:$I$500,MATCH(A63,表單!$A$2:$A$500,0)),"")&amp;"、")))),"⚠ 單元不在適用單元內 ","")&amp;IF(AND(H63="Y",B63=""),"⚠ 排除只能用在單元列 ","")&amp;IF(AND(H63="Y",B63&lt;&gt;"",SUMPRODUCT(($A$2:$A$500=A63)*($C$2:$C$500=C63)*($D$2:$D$500=D63)*($B$2:$B$500=""))=0),"⚠ 排除需對應共用欄位 ","")&amp;IF(AND(ISNUMBER(F63),ISNUMBER(G63),F63&gt;G63),"⚠ 下限大於上限 ","")&amp;IF(SUMPRODUCT((檢查項目!$A$2:$A$500=A63)*(檢查項目!$C$2:$C$500=C63)*(檢查項目!$G$2:$G$500="數值"))=0,"⚠ 該項目不是數值類型 ",""))))</f>
        <v/>
      </c>
    </row>
    <row r="64">
      <c r="I64" s="2">
        <f>IF(A64="","",IFERROR(INDEX(檢查項目!$E$2:$E$500,MATCH(1,INDEX((檢查項目!$A$2:$A$500=A64)*(檢查項目!$C$2:$C$500=C64)*(檢查項目!$B$2:$B$500=B64),0),0)),IFERROR(INDEX(檢查項目!$E$2:$E$500,MATCH(1,INDEX((檢查項目!$A$2:$A$500=A64)*(檢查項目!$C$2:$C$500=C64)*(檢查項目!$B$2:$B$500=""),0),0)),"⚠ 找不到項目")))</f>
        <v/>
      </c>
      <c r="J64" s="2">
        <f>IF(A64="","",IF(B64="","共用",IF(H64="Y","排除（"&amp;B64&amp;"）",IF(SUMPRODUCT(($A$2:$A$500=A64)*($C$2:$C$500=C64)*($D$2:$D$500=D64)*($B$2:$B$500=""))&gt;0,"覆蓋共用（"&amp;B64&amp;"）","單元新增（"&amp;B64&amp;"）"))))</f>
        <v/>
      </c>
      <c r="K64" s="2">
        <f>IF(A64="","",IF(H64="Y","—",IF(AND(F64&lt;&gt;"",G64&lt;&gt;""),F64&amp;" ~ "&amp;G64,IF(G64&lt;&gt;"","≤ "&amp;G64,IF(F64&lt;&gt;"","≥ "&amp;F64,"只記錄、不檢核")))))</f>
        <v/>
      </c>
      <c r="L64" s="2">
        <f>IF(A64="","",IF(TRIM(IF(SUMPRODUCT(($A$2:$A$500=A64)*($B$2:$B$500=B64)*($C$2:$C$500=C64)*($D$2:$D$500=D64))&gt;1,"⚠ 欄位名稱重複 ","")&amp;IF(AND(B64&lt;&gt;"",NOT(ISNUMBER(SEARCH("、"&amp;B64&amp;"、","、"&amp;IFERROR(INDEX(表單!$I$2:$I$500,MATCH(A64,表單!$A$2:$A$500,0)),"")&amp;"、")))),"⚠ 單元不在適用單元內 ","")&amp;IF(AND(H64="Y",B64=""),"⚠ 排除只能用在單元列 ","")&amp;IF(AND(H64="Y",B64&lt;&gt;"",SUMPRODUCT(($A$2:$A$500=A64)*($C$2:$C$500=C64)*($D$2:$D$500=D64)*($B$2:$B$500=""))=0),"⚠ 排除需對應共用欄位 ","")&amp;IF(AND(ISNUMBER(F64),ISNUMBER(G64),F64&gt;G64),"⚠ 下限大於上限 ","")&amp;IF(SUMPRODUCT((檢查項目!$A$2:$A$500=A64)*(檢查項目!$C$2:$C$500=C64)*(檢查項目!$G$2:$G$500="數值"))=0,"⚠ 該項目不是數值類型 ",""))="","✓",TRIM(IF(SUMPRODUCT(($A$2:$A$500=A64)*($B$2:$B$500=B64)*($C$2:$C$500=C64)*($D$2:$D$500=D64))&gt;1,"⚠ 欄位名稱重複 ","")&amp;IF(AND(B64&lt;&gt;"",NOT(ISNUMBER(SEARCH("、"&amp;B64&amp;"、","、"&amp;IFERROR(INDEX(表單!$I$2:$I$500,MATCH(A64,表單!$A$2:$A$500,0)),"")&amp;"、")))),"⚠ 單元不在適用單元內 ","")&amp;IF(AND(H64="Y",B64=""),"⚠ 排除只能用在單元列 ","")&amp;IF(AND(H64="Y",B64&lt;&gt;"",SUMPRODUCT(($A$2:$A$500=A64)*($C$2:$C$500=C64)*($D$2:$D$500=D64)*($B$2:$B$500=""))=0),"⚠ 排除需對應共用欄位 ","")&amp;IF(AND(ISNUMBER(F64),ISNUMBER(G64),F64&gt;G64),"⚠ 下限大於上限 ","")&amp;IF(SUMPRODUCT((檢查項目!$A$2:$A$500=A64)*(檢查項目!$C$2:$C$500=C64)*(檢查項目!$G$2:$G$500="數值"))=0,"⚠ 該項目不是數值類型 ",""))))</f>
        <v/>
      </c>
    </row>
    <row r="65">
      <c r="I65" s="2">
        <f>IF(A65="","",IFERROR(INDEX(檢查項目!$E$2:$E$500,MATCH(1,INDEX((檢查項目!$A$2:$A$500=A65)*(檢查項目!$C$2:$C$500=C65)*(檢查項目!$B$2:$B$500=B65),0),0)),IFERROR(INDEX(檢查項目!$E$2:$E$500,MATCH(1,INDEX((檢查項目!$A$2:$A$500=A65)*(檢查項目!$C$2:$C$500=C65)*(檢查項目!$B$2:$B$500=""),0),0)),"⚠ 找不到項目")))</f>
        <v/>
      </c>
      <c r="J65" s="2">
        <f>IF(A65="","",IF(B65="","共用",IF(H65="Y","排除（"&amp;B65&amp;"）",IF(SUMPRODUCT(($A$2:$A$500=A65)*($C$2:$C$500=C65)*($D$2:$D$500=D65)*($B$2:$B$500=""))&gt;0,"覆蓋共用（"&amp;B65&amp;"）","單元新增（"&amp;B65&amp;"）"))))</f>
        <v/>
      </c>
      <c r="K65" s="2">
        <f>IF(A65="","",IF(H65="Y","—",IF(AND(F65&lt;&gt;"",G65&lt;&gt;""),F65&amp;" ~ "&amp;G65,IF(G65&lt;&gt;"","≤ "&amp;G65,IF(F65&lt;&gt;"","≥ "&amp;F65,"只記錄、不檢核")))))</f>
        <v/>
      </c>
      <c r="L65" s="2">
        <f>IF(A65="","",IF(TRIM(IF(SUMPRODUCT(($A$2:$A$500=A65)*($B$2:$B$500=B65)*($C$2:$C$500=C65)*($D$2:$D$500=D65))&gt;1,"⚠ 欄位名稱重複 ","")&amp;IF(AND(B65&lt;&gt;"",NOT(ISNUMBER(SEARCH("、"&amp;B65&amp;"、","、"&amp;IFERROR(INDEX(表單!$I$2:$I$500,MATCH(A65,表單!$A$2:$A$500,0)),"")&amp;"、")))),"⚠ 單元不在適用單元內 ","")&amp;IF(AND(H65="Y",B65=""),"⚠ 排除只能用在單元列 ","")&amp;IF(AND(H65="Y",B65&lt;&gt;"",SUMPRODUCT(($A$2:$A$500=A65)*($C$2:$C$500=C65)*($D$2:$D$500=D65)*($B$2:$B$500=""))=0),"⚠ 排除需對應共用欄位 ","")&amp;IF(AND(ISNUMBER(F65),ISNUMBER(G65),F65&gt;G65),"⚠ 下限大於上限 ","")&amp;IF(SUMPRODUCT((檢查項目!$A$2:$A$500=A65)*(檢查項目!$C$2:$C$500=C65)*(檢查項目!$G$2:$G$500="數值"))=0,"⚠ 該項目不是數值類型 ",""))="","✓",TRIM(IF(SUMPRODUCT(($A$2:$A$500=A65)*($B$2:$B$500=B65)*($C$2:$C$500=C65)*($D$2:$D$500=D65))&gt;1,"⚠ 欄位名稱重複 ","")&amp;IF(AND(B65&lt;&gt;"",NOT(ISNUMBER(SEARCH("、"&amp;B65&amp;"、","、"&amp;IFERROR(INDEX(表單!$I$2:$I$500,MATCH(A65,表單!$A$2:$A$500,0)),"")&amp;"、")))),"⚠ 單元不在適用單元內 ","")&amp;IF(AND(H65="Y",B65=""),"⚠ 排除只能用在單元列 ","")&amp;IF(AND(H65="Y",B65&lt;&gt;"",SUMPRODUCT(($A$2:$A$500=A65)*($C$2:$C$500=C65)*($D$2:$D$500=D65)*($B$2:$B$500=""))=0),"⚠ 排除需對應共用欄位 ","")&amp;IF(AND(ISNUMBER(F65),ISNUMBER(G65),F65&gt;G65),"⚠ 下限大於上限 ","")&amp;IF(SUMPRODUCT((檢查項目!$A$2:$A$500=A65)*(檢查項目!$C$2:$C$500=C65)*(檢查項目!$G$2:$G$500="數值"))=0,"⚠ 該項目不是數值類型 ",""))))</f>
        <v/>
      </c>
    </row>
    <row r="66">
      <c r="I66" s="2">
        <f>IF(A66="","",IFERROR(INDEX(檢查項目!$E$2:$E$500,MATCH(1,INDEX((檢查項目!$A$2:$A$500=A66)*(檢查項目!$C$2:$C$500=C66)*(檢查項目!$B$2:$B$500=B66),0),0)),IFERROR(INDEX(檢查項目!$E$2:$E$500,MATCH(1,INDEX((檢查項目!$A$2:$A$500=A66)*(檢查項目!$C$2:$C$500=C66)*(檢查項目!$B$2:$B$500=""),0),0)),"⚠ 找不到項目")))</f>
        <v/>
      </c>
      <c r="J66" s="2">
        <f>IF(A66="","",IF(B66="","共用",IF(H66="Y","排除（"&amp;B66&amp;"）",IF(SUMPRODUCT(($A$2:$A$500=A66)*($C$2:$C$500=C66)*($D$2:$D$500=D66)*($B$2:$B$500=""))&gt;0,"覆蓋共用（"&amp;B66&amp;"）","單元新增（"&amp;B66&amp;"）"))))</f>
        <v/>
      </c>
      <c r="K66" s="2">
        <f>IF(A66="","",IF(H66="Y","—",IF(AND(F66&lt;&gt;"",G66&lt;&gt;""),F66&amp;" ~ "&amp;G66,IF(G66&lt;&gt;"","≤ "&amp;G66,IF(F66&lt;&gt;"","≥ "&amp;F66,"只記錄、不檢核")))))</f>
        <v/>
      </c>
      <c r="L66" s="2">
        <f>IF(A66="","",IF(TRIM(IF(SUMPRODUCT(($A$2:$A$500=A66)*($B$2:$B$500=B66)*($C$2:$C$500=C66)*($D$2:$D$500=D66))&gt;1,"⚠ 欄位名稱重複 ","")&amp;IF(AND(B66&lt;&gt;"",NOT(ISNUMBER(SEARCH("、"&amp;B66&amp;"、","、"&amp;IFERROR(INDEX(表單!$I$2:$I$500,MATCH(A66,表單!$A$2:$A$500,0)),"")&amp;"、")))),"⚠ 單元不在適用單元內 ","")&amp;IF(AND(H66="Y",B66=""),"⚠ 排除只能用在單元列 ","")&amp;IF(AND(H66="Y",B66&lt;&gt;"",SUMPRODUCT(($A$2:$A$500=A66)*($C$2:$C$500=C66)*($D$2:$D$500=D66)*($B$2:$B$500=""))=0),"⚠ 排除需對應共用欄位 ","")&amp;IF(AND(ISNUMBER(F66),ISNUMBER(G66),F66&gt;G66),"⚠ 下限大於上限 ","")&amp;IF(SUMPRODUCT((檢查項目!$A$2:$A$500=A66)*(檢查項目!$C$2:$C$500=C66)*(檢查項目!$G$2:$G$500="數值"))=0,"⚠ 該項目不是數值類型 ",""))="","✓",TRIM(IF(SUMPRODUCT(($A$2:$A$500=A66)*($B$2:$B$500=B66)*($C$2:$C$500=C66)*($D$2:$D$500=D66))&gt;1,"⚠ 欄位名稱重複 ","")&amp;IF(AND(B66&lt;&gt;"",NOT(ISNUMBER(SEARCH("、"&amp;B66&amp;"、","、"&amp;IFERROR(INDEX(表單!$I$2:$I$500,MATCH(A66,表單!$A$2:$A$500,0)),"")&amp;"、")))),"⚠ 單元不在適用單元內 ","")&amp;IF(AND(H66="Y",B66=""),"⚠ 排除只能用在單元列 ","")&amp;IF(AND(H66="Y",B66&lt;&gt;"",SUMPRODUCT(($A$2:$A$500=A66)*($C$2:$C$500=C66)*($D$2:$D$500=D66)*($B$2:$B$500=""))=0),"⚠ 排除需對應共用欄位 ","")&amp;IF(AND(ISNUMBER(F66),ISNUMBER(G66),F66&gt;G66),"⚠ 下限大於上限 ","")&amp;IF(SUMPRODUCT((檢查項目!$A$2:$A$500=A66)*(檢查項目!$C$2:$C$500=C66)*(檢查項目!$G$2:$G$500="數值"))=0,"⚠ 該項目不是數值類型 ",""))))</f>
        <v/>
      </c>
    </row>
    <row r="67">
      <c r="I67" s="2">
        <f>IF(A67="","",IFERROR(INDEX(檢查項目!$E$2:$E$500,MATCH(1,INDEX((檢查項目!$A$2:$A$500=A67)*(檢查項目!$C$2:$C$500=C67)*(檢查項目!$B$2:$B$500=B67),0),0)),IFERROR(INDEX(檢查項目!$E$2:$E$500,MATCH(1,INDEX((檢查項目!$A$2:$A$500=A67)*(檢查項目!$C$2:$C$500=C67)*(檢查項目!$B$2:$B$500=""),0),0)),"⚠ 找不到項目")))</f>
        <v/>
      </c>
      <c r="J67" s="2">
        <f>IF(A67="","",IF(B67="","共用",IF(H67="Y","排除（"&amp;B67&amp;"）",IF(SUMPRODUCT(($A$2:$A$500=A67)*($C$2:$C$500=C67)*($D$2:$D$500=D67)*($B$2:$B$500=""))&gt;0,"覆蓋共用（"&amp;B67&amp;"）","單元新增（"&amp;B67&amp;"）"))))</f>
        <v/>
      </c>
      <c r="K67" s="2">
        <f>IF(A67="","",IF(H67="Y","—",IF(AND(F67&lt;&gt;"",G67&lt;&gt;""),F67&amp;" ~ "&amp;G67,IF(G67&lt;&gt;"","≤ "&amp;G67,IF(F67&lt;&gt;"","≥ "&amp;F67,"只記錄、不檢核")))))</f>
        <v/>
      </c>
      <c r="L67" s="2">
        <f>IF(A67="","",IF(TRIM(IF(SUMPRODUCT(($A$2:$A$500=A67)*($B$2:$B$500=B67)*($C$2:$C$500=C67)*($D$2:$D$500=D67))&gt;1,"⚠ 欄位名稱重複 ","")&amp;IF(AND(B67&lt;&gt;"",NOT(ISNUMBER(SEARCH("、"&amp;B67&amp;"、","、"&amp;IFERROR(INDEX(表單!$I$2:$I$500,MATCH(A67,表單!$A$2:$A$500,0)),"")&amp;"、")))),"⚠ 單元不在適用單元內 ","")&amp;IF(AND(H67="Y",B67=""),"⚠ 排除只能用在單元列 ","")&amp;IF(AND(H67="Y",B67&lt;&gt;"",SUMPRODUCT(($A$2:$A$500=A67)*($C$2:$C$500=C67)*($D$2:$D$500=D67)*($B$2:$B$500=""))=0),"⚠ 排除需對應共用欄位 ","")&amp;IF(AND(ISNUMBER(F67),ISNUMBER(G67),F67&gt;G67),"⚠ 下限大於上限 ","")&amp;IF(SUMPRODUCT((檢查項目!$A$2:$A$500=A67)*(檢查項目!$C$2:$C$500=C67)*(檢查項目!$G$2:$G$500="數值"))=0,"⚠ 該項目不是數值類型 ",""))="","✓",TRIM(IF(SUMPRODUCT(($A$2:$A$500=A67)*($B$2:$B$500=B67)*($C$2:$C$500=C67)*($D$2:$D$500=D67))&gt;1,"⚠ 欄位名稱重複 ","")&amp;IF(AND(B67&lt;&gt;"",NOT(ISNUMBER(SEARCH("、"&amp;B67&amp;"、","、"&amp;IFERROR(INDEX(表單!$I$2:$I$500,MATCH(A67,表單!$A$2:$A$500,0)),"")&amp;"、")))),"⚠ 單元不在適用單元內 ","")&amp;IF(AND(H67="Y",B67=""),"⚠ 排除只能用在單元列 ","")&amp;IF(AND(H67="Y",B67&lt;&gt;"",SUMPRODUCT(($A$2:$A$500=A67)*($C$2:$C$500=C67)*($D$2:$D$500=D67)*($B$2:$B$500=""))=0),"⚠ 排除需對應共用欄位 ","")&amp;IF(AND(ISNUMBER(F67),ISNUMBER(G67),F67&gt;G67),"⚠ 下限大於上限 ","")&amp;IF(SUMPRODUCT((檢查項目!$A$2:$A$500=A67)*(檢查項目!$C$2:$C$500=C67)*(檢查項目!$G$2:$G$500="數值"))=0,"⚠ 該項目不是數值類型 ",""))))</f>
        <v/>
      </c>
    </row>
    <row r="68">
      <c r="I68" s="2">
        <f>IF(A68="","",IFERROR(INDEX(檢查項目!$E$2:$E$500,MATCH(1,INDEX((檢查項目!$A$2:$A$500=A68)*(檢查項目!$C$2:$C$500=C68)*(檢查項目!$B$2:$B$500=B68),0),0)),IFERROR(INDEX(檢查項目!$E$2:$E$500,MATCH(1,INDEX((檢查項目!$A$2:$A$500=A68)*(檢查項目!$C$2:$C$500=C68)*(檢查項目!$B$2:$B$500=""),0),0)),"⚠ 找不到項目")))</f>
        <v/>
      </c>
      <c r="J68" s="2">
        <f>IF(A68="","",IF(B68="","共用",IF(H68="Y","排除（"&amp;B68&amp;"）",IF(SUMPRODUCT(($A$2:$A$500=A68)*($C$2:$C$500=C68)*($D$2:$D$500=D68)*($B$2:$B$500=""))&gt;0,"覆蓋共用（"&amp;B68&amp;"）","單元新增（"&amp;B68&amp;"）"))))</f>
        <v/>
      </c>
      <c r="K68" s="2">
        <f>IF(A68="","",IF(H68="Y","—",IF(AND(F68&lt;&gt;"",G68&lt;&gt;""),F68&amp;" ~ "&amp;G68,IF(G68&lt;&gt;"","≤ "&amp;G68,IF(F68&lt;&gt;"","≥ "&amp;F68,"只記錄、不檢核")))))</f>
        <v/>
      </c>
      <c r="L68" s="2">
        <f>IF(A68="","",IF(TRIM(IF(SUMPRODUCT(($A$2:$A$500=A68)*($B$2:$B$500=B68)*($C$2:$C$500=C68)*($D$2:$D$500=D68))&gt;1,"⚠ 欄位名稱重複 ","")&amp;IF(AND(B68&lt;&gt;"",NOT(ISNUMBER(SEARCH("、"&amp;B68&amp;"、","、"&amp;IFERROR(INDEX(表單!$I$2:$I$500,MATCH(A68,表單!$A$2:$A$500,0)),"")&amp;"、")))),"⚠ 單元不在適用單元內 ","")&amp;IF(AND(H68="Y",B68=""),"⚠ 排除只能用在單元列 ","")&amp;IF(AND(H68="Y",B68&lt;&gt;"",SUMPRODUCT(($A$2:$A$500=A68)*($C$2:$C$500=C68)*($D$2:$D$500=D68)*($B$2:$B$500=""))=0),"⚠ 排除需對應共用欄位 ","")&amp;IF(AND(ISNUMBER(F68),ISNUMBER(G68),F68&gt;G68),"⚠ 下限大於上限 ","")&amp;IF(SUMPRODUCT((檢查項目!$A$2:$A$500=A68)*(檢查項目!$C$2:$C$500=C68)*(檢查項目!$G$2:$G$500="數值"))=0,"⚠ 該項目不是數值類型 ",""))="","✓",TRIM(IF(SUMPRODUCT(($A$2:$A$500=A68)*($B$2:$B$500=B68)*($C$2:$C$500=C68)*($D$2:$D$500=D68))&gt;1,"⚠ 欄位名稱重複 ","")&amp;IF(AND(B68&lt;&gt;"",NOT(ISNUMBER(SEARCH("、"&amp;B68&amp;"、","、"&amp;IFERROR(INDEX(表單!$I$2:$I$500,MATCH(A68,表單!$A$2:$A$500,0)),"")&amp;"、")))),"⚠ 單元不在適用單元內 ","")&amp;IF(AND(H68="Y",B68=""),"⚠ 排除只能用在單元列 ","")&amp;IF(AND(H68="Y",B68&lt;&gt;"",SUMPRODUCT(($A$2:$A$500=A68)*($C$2:$C$500=C68)*($D$2:$D$500=D68)*($B$2:$B$500=""))=0),"⚠ 排除需對應共用欄位 ","")&amp;IF(AND(ISNUMBER(F68),ISNUMBER(G68),F68&gt;G68),"⚠ 下限大於上限 ","")&amp;IF(SUMPRODUCT((檢查項目!$A$2:$A$500=A68)*(檢查項目!$C$2:$C$500=C68)*(檢查項目!$G$2:$G$500="數值"))=0,"⚠ 該項目不是數值類型 ",""))))</f>
        <v/>
      </c>
    </row>
    <row r="69">
      <c r="I69" s="2">
        <f>IF(A69="","",IFERROR(INDEX(檢查項目!$E$2:$E$500,MATCH(1,INDEX((檢查項目!$A$2:$A$500=A69)*(檢查項目!$C$2:$C$500=C69)*(檢查項目!$B$2:$B$500=B69),0),0)),IFERROR(INDEX(檢查項目!$E$2:$E$500,MATCH(1,INDEX((檢查項目!$A$2:$A$500=A69)*(檢查項目!$C$2:$C$500=C69)*(檢查項目!$B$2:$B$500=""),0),0)),"⚠ 找不到項目")))</f>
        <v/>
      </c>
      <c r="J69" s="2">
        <f>IF(A69="","",IF(B69="","共用",IF(H69="Y","排除（"&amp;B69&amp;"）",IF(SUMPRODUCT(($A$2:$A$500=A69)*($C$2:$C$500=C69)*($D$2:$D$500=D69)*($B$2:$B$500=""))&gt;0,"覆蓋共用（"&amp;B69&amp;"）","單元新增（"&amp;B69&amp;"）"))))</f>
        <v/>
      </c>
      <c r="K69" s="2">
        <f>IF(A69="","",IF(H69="Y","—",IF(AND(F69&lt;&gt;"",G69&lt;&gt;""),F69&amp;" ~ "&amp;G69,IF(G69&lt;&gt;"","≤ "&amp;G69,IF(F69&lt;&gt;"","≥ "&amp;F69,"只記錄、不檢核")))))</f>
        <v/>
      </c>
      <c r="L69" s="2">
        <f>IF(A69="","",IF(TRIM(IF(SUMPRODUCT(($A$2:$A$500=A69)*($B$2:$B$500=B69)*($C$2:$C$500=C69)*($D$2:$D$500=D69))&gt;1,"⚠ 欄位名稱重複 ","")&amp;IF(AND(B69&lt;&gt;"",NOT(ISNUMBER(SEARCH("、"&amp;B69&amp;"、","、"&amp;IFERROR(INDEX(表單!$I$2:$I$500,MATCH(A69,表單!$A$2:$A$500,0)),"")&amp;"、")))),"⚠ 單元不在適用單元內 ","")&amp;IF(AND(H69="Y",B69=""),"⚠ 排除只能用在單元列 ","")&amp;IF(AND(H69="Y",B69&lt;&gt;"",SUMPRODUCT(($A$2:$A$500=A69)*($C$2:$C$500=C69)*($D$2:$D$500=D69)*($B$2:$B$500=""))=0),"⚠ 排除需對應共用欄位 ","")&amp;IF(AND(ISNUMBER(F69),ISNUMBER(G69),F69&gt;G69),"⚠ 下限大於上限 ","")&amp;IF(SUMPRODUCT((檢查項目!$A$2:$A$500=A69)*(檢查項目!$C$2:$C$500=C69)*(檢查項目!$G$2:$G$500="數值"))=0,"⚠ 該項目不是數值類型 ",""))="","✓",TRIM(IF(SUMPRODUCT(($A$2:$A$500=A69)*($B$2:$B$500=B69)*($C$2:$C$500=C69)*($D$2:$D$500=D69))&gt;1,"⚠ 欄位名稱重複 ","")&amp;IF(AND(B69&lt;&gt;"",NOT(ISNUMBER(SEARCH("、"&amp;B69&amp;"、","、"&amp;IFERROR(INDEX(表單!$I$2:$I$500,MATCH(A69,表單!$A$2:$A$500,0)),"")&amp;"、")))),"⚠ 單元不在適用單元內 ","")&amp;IF(AND(H69="Y",B69=""),"⚠ 排除只能用在單元列 ","")&amp;IF(AND(H69="Y",B69&lt;&gt;"",SUMPRODUCT(($A$2:$A$500=A69)*($C$2:$C$500=C69)*($D$2:$D$500=D69)*($B$2:$B$500=""))=0),"⚠ 排除需對應共用欄位 ","")&amp;IF(AND(ISNUMBER(F69),ISNUMBER(G69),F69&gt;G69),"⚠ 下限大於上限 ","")&amp;IF(SUMPRODUCT((檢查項目!$A$2:$A$500=A69)*(檢查項目!$C$2:$C$500=C69)*(檢查項目!$G$2:$G$500="數值"))=0,"⚠ 該項目不是數值類型 ",""))))</f>
        <v/>
      </c>
    </row>
    <row r="70">
      <c r="I70" s="2">
        <f>IF(A70="","",IFERROR(INDEX(檢查項目!$E$2:$E$500,MATCH(1,INDEX((檢查項目!$A$2:$A$500=A70)*(檢查項目!$C$2:$C$500=C70)*(檢查項目!$B$2:$B$500=B70),0),0)),IFERROR(INDEX(檢查項目!$E$2:$E$500,MATCH(1,INDEX((檢查項目!$A$2:$A$500=A70)*(檢查項目!$C$2:$C$500=C70)*(檢查項目!$B$2:$B$500=""),0),0)),"⚠ 找不到項目")))</f>
        <v/>
      </c>
      <c r="J70" s="2">
        <f>IF(A70="","",IF(B70="","共用",IF(H70="Y","排除（"&amp;B70&amp;"）",IF(SUMPRODUCT(($A$2:$A$500=A70)*($C$2:$C$500=C70)*($D$2:$D$500=D70)*($B$2:$B$500=""))&gt;0,"覆蓋共用（"&amp;B70&amp;"）","單元新增（"&amp;B70&amp;"）"))))</f>
        <v/>
      </c>
      <c r="K70" s="2">
        <f>IF(A70="","",IF(H70="Y","—",IF(AND(F70&lt;&gt;"",G70&lt;&gt;""),F70&amp;" ~ "&amp;G70,IF(G70&lt;&gt;"","≤ "&amp;G70,IF(F70&lt;&gt;"","≥ "&amp;F70,"只記錄、不檢核")))))</f>
        <v/>
      </c>
      <c r="L70" s="2">
        <f>IF(A70="","",IF(TRIM(IF(SUMPRODUCT(($A$2:$A$500=A70)*($B$2:$B$500=B70)*($C$2:$C$500=C70)*($D$2:$D$500=D70))&gt;1,"⚠ 欄位名稱重複 ","")&amp;IF(AND(B70&lt;&gt;"",NOT(ISNUMBER(SEARCH("、"&amp;B70&amp;"、","、"&amp;IFERROR(INDEX(表單!$I$2:$I$500,MATCH(A70,表單!$A$2:$A$500,0)),"")&amp;"、")))),"⚠ 單元不在適用單元內 ","")&amp;IF(AND(H70="Y",B70=""),"⚠ 排除只能用在單元列 ","")&amp;IF(AND(H70="Y",B70&lt;&gt;"",SUMPRODUCT(($A$2:$A$500=A70)*($C$2:$C$500=C70)*($D$2:$D$500=D70)*($B$2:$B$500=""))=0),"⚠ 排除需對應共用欄位 ","")&amp;IF(AND(ISNUMBER(F70),ISNUMBER(G70),F70&gt;G70),"⚠ 下限大於上限 ","")&amp;IF(SUMPRODUCT((檢查項目!$A$2:$A$500=A70)*(檢查項目!$C$2:$C$500=C70)*(檢查項目!$G$2:$G$500="數值"))=0,"⚠ 該項目不是數值類型 ",""))="","✓",TRIM(IF(SUMPRODUCT(($A$2:$A$500=A70)*($B$2:$B$500=B70)*($C$2:$C$500=C70)*($D$2:$D$500=D70))&gt;1,"⚠ 欄位名稱重複 ","")&amp;IF(AND(B70&lt;&gt;"",NOT(ISNUMBER(SEARCH("、"&amp;B70&amp;"、","、"&amp;IFERROR(INDEX(表單!$I$2:$I$500,MATCH(A70,表單!$A$2:$A$500,0)),"")&amp;"、")))),"⚠ 單元不在適用單元內 ","")&amp;IF(AND(H70="Y",B70=""),"⚠ 排除只能用在單元列 ","")&amp;IF(AND(H70="Y",B70&lt;&gt;"",SUMPRODUCT(($A$2:$A$500=A70)*($C$2:$C$500=C70)*($D$2:$D$500=D70)*($B$2:$B$500=""))=0),"⚠ 排除需對應共用欄位 ","")&amp;IF(AND(ISNUMBER(F70),ISNUMBER(G70),F70&gt;G70),"⚠ 下限大於上限 ","")&amp;IF(SUMPRODUCT((檢查項目!$A$2:$A$500=A70)*(檢查項目!$C$2:$C$500=C70)*(檢查項目!$G$2:$G$500="數值"))=0,"⚠ 該項目不是數值類型 ",""))))</f>
        <v/>
      </c>
    </row>
    <row r="71">
      <c r="I71" s="2">
        <f>IF(A71="","",IFERROR(INDEX(檢查項目!$E$2:$E$500,MATCH(1,INDEX((檢查項目!$A$2:$A$500=A71)*(檢查項目!$C$2:$C$500=C71)*(檢查項目!$B$2:$B$500=B71),0),0)),IFERROR(INDEX(檢查項目!$E$2:$E$500,MATCH(1,INDEX((檢查項目!$A$2:$A$500=A71)*(檢查項目!$C$2:$C$500=C71)*(檢查項目!$B$2:$B$500=""),0),0)),"⚠ 找不到項目")))</f>
        <v/>
      </c>
      <c r="J71" s="2">
        <f>IF(A71="","",IF(B71="","共用",IF(H71="Y","排除（"&amp;B71&amp;"）",IF(SUMPRODUCT(($A$2:$A$500=A71)*($C$2:$C$500=C71)*($D$2:$D$500=D71)*($B$2:$B$500=""))&gt;0,"覆蓋共用（"&amp;B71&amp;"）","單元新增（"&amp;B71&amp;"）"))))</f>
        <v/>
      </c>
      <c r="K71" s="2">
        <f>IF(A71="","",IF(H71="Y","—",IF(AND(F71&lt;&gt;"",G71&lt;&gt;""),F71&amp;" ~ "&amp;G71,IF(G71&lt;&gt;"","≤ "&amp;G71,IF(F71&lt;&gt;"","≥ "&amp;F71,"只記錄、不檢核")))))</f>
        <v/>
      </c>
      <c r="L71" s="2">
        <f>IF(A71="","",IF(TRIM(IF(SUMPRODUCT(($A$2:$A$500=A71)*($B$2:$B$500=B71)*($C$2:$C$500=C71)*($D$2:$D$500=D71))&gt;1,"⚠ 欄位名稱重複 ","")&amp;IF(AND(B71&lt;&gt;"",NOT(ISNUMBER(SEARCH("、"&amp;B71&amp;"、","、"&amp;IFERROR(INDEX(表單!$I$2:$I$500,MATCH(A71,表單!$A$2:$A$500,0)),"")&amp;"、")))),"⚠ 單元不在適用單元內 ","")&amp;IF(AND(H71="Y",B71=""),"⚠ 排除只能用在單元列 ","")&amp;IF(AND(H71="Y",B71&lt;&gt;"",SUMPRODUCT(($A$2:$A$500=A71)*($C$2:$C$500=C71)*($D$2:$D$500=D71)*($B$2:$B$500=""))=0),"⚠ 排除需對應共用欄位 ","")&amp;IF(AND(ISNUMBER(F71),ISNUMBER(G71),F71&gt;G71),"⚠ 下限大於上限 ","")&amp;IF(SUMPRODUCT((檢查項目!$A$2:$A$500=A71)*(檢查項目!$C$2:$C$500=C71)*(檢查項目!$G$2:$G$500="數值"))=0,"⚠ 該項目不是數值類型 ",""))="","✓",TRIM(IF(SUMPRODUCT(($A$2:$A$500=A71)*($B$2:$B$500=B71)*($C$2:$C$500=C71)*($D$2:$D$500=D71))&gt;1,"⚠ 欄位名稱重複 ","")&amp;IF(AND(B71&lt;&gt;"",NOT(ISNUMBER(SEARCH("、"&amp;B71&amp;"、","、"&amp;IFERROR(INDEX(表單!$I$2:$I$500,MATCH(A71,表單!$A$2:$A$500,0)),"")&amp;"、")))),"⚠ 單元不在適用單元內 ","")&amp;IF(AND(H71="Y",B71=""),"⚠ 排除只能用在單元列 ","")&amp;IF(AND(H71="Y",B71&lt;&gt;"",SUMPRODUCT(($A$2:$A$500=A71)*($C$2:$C$500=C71)*($D$2:$D$500=D71)*($B$2:$B$500=""))=0),"⚠ 排除需對應共用欄位 ","")&amp;IF(AND(ISNUMBER(F71),ISNUMBER(G71),F71&gt;G71),"⚠ 下限大於上限 ","")&amp;IF(SUMPRODUCT((檢查項目!$A$2:$A$500=A71)*(檢查項目!$C$2:$C$500=C71)*(檢查項目!$G$2:$G$500="數值"))=0,"⚠ 該項目不是數值類型 ",""))))</f>
        <v/>
      </c>
    </row>
    <row r="72">
      <c r="I72" s="2">
        <f>IF(A72="","",IFERROR(INDEX(檢查項目!$E$2:$E$500,MATCH(1,INDEX((檢查項目!$A$2:$A$500=A72)*(檢查項目!$C$2:$C$500=C72)*(檢查項目!$B$2:$B$500=B72),0),0)),IFERROR(INDEX(檢查項目!$E$2:$E$500,MATCH(1,INDEX((檢查項目!$A$2:$A$500=A72)*(檢查項目!$C$2:$C$500=C72)*(檢查項目!$B$2:$B$500=""),0),0)),"⚠ 找不到項目")))</f>
        <v/>
      </c>
      <c r="J72" s="2">
        <f>IF(A72="","",IF(B72="","共用",IF(H72="Y","排除（"&amp;B72&amp;"）",IF(SUMPRODUCT(($A$2:$A$500=A72)*($C$2:$C$500=C72)*($D$2:$D$500=D72)*($B$2:$B$500=""))&gt;0,"覆蓋共用（"&amp;B72&amp;"）","單元新增（"&amp;B72&amp;"）"))))</f>
        <v/>
      </c>
      <c r="K72" s="2">
        <f>IF(A72="","",IF(H72="Y","—",IF(AND(F72&lt;&gt;"",G72&lt;&gt;""),F72&amp;" ~ "&amp;G72,IF(G72&lt;&gt;"","≤ "&amp;G72,IF(F72&lt;&gt;"","≥ "&amp;F72,"只記錄、不檢核")))))</f>
        <v/>
      </c>
      <c r="L72" s="2">
        <f>IF(A72="","",IF(TRIM(IF(SUMPRODUCT(($A$2:$A$500=A72)*($B$2:$B$500=B72)*($C$2:$C$500=C72)*($D$2:$D$500=D72))&gt;1,"⚠ 欄位名稱重複 ","")&amp;IF(AND(B72&lt;&gt;"",NOT(ISNUMBER(SEARCH("、"&amp;B72&amp;"、","、"&amp;IFERROR(INDEX(表單!$I$2:$I$500,MATCH(A72,表單!$A$2:$A$500,0)),"")&amp;"、")))),"⚠ 單元不在適用單元內 ","")&amp;IF(AND(H72="Y",B72=""),"⚠ 排除只能用在單元列 ","")&amp;IF(AND(H72="Y",B72&lt;&gt;"",SUMPRODUCT(($A$2:$A$500=A72)*($C$2:$C$500=C72)*($D$2:$D$500=D72)*($B$2:$B$500=""))=0),"⚠ 排除需對應共用欄位 ","")&amp;IF(AND(ISNUMBER(F72),ISNUMBER(G72),F72&gt;G72),"⚠ 下限大於上限 ","")&amp;IF(SUMPRODUCT((檢查項目!$A$2:$A$500=A72)*(檢查項目!$C$2:$C$500=C72)*(檢查項目!$G$2:$G$500="數值"))=0,"⚠ 該項目不是數值類型 ",""))="","✓",TRIM(IF(SUMPRODUCT(($A$2:$A$500=A72)*($B$2:$B$500=B72)*($C$2:$C$500=C72)*($D$2:$D$500=D72))&gt;1,"⚠ 欄位名稱重複 ","")&amp;IF(AND(B72&lt;&gt;"",NOT(ISNUMBER(SEARCH("、"&amp;B72&amp;"、","、"&amp;IFERROR(INDEX(表單!$I$2:$I$500,MATCH(A72,表單!$A$2:$A$500,0)),"")&amp;"、")))),"⚠ 單元不在適用單元內 ","")&amp;IF(AND(H72="Y",B72=""),"⚠ 排除只能用在單元列 ","")&amp;IF(AND(H72="Y",B72&lt;&gt;"",SUMPRODUCT(($A$2:$A$500=A72)*($C$2:$C$500=C72)*($D$2:$D$500=D72)*($B$2:$B$500=""))=0),"⚠ 排除需對應共用欄位 ","")&amp;IF(AND(ISNUMBER(F72),ISNUMBER(G72),F72&gt;G72),"⚠ 下限大於上限 ","")&amp;IF(SUMPRODUCT((檢查項目!$A$2:$A$500=A72)*(檢查項目!$C$2:$C$500=C72)*(檢查項目!$G$2:$G$500="數值"))=0,"⚠ 該項目不是數值類型 ",""))))</f>
        <v/>
      </c>
    </row>
    <row r="73">
      <c r="I73" s="2">
        <f>IF(A73="","",IFERROR(INDEX(檢查項目!$E$2:$E$500,MATCH(1,INDEX((檢查項目!$A$2:$A$500=A73)*(檢查項目!$C$2:$C$500=C73)*(檢查項目!$B$2:$B$500=B73),0),0)),IFERROR(INDEX(檢查項目!$E$2:$E$500,MATCH(1,INDEX((檢查項目!$A$2:$A$500=A73)*(檢查項目!$C$2:$C$500=C73)*(檢查項目!$B$2:$B$500=""),0),0)),"⚠ 找不到項目")))</f>
        <v/>
      </c>
      <c r="J73" s="2">
        <f>IF(A73="","",IF(B73="","共用",IF(H73="Y","排除（"&amp;B73&amp;"）",IF(SUMPRODUCT(($A$2:$A$500=A73)*($C$2:$C$500=C73)*($D$2:$D$500=D73)*($B$2:$B$500=""))&gt;0,"覆蓋共用（"&amp;B73&amp;"）","單元新增（"&amp;B73&amp;"）"))))</f>
        <v/>
      </c>
      <c r="K73" s="2">
        <f>IF(A73="","",IF(H73="Y","—",IF(AND(F73&lt;&gt;"",G73&lt;&gt;""),F73&amp;" ~ "&amp;G73,IF(G73&lt;&gt;"","≤ "&amp;G73,IF(F73&lt;&gt;"","≥ "&amp;F73,"只記錄、不檢核")))))</f>
        <v/>
      </c>
      <c r="L73" s="2">
        <f>IF(A73="","",IF(TRIM(IF(SUMPRODUCT(($A$2:$A$500=A73)*($B$2:$B$500=B73)*($C$2:$C$500=C73)*($D$2:$D$500=D73))&gt;1,"⚠ 欄位名稱重複 ","")&amp;IF(AND(B73&lt;&gt;"",NOT(ISNUMBER(SEARCH("、"&amp;B73&amp;"、","、"&amp;IFERROR(INDEX(表單!$I$2:$I$500,MATCH(A73,表單!$A$2:$A$500,0)),"")&amp;"、")))),"⚠ 單元不在適用單元內 ","")&amp;IF(AND(H73="Y",B73=""),"⚠ 排除只能用在單元列 ","")&amp;IF(AND(H73="Y",B73&lt;&gt;"",SUMPRODUCT(($A$2:$A$500=A73)*($C$2:$C$500=C73)*($D$2:$D$500=D73)*($B$2:$B$500=""))=0),"⚠ 排除需對應共用欄位 ","")&amp;IF(AND(ISNUMBER(F73),ISNUMBER(G73),F73&gt;G73),"⚠ 下限大於上限 ","")&amp;IF(SUMPRODUCT((檢查項目!$A$2:$A$500=A73)*(檢查項目!$C$2:$C$500=C73)*(檢查項目!$G$2:$G$500="數值"))=0,"⚠ 該項目不是數值類型 ",""))="","✓",TRIM(IF(SUMPRODUCT(($A$2:$A$500=A73)*($B$2:$B$500=B73)*($C$2:$C$500=C73)*($D$2:$D$500=D73))&gt;1,"⚠ 欄位名稱重複 ","")&amp;IF(AND(B73&lt;&gt;"",NOT(ISNUMBER(SEARCH("、"&amp;B73&amp;"、","、"&amp;IFERROR(INDEX(表單!$I$2:$I$500,MATCH(A73,表單!$A$2:$A$500,0)),"")&amp;"、")))),"⚠ 單元不在適用單元內 ","")&amp;IF(AND(H73="Y",B73=""),"⚠ 排除只能用在單元列 ","")&amp;IF(AND(H73="Y",B73&lt;&gt;"",SUMPRODUCT(($A$2:$A$500=A73)*($C$2:$C$500=C73)*($D$2:$D$500=D73)*($B$2:$B$500=""))=0),"⚠ 排除需對應共用欄位 ","")&amp;IF(AND(ISNUMBER(F73),ISNUMBER(G73),F73&gt;G73),"⚠ 下限大於上限 ","")&amp;IF(SUMPRODUCT((檢查項目!$A$2:$A$500=A73)*(檢查項目!$C$2:$C$500=C73)*(檢查項目!$G$2:$G$500="數值"))=0,"⚠ 該項目不是數值類型 ",""))))</f>
        <v/>
      </c>
    </row>
    <row r="74">
      <c r="I74" s="2">
        <f>IF(A74="","",IFERROR(INDEX(檢查項目!$E$2:$E$500,MATCH(1,INDEX((檢查項目!$A$2:$A$500=A74)*(檢查項目!$C$2:$C$500=C74)*(檢查項目!$B$2:$B$500=B74),0),0)),IFERROR(INDEX(檢查項目!$E$2:$E$500,MATCH(1,INDEX((檢查項目!$A$2:$A$500=A74)*(檢查項目!$C$2:$C$500=C74)*(檢查項目!$B$2:$B$500=""),0),0)),"⚠ 找不到項目")))</f>
        <v/>
      </c>
      <c r="J74" s="2">
        <f>IF(A74="","",IF(B74="","共用",IF(H74="Y","排除（"&amp;B74&amp;"）",IF(SUMPRODUCT(($A$2:$A$500=A74)*($C$2:$C$500=C74)*($D$2:$D$500=D74)*($B$2:$B$500=""))&gt;0,"覆蓋共用（"&amp;B74&amp;"）","單元新增（"&amp;B74&amp;"）"))))</f>
        <v/>
      </c>
      <c r="K74" s="2">
        <f>IF(A74="","",IF(H74="Y","—",IF(AND(F74&lt;&gt;"",G74&lt;&gt;""),F74&amp;" ~ "&amp;G74,IF(G74&lt;&gt;"","≤ "&amp;G74,IF(F74&lt;&gt;"","≥ "&amp;F74,"只記錄、不檢核")))))</f>
        <v/>
      </c>
      <c r="L74" s="2">
        <f>IF(A74="","",IF(TRIM(IF(SUMPRODUCT(($A$2:$A$500=A74)*($B$2:$B$500=B74)*($C$2:$C$500=C74)*($D$2:$D$500=D74))&gt;1,"⚠ 欄位名稱重複 ","")&amp;IF(AND(B74&lt;&gt;"",NOT(ISNUMBER(SEARCH("、"&amp;B74&amp;"、","、"&amp;IFERROR(INDEX(表單!$I$2:$I$500,MATCH(A74,表單!$A$2:$A$500,0)),"")&amp;"、")))),"⚠ 單元不在適用單元內 ","")&amp;IF(AND(H74="Y",B74=""),"⚠ 排除只能用在單元列 ","")&amp;IF(AND(H74="Y",B74&lt;&gt;"",SUMPRODUCT(($A$2:$A$500=A74)*($C$2:$C$500=C74)*($D$2:$D$500=D74)*($B$2:$B$500=""))=0),"⚠ 排除需對應共用欄位 ","")&amp;IF(AND(ISNUMBER(F74),ISNUMBER(G74),F74&gt;G74),"⚠ 下限大於上限 ","")&amp;IF(SUMPRODUCT((檢查項目!$A$2:$A$500=A74)*(檢查項目!$C$2:$C$500=C74)*(檢查項目!$G$2:$G$500="數值"))=0,"⚠ 該項目不是數值類型 ",""))="","✓",TRIM(IF(SUMPRODUCT(($A$2:$A$500=A74)*($B$2:$B$500=B74)*($C$2:$C$500=C74)*($D$2:$D$500=D74))&gt;1,"⚠ 欄位名稱重複 ","")&amp;IF(AND(B74&lt;&gt;"",NOT(ISNUMBER(SEARCH("、"&amp;B74&amp;"、","、"&amp;IFERROR(INDEX(表單!$I$2:$I$500,MATCH(A74,表單!$A$2:$A$500,0)),"")&amp;"、")))),"⚠ 單元不在適用單元內 ","")&amp;IF(AND(H74="Y",B74=""),"⚠ 排除只能用在單元列 ","")&amp;IF(AND(H74="Y",B74&lt;&gt;"",SUMPRODUCT(($A$2:$A$500=A74)*($C$2:$C$500=C74)*($D$2:$D$500=D74)*($B$2:$B$500=""))=0),"⚠ 排除需對應共用欄位 ","")&amp;IF(AND(ISNUMBER(F74),ISNUMBER(G74),F74&gt;G74),"⚠ 下限大於上限 ","")&amp;IF(SUMPRODUCT((檢查項目!$A$2:$A$500=A74)*(檢查項目!$C$2:$C$500=C74)*(檢查項目!$G$2:$G$500="數值"))=0,"⚠ 該項目不是數值類型 ",""))))</f>
        <v/>
      </c>
    </row>
    <row r="75">
      <c r="I75" s="2">
        <f>IF(A75="","",IFERROR(INDEX(檢查項目!$E$2:$E$500,MATCH(1,INDEX((檢查項目!$A$2:$A$500=A75)*(檢查項目!$C$2:$C$500=C75)*(檢查項目!$B$2:$B$500=B75),0),0)),IFERROR(INDEX(檢查項目!$E$2:$E$500,MATCH(1,INDEX((檢查項目!$A$2:$A$500=A75)*(檢查項目!$C$2:$C$500=C75)*(檢查項目!$B$2:$B$500=""),0),0)),"⚠ 找不到項目")))</f>
        <v/>
      </c>
      <c r="J75" s="2">
        <f>IF(A75="","",IF(B75="","共用",IF(H75="Y","排除（"&amp;B75&amp;"）",IF(SUMPRODUCT(($A$2:$A$500=A75)*($C$2:$C$500=C75)*($D$2:$D$500=D75)*($B$2:$B$500=""))&gt;0,"覆蓋共用（"&amp;B75&amp;"）","單元新增（"&amp;B75&amp;"）"))))</f>
        <v/>
      </c>
      <c r="K75" s="2">
        <f>IF(A75="","",IF(H75="Y","—",IF(AND(F75&lt;&gt;"",G75&lt;&gt;""),F75&amp;" ~ "&amp;G75,IF(G75&lt;&gt;"","≤ "&amp;G75,IF(F75&lt;&gt;"","≥ "&amp;F75,"只記錄、不檢核")))))</f>
        <v/>
      </c>
      <c r="L75" s="2">
        <f>IF(A75="","",IF(TRIM(IF(SUMPRODUCT(($A$2:$A$500=A75)*($B$2:$B$500=B75)*($C$2:$C$500=C75)*($D$2:$D$500=D75))&gt;1,"⚠ 欄位名稱重複 ","")&amp;IF(AND(B75&lt;&gt;"",NOT(ISNUMBER(SEARCH("、"&amp;B75&amp;"、","、"&amp;IFERROR(INDEX(表單!$I$2:$I$500,MATCH(A75,表單!$A$2:$A$500,0)),"")&amp;"、")))),"⚠ 單元不在適用單元內 ","")&amp;IF(AND(H75="Y",B75=""),"⚠ 排除只能用在單元列 ","")&amp;IF(AND(H75="Y",B75&lt;&gt;"",SUMPRODUCT(($A$2:$A$500=A75)*($C$2:$C$500=C75)*($D$2:$D$500=D75)*($B$2:$B$500=""))=0),"⚠ 排除需對應共用欄位 ","")&amp;IF(AND(ISNUMBER(F75),ISNUMBER(G75),F75&gt;G75),"⚠ 下限大於上限 ","")&amp;IF(SUMPRODUCT((檢查項目!$A$2:$A$500=A75)*(檢查項目!$C$2:$C$500=C75)*(檢查項目!$G$2:$G$500="數值"))=0,"⚠ 該項目不是數值類型 ",""))="","✓",TRIM(IF(SUMPRODUCT(($A$2:$A$500=A75)*($B$2:$B$500=B75)*($C$2:$C$500=C75)*($D$2:$D$500=D75))&gt;1,"⚠ 欄位名稱重複 ","")&amp;IF(AND(B75&lt;&gt;"",NOT(ISNUMBER(SEARCH("、"&amp;B75&amp;"、","、"&amp;IFERROR(INDEX(表單!$I$2:$I$500,MATCH(A75,表單!$A$2:$A$500,0)),"")&amp;"、")))),"⚠ 單元不在適用單元內 ","")&amp;IF(AND(H75="Y",B75=""),"⚠ 排除只能用在單元列 ","")&amp;IF(AND(H75="Y",B75&lt;&gt;"",SUMPRODUCT(($A$2:$A$500=A75)*($C$2:$C$500=C75)*($D$2:$D$500=D75)*($B$2:$B$500=""))=0),"⚠ 排除需對應共用欄位 ","")&amp;IF(AND(ISNUMBER(F75),ISNUMBER(G75),F75&gt;G75),"⚠ 下限大於上限 ","")&amp;IF(SUMPRODUCT((檢查項目!$A$2:$A$500=A75)*(檢查項目!$C$2:$C$500=C75)*(檢查項目!$G$2:$G$500="數值"))=0,"⚠ 該項目不是數值類型 ",""))))</f>
        <v/>
      </c>
    </row>
    <row r="76">
      <c r="I76" s="2">
        <f>IF(A76="","",IFERROR(INDEX(檢查項目!$E$2:$E$500,MATCH(1,INDEX((檢查項目!$A$2:$A$500=A76)*(檢查項目!$C$2:$C$500=C76)*(檢查項目!$B$2:$B$500=B76),0),0)),IFERROR(INDEX(檢查項目!$E$2:$E$500,MATCH(1,INDEX((檢查項目!$A$2:$A$500=A76)*(檢查項目!$C$2:$C$500=C76)*(檢查項目!$B$2:$B$500=""),0),0)),"⚠ 找不到項目")))</f>
        <v/>
      </c>
      <c r="J76" s="2">
        <f>IF(A76="","",IF(B76="","共用",IF(H76="Y","排除（"&amp;B76&amp;"）",IF(SUMPRODUCT(($A$2:$A$500=A76)*($C$2:$C$500=C76)*($D$2:$D$500=D76)*($B$2:$B$500=""))&gt;0,"覆蓋共用（"&amp;B76&amp;"）","單元新增（"&amp;B76&amp;"）"))))</f>
        <v/>
      </c>
      <c r="K76" s="2">
        <f>IF(A76="","",IF(H76="Y","—",IF(AND(F76&lt;&gt;"",G76&lt;&gt;""),F76&amp;" ~ "&amp;G76,IF(G76&lt;&gt;"","≤ "&amp;G76,IF(F76&lt;&gt;"","≥ "&amp;F76,"只記錄、不檢核")))))</f>
        <v/>
      </c>
      <c r="L76" s="2">
        <f>IF(A76="","",IF(TRIM(IF(SUMPRODUCT(($A$2:$A$500=A76)*($B$2:$B$500=B76)*($C$2:$C$500=C76)*($D$2:$D$500=D76))&gt;1,"⚠ 欄位名稱重複 ","")&amp;IF(AND(B76&lt;&gt;"",NOT(ISNUMBER(SEARCH("、"&amp;B76&amp;"、","、"&amp;IFERROR(INDEX(表單!$I$2:$I$500,MATCH(A76,表單!$A$2:$A$500,0)),"")&amp;"、")))),"⚠ 單元不在適用單元內 ","")&amp;IF(AND(H76="Y",B76=""),"⚠ 排除只能用在單元列 ","")&amp;IF(AND(H76="Y",B76&lt;&gt;"",SUMPRODUCT(($A$2:$A$500=A76)*($C$2:$C$500=C76)*($D$2:$D$500=D76)*($B$2:$B$500=""))=0),"⚠ 排除需對應共用欄位 ","")&amp;IF(AND(ISNUMBER(F76),ISNUMBER(G76),F76&gt;G76),"⚠ 下限大於上限 ","")&amp;IF(SUMPRODUCT((檢查項目!$A$2:$A$500=A76)*(檢查項目!$C$2:$C$500=C76)*(檢查項目!$G$2:$G$500="數值"))=0,"⚠ 該項目不是數值類型 ",""))="","✓",TRIM(IF(SUMPRODUCT(($A$2:$A$500=A76)*($B$2:$B$500=B76)*($C$2:$C$500=C76)*($D$2:$D$500=D76))&gt;1,"⚠ 欄位名稱重複 ","")&amp;IF(AND(B76&lt;&gt;"",NOT(ISNUMBER(SEARCH("、"&amp;B76&amp;"、","、"&amp;IFERROR(INDEX(表單!$I$2:$I$500,MATCH(A76,表單!$A$2:$A$500,0)),"")&amp;"、")))),"⚠ 單元不在適用單元內 ","")&amp;IF(AND(H76="Y",B76=""),"⚠ 排除只能用在單元列 ","")&amp;IF(AND(H76="Y",B76&lt;&gt;"",SUMPRODUCT(($A$2:$A$500=A76)*($C$2:$C$500=C76)*($D$2:$D$500=D76)*($B$2:$B$500=""))=0),"⚠ 排除需對應共用欄位 ","")&amp;IF(AND(ISNUMBER(F76),ISNUMBER(G76),F76&gt;G76),"⚠ 下限大於上限 ","")&amp;IF(SUMPRODUCT((檢查項目!$A$2:$A$500=A76)*(檢查項目!$C$2:$C$500=C76)*(檢查項目!$G$2:$G$500="數值"))=0,"⚠ 該項目不是數值類型 ",""))))</f>
        <v/>
      </c>
    </row>
    <row r="77">
      <c r="I77" s="2">
        <f>IF(A77="","",IFERROR(INDEX(檢查項目!$E$2:$E$500,MATCH(1,INDEX((檢查項目!$A$2:$A$500=A77)*(檢查項目!$C$2:$C$500=C77)*(檢查項目!$B$2:$B$500=B77),0),0)),IFERROR(INDEX(檢查項目!$E$2:$E$500,MATCH(1,INDEX((檢查項目!$A$2:$A$500=A77)*(檢查項目!$C$2:$C$500=C77)*(檢查項目!$B$2:$B$500=""),0),0)),"⚠ 找不到項目")))</f>
        <v/>
      </c>
      <c r="J77" s="2">
        <f>IF(A77="","",IF(B77="","共用",IF(H77="Y","排除（"&amp;B77&amp;"）",IF(SUMPRODUCT(($A$2:$A$500=A77)*($C$2:$C$500=C77)*($D$2:$D$500=D77)*($B$2:$B$500=""))&gt;0,"覆蓋共用（"&amp;B77&amp;"）","單元新增（"&amp;B77&amp;"）"))))</f>
        <v/>
      </c>
      <c r="K77" s="2">
        <f>IF(A77="","",IF(H77="Y","—",IF(AND(F77&lt;&gt;"",G77&lt;&gt;""),F77&amp;" ~ "&amp;G77,IF(G77&lt;&gt;"","≤ "&amp;G77,IF(F77&lt;&gt;"","≥ "&amp;F77,"只記錄、不檢核")))))</f>
        <v/>
      </c>
      <c r="L77" s="2">
        <f>IF(A77="","",IF(TRIM(IF(SUMPRODUCT(($A$2:$A$500=A77)*($B$2:$B$500=B77)*($C$2:$C$500=C77)*($D$2:$D$500=D77))&gt;1,"⚠ 欄位名稱重複 ","")&amp;IF(AND(B77&lt;&gt;"",NOT(ISNUMBER(SEARCH("、"&amp;B77&amp;"、","、"&amp;IFERROR(INDEX(表單!$I$2:$I$500,MATCH(A77,表單!$A$2:$A$500,0)),"")&amp;"、")))),"⚠ 單元不在適用單元內 ","")&amp;IF(AND(H77="Y",B77=""),"⚠ 排除只能用在單元列 ","")&amp;IF(AND(H77="Y",B77&lt;&gt;"",SUMPRODUCT(($A$2:$A$500=A77)*($C$2:$C$500=C77)*($D$2:$D$500=D77)*($B$2:$B$500=""))=0),"⚠ 排除需對應共用欄位 ","")&amp;IF(AND(ISNUMBER(F77),ISNUMBER(G77),F77&gt;G77),"⚠ 下限大於上限 ","")&amp;IF(SUMPRODUCT((檢查項目!$A$2:$A$500=A77)*(檢查項目!$C$2:$C$500=C77)*(檢查項目!$G$2:$G$500="數值"))=0,"⚠ 該項目不是數值類型 ",""))="","✓",TRIM(IF(SUMPRODUCT(($A$2:$A$500=A77)*($B$2:$B$500=B77)*($C$2:$C$500=C77)*($D$2:$D$500=D77))&gt;1,"⚠ 欄位名稱重複 ","")&amp;IF(AND(B77&lt;&gt;"",NOT(ISNUMBER(SEARCH("、"&amp;B77&amp;"、","、"&amp;IFERROR(INDEX(表單!$I$2:$I$500,MATCH(A77,表單!$A$2:$A$500,0)),"")&amp;"、")))),"⚠ 單元不在適用單元內 ","")&amp;IF(AND(H77="Y",B77=""),"⚠ 排除只能用在單元列 ","")&amp;IF(AND(H77="Y",B77&lt;&gt;"",SUMPRODUCT(($A$2:$A$500=A77)*($C$2:$C$500=C77)*($D$2:$D$500=D77)*($B$2:$B$500=""))=0),"⚠ 排除需對應共用欄位 ","")&amp;IF(AND(ISNUMBER(F77),ISNUMBER(G77),F77&gt;G77),"⚠ 下限大於上限 ","")&amp;IF(SUMPRODUCT((檢查項目!$A$2:$A$500=A77)*(檢查項目!$C$2:$C$500=C77)*(檢查項目!$G$2:$G$500="數值"))=0,"⚠ 該項目不是數值類型 ",""))))</f>
        <v/>
      </c>
    </row>
    <row r="78">
      <c r="I78" s="2">
        <f>IF(A78="","",IFERROR(INDEX(檢查項目!$E$2:$E$500,MATCH(1,INDEX((檢查項目!$A$2:$A$500=A78)*(檢查項目!$C$2:$C$500=C78)*(檢查項目!$B$2:$B$500=B78),0),0)),IFERROR(INDEX(檢查項目!$E$2:$E$500,MATCH(1,INDEX((檢查項目!$A$2:$A$500=A78)*(檢查項目!$C$2:$C$500=C78)*(檢查項目!$B$2:$B$500=""),0),0)),"⚠ 找不到項目")))</f>
        <v/>
      </c>
      <c r="J78" s="2">
        <f>IF(A78="","",IF(B78="","共用",IF(H78="Y","排除（"&amp;B78&amp;"）",IF(SUMPRODUCT(($A$2:$A$500=A78)*($C$2:$C$500=C78)*($D$2:$D$500=D78)*($B$2:$B$500=""))&gt;0,"覆蓋共用（"&amp;B78&amp;"）","單元新增（"&amp;B78&amp;"）"))))</f>
        <v/>
      </c>
      <c r="K78" s="2">
        <f>IF(A78="","",IF(H78="Y","—",IF(AND(F78&lt;&gt;"",G78&lt;&gt;""),F78&amp;" ~ "&amp;G78,IF(G78&lt;&gt;"","≤ "&amp;G78,IF(F78&lt;&gt;"","≥ "&amp;F78,"只記錄、不檢核")))))</f>
        <v/>
      </c>
      <c r="L78" s="2">
        <f>IF(A78="","",IF(TRIM(IF(SUMPRODUCT(($A$2:$A$500=A78)*($B$2:$B$500=B78)*($C$2:$C$500=C78)*($D$2:$D$500=D78))&gt;1,"⚠ 欄位名稱重複 ","")&amp;IF(AND(B78&lt;&gt;"",NOT(ISNUMBER(SEARCH("、"&amp;B78&amp;"、","、"&amp;IFERROR(INDEX(表單!$I$2:$I$500,MATCH(A78,表單!$A$2:$A$500,0)),"")&amp;"、")))),"⚠ 單元不在適用單元內 ","")&amp;IF(AND(H78="Y",B78=""),"⚠ 排除只能用在單元列 ","")&amp;IF(AND(H78="Y",B78&lt;&gt;"",SUMPRODUCT(($A$2:$A$500=A78)*($C$2:$C$500=C78)*($D$2:$D$500=D78)*($B$2:$B$500=""))=0),"⚠ 排除需對應共用欄位 ","")&amp;IF(AND(ISNUMBER(F78),ISNUMBER(G78),F78&gt;G78),"⚠ 下限大於上限 ","")&amp;IF(SUMPRODUCT((檢查項目!$A$2:$A$500=A78)*(檢查項目!$C$2:$C$500=C78)*(檢查項目!$G$2:$G$500="數值"))=0,"⚠ 該項目不是數值類型 ",""))="","✓",TRIM(IF(SUMPRODUCT(($A$2:$A$500=A78)*($B$2:$B$500=B78)*($C$2:$C$500=C78)*($D$2:$D$500=D78))&gt;1,"⚠ 欄位名稱重複 ","")&amp;IF(AND(B78&lt;&gt;"",NOT(ISNUMBER(SEARCH("、"&amp;B78&amp;"、","、"&amp;IFERROR(INDEX(表單!$I$2:$I$500,MATCH(A78,表單!$A$2:$A$500,0)),"")&amp;"、")))),"⚠ 單元不在適用單元內 ","")&amp;IF(AND(H78="Y",B78=""),"⚠ 排除只能用在單元列 ","")&amp;IF(AND(H78="Y",B78&lt;&gt;"",SUMPRODUCT(($A$2:$A$500=A78)*($C$2:$C$500=C78)*($D$2:$D$500=D78)*($B$2:$B$500=""))=0),"⚠ 排除需對應共用欄位 ","")&amp;IF(AND(ISNUMBER(F78),ISNUMBER(G78),F78&gt;G78),"⚠ 下限大於上限 ","")&amp;IF(SUMPRODUCT((檢查項目!$A$2:$A$500=A78)*(檢查項目!$C$2:$C$500=C78)*(檢查項目!$G$2:$G$500="數值"))=0,"⚠ 該項目不是數值類型 ",""))))</f>
        <v/>
      </c>
    </row>
    <row r="79">
      <c r="I79" s="2">
        <f>IF(A79="","",IFERROR(INDEX(檢查項目!$E$2:$E$500,MATCH(1,INDEX((檢查項目!$A$2:$A$500=A79)*(檢查項目!$C$2:$C$500=C79)*(檢查項目!$B$2:$B$500=B79),0),0)),IFERROR(INDEX(檢查項目!$E$2:$E$500,MATCH(1,INDEX((檢查項目!$A$2:$A$500=A79)*(檢查項目!$C$2:$C$500=C79)*(檢查項目!$B$2:$B$500=""),0),0)),"⚠ 找不到項目")))</f>
        <v/>
      </c>
      <c r="J79" s="2">
        <f>IF(A79="","",IF(B79="","共用",IF(H79="Y","排除（"&amp;B79&amp;"）",IF(SUMPRODUCT(($A$2:$A$500=A79)*($C$2:$C$500=C79)*($D$2:$D$500=D79)*($B$2:$B$500=""))&gt;0,"覆蓋共用（"&amp;B79&amp;"）","單元新增（"&amp;B79&amp;"）"))))</f>
        <v/>
      </c>
      <c r="K79" s="2">
        <f>IF(A79="","",IF(H79="Y","—",IF(AND(F79&lt;&gt;"",G79&lt;&gt;""),F79&amp;" ~ "&amp;G79,IF(G79&lt;&gt;"","≤ "&amp;G79,IF(F79&lt;&gt;"","≥ "&amp;F79,"只記錄、不檢核")))))</f>
        <v/>
      </c>
      <c r="L79" s="2">
        <f>IF(A79="","",IF(TRIM(IF(SUMPRODUCT(($A$2:$A$500=A79)*($B$2:$B$500=B79)*($C$2:$C$500=C79)*($D$2:$D$500=D79))&gt;1,"⚠ 欄位名稱重複 ","")&amp;IF(AND(B79&lt;&gt;"",NOT(ISNUMBER(SEARCH("、"&amp;B79&amp;"、","、"&amp;IFERROR(INDEX(表單!$I$2:$I$500,MATCH(A79,表單!$A$2:$A$500,0)),"")&amp;"、")))),"⚠ 單元不在適用單元內 ","")&amp;IF(AND(H79="Y",B79=""),"⚠ 排除只能用在單元列 ","")&amp;IF(AND(H79="Y",B79&lt;&gt;"",SUMPRODUCT(($A$2:$A$500=A79)*($C$2:$C$500=C79)*($D$2:$D$500=D79)*($B$2:$B$500=""))=0),"⚠ 排除需對應共用欄位 ","")&amp;IF(AND(ISNUMBER(F79),ISNUMBER(G79),F79&gt;G79),"⚠ 下限大於上限 ","")&amp;IF(SUMPRODUCT((檢查項目!$A$2:$A$500=A79)*(檢查項目!$C$2:$C$500=C79)*(檢查項目!$G$2:$G$500="數值"))=0,"⚠ 該項目不是數值類型 ",""))="","✓",TRIM(IF(SUMPRODUCT(($A$2:$A$500=A79)*($B$2:$B$500=B79)*($C$2:$C$500=C79)*($D$2:$D$500=D79))&gt;1,"⚠ 欄位名稱重複 ","")&amp;IF(AND(B79&lt;&gt;"",NOT(ISNUMBER(SEARCH("、"&amp;B79&amp;"、","、"&amp;IFERROR(INDEX(表單!$I$2:$I$500,MATCH(A79,表單!$A$2:$A$500,0)),"")&amp;"、")))),"⚠ 單元不在適用單元內 ","")&amp;IF(AND(H79="Y",B79=""),"⚠ 排除只能用在單元列 ","")&amp;IF(AND(H79="Y",B79&lt;&gt;"",SUMPRODUCT(($A$2:$A$500=A79)*($C$2:$C$500=C79)*($D$2:$D$500=D79)*($B$2:$B$500=""))=0),"⚠ 排除需對應共用欄位 ","")&amp;IF(AND(ISNUMBER(F79),ISNUMBER(G79),F79&gt;G79),"⚠ 下限大於上限 ","")&amp;IF(SUMPRODUCT((檢查項目!$A$2:$A$500=A79)*(檢查項目!$C$2:$C$500=C79)*(檢查項目!$G$2:$G$500="數值"))=0,"⚠ 該項目不是數值類型 ",""))))</f>
        <v/>
      </c>
    </row>
    <row r="80">
      <c r="I80" s="2">
        <f>IF(A80="","",IFERROR(INDEX(檢查項目!$E$2:$E$500,MATCH(1,INDEX((檢查項目!$A$2:$A$500=A80)*(檢查項目!$C$2:$C$500=C80)*(檢查項目!$B$2:$B$500=B80),0),0)),IFERROR(INDEX(檢查項目!$E$2:$E$500,MATCH(1,INDEX((檢查項目!$A$2:$A$500=A80)*(檢查項目!$C$2:$C$500=C80)*(檢查項目!$B$2:$B$500=""),0),0)),"⚠ 找不到項目")))</f>
        <v/>
      </c>
      <c r="J80" s="2">
        <f>IF(A80="","",IF(B80="","共用",IF(H80="Y","排除（"&amp;B80&amp;"）",IF(SUMPRODUCT(($A$2:$A$500=A80)*($C$2:$C$500=C80)*($D$2:$D$500=D80)*($B$2:$B$500=""))&gt;0,"覆蓋共用（"&amp;B80&amp;"）","單元新增（"&amp;B80&amp;"）"))))</f>
        <v/>
      </c>
      <c r="K80" s="2">
        <f>IF(A80="","",IF(H80="Y","—",IF(AND(F80&lt;&gt;"",G80&lt;&gt;""),F80&amp;" ~ "&amp;G80,IF(G80&lt;&gt;"","≤ "&amp;G80,IF(F80&lt;&gt;"","≥ "&amp;F80,"只記錄、不檢核")))))</f>
        <v/>
      </c>
      <c r="L80" s="2">
        <f>IF(A80="","",IF(TRIM(IF(SUMPRODUCT(($A$2:$A$500=A80)*($B$2:$B$500=B80)*($C$2:$C$500=C80)*($D$2:$D$500=D80))&gt;1,"⚠ 欄位名稱重複 ","")&amp;IF(AND(B80&lt;&gt;"",NOT(ISNUMBER(SEARCH("、"&amp;B80&amp;"、","、"&amp;IFERROR(INDEX(表單!$I$2:$I$500,MATCH(A80,表單!$A$2:$A$500,0)),"")&amp;"、")))),"⚠ 單元不在適用單元內 ","")&amp;IF(AND(H80="Y",B80=""),"⚠ 排除只能用在單元列 ","")&amp;IF(AND(H80="Y",B80&lt;&gt;"",SUMPRODUCT(($A$2:$A$500=A80)*($C$2:$C$500=C80)*($D$2:$D$500=D80)*($B$2:$B$500=""))=0),"⚠ 排除需對應共用欄位 ","")&amp;IF(AND(ISNUMBER(F80),ISNUMBER(G80),F80&gt;G80),"⚠ 下限大於上限 ","")&amp;IF(SUMPRODUCT((檢查項目!$A$2:$A$500=A80)*(檢查項目!$C$2:$C$500=C80)*(檢查項目!$G$2:$G$500="數值"))=0,"⚠ 該項目不是數值類型 ",""))="","✓",TRIM(IF(SUMPRODUCT(($A$2:$A$500=A80)*($B$2:$B$500=B80)*($C$2:$C$500=C80)*($D$2:$D$500=D80))&gt;1,"⚠ 欄位名稱重複 ","")&amp;IF(AND(B80&lt;&gt;"",NOT(ISNUMBER(SEARCH("、"&amp;B80&amp;"、","、"&amp;IFERROR(INDEX(表單!$I$2:$I$500,MATCH(A80,表單!$A$2:$A$500,0)),"")&amp;"、")))),"⚠ 單元不在適用單元內 ","")&amp;IF(AND(H80="Y",B80=""),"⚠ 排除只能用在單元列 ","")&amp;IF(AND(H80="Y",B80&lt;&gt;"",SUMPRODUCT(($A$2:$A$500=A80)*($C$2:$C$500=C80)*($D$2:$D$500=D80)*($B$2:$B$500=""))=0),"⚠ 排除需對應共用欄位 ","")&amp;IF(AND(ISNUMBER(F80),ISNUMBER(G80),F80&gt;G80),"⚠ 下限大於上限 ","")&amp;IF(SUMPRODUCT((檢查項目!$A$2:$A$500=A80)*(檢查項目!$C$2:$C$500=C80)*(檢查項目!$G$2:$G$500="數值"))=0,"⚠ 該項目不是數值類型 ",""))))</f>
        <v/>
      </c>
    </row>
    <row r="81">
      <c r="I81" s="2">
        <f>IF(A81="","",IFERROR(INDEX(檢查項目!$E$2:$E$500,MATCH(1,INDEX((檢查項目!$A$2:$A$500=A81)*(檢查項目!$C$2:$C$500=C81)*(檢查項目!$B$2:$B$500=B81),0),0)),IFERROR(INDEX(檢查項目!$E$2:$E$500,MATCH(1,INDEX((檢查項目!$A$2:$A$500=A81)*(檢查項目!$C$2:$C$500=C81)*(檢查項目!$B$2:$B$500=""),0),0)),"⚠ 找不到項目")))</f>
        <v/>
      </c>
      <c r="J81" s="2">
        <f>IF(A81="","",IF(B81="","共用",IF(H81="Y","排除（"&amp;B81&amp;"）",IF(SUMPRODUCT(($A$2:$A$500=A81)*($C$2:$C$500=C81)*($D$2:$D$500=D81)*($B$2:$B$500=""))&gt;0,"覆蓋共用（"&amp;B81&amp;"）","單元新增（"&amp;B81&amp;"）"))))</f>
        <v/>
      </c>
      <c r="K81" s="2">
        <f>IF(A81="","",IF(H81="Y","—",IF(AND(F81&lt;&gt;"",G81&lt;&gt;""),F81&amp;" ~ "&amp;G81,IF(G81&lt;&gt;"","≤ "&amp;G81,IF(F81&lt;&gt;"","≥ "&amp;F81,"只記錄、不檢核")))))</f>
        <v/>
      </c>
      <c r="L81" s="2">
        <f>IF(A81="","",IF(TRIM(IF(SUMPRODUCT(($A$2:$A$500=A81)*($B$2:$B$500=B81)*($C$2:$C$500=C81)*($D$2:$D$500=D81))&gt;1,"⚠ 欄位名稱重複 ","")&amp;IF(AND(B81&lt;&gt;"",NOT(ISNUMBER(SEARCH("、"&amp;B81&amp;"、","、"&amp;IFERROR(INDEX(表單!$I$2:$I$500,MATCH(A81,表單!$A$2:$A$500,0)),"")&amp;"、")))),"⚠ 單元不在適用單元內 ","")&amp;IF(AND(H81="Y",B81=""),"⚠ 排除只能用在單元列 ","")&amp;IF(AND(H81="Y",B81&lt;&gt;"",SUMPRODUCT(($A$2:$A$500=A81)*($C$2:$C$500=C81)*($D$2:$D$500=D81)*($B$2:$B$500=""))=0),"⚠ 排除需對應共用欄位 ","")&amp;IF(AND(ISNUMBER(F81),ISNUMBER(G81),F81&gt;G81),"⚠ 下限大於上限 ","")&amp;IF(SUMPRODUCT((檢查項目!$A$2:$A$500=A81)*(檢查項目!$C$2:$C$500=C81)*(檢查項目!$G$2:$G$500="數值"))=0,"⚠ 該項目不是數值類型 ",""))="","✓",TRIM(IF(SUMPRODUCT(($A$2:$A$500=A81)*($B$2:$B$500=B81)*($C$2:$C$500=C81)*($D$2:$D$500=D81))&gt;1,"⚠ 欄位名稱重複 ","")&amp;IF(AND(B81&lt;&gt;"",NOT(ISNUMBER(SEARCH("、"&amp;B81&amp;"、","、"&amp;IFERROR(INDEX(表單!$I$2:$I$500,MATCH(A81,表單!$A$2:$A$500,0)),"")&amp;"、")))),"⚠ 單元不在適用單元內 ","")&amp;IF(AND(H81="Y",B81=""),"⚠ 排除只能用在單元列 ","")&amp;IF(AND(H81="Y",B81&lt;&gt;"",SUMPRODUCT(($A$2:$A$500=A81)*($C$2:$C$500=C81)*($D$2:$D$500=D81)*($B$2:$B$500=""))=0),"⚠ 排除需對應共用欄位 ","")&amp;IF(AND(ISNUMBER(F81),ISNUMBER(G81),F81&gt;G81),"⚠ 下限大於上限 ","")&amp;IF(SUMPRODUCT((檢查項目!$A$2:$A$500=A81)*(檢查項目!$C$2:$C$500=C81)*(檢查項目!$G$2:$G$500="數值"))=0,"⚠ 該項目不是數值類型 ",""))))</f>
        <v/>
      </c>
    </row>
    <row r="82">
      <c r="I82" s="2">
        <f>IF(A82="","",IFERROR(INDEX(檢查項目!$E$2:$E$500,MATCH(1,INDEX((檢查項目!$A$2:$A$500=A82)*(檢查項目!$C$2:$C$500=C82)*(檢查項目!$B$2:$B$500=B82),0),0)),IFERROR(INDEX(檢查項目!$E$2:$E$500,MATCH(1,INDEX((檢查項目!$A$2:$A$500=A82)*(檢查項目!$C$2:$C$500=C82)*(檢查項目!$B$2:$B$500=""),0),0)),"⚠ 找不到項目")))</f>
        <v/>
      </c>
      <c r="J82" s="2">
        <f>IF(A82="","",IF(B82="","共用",IF(H82="Y","排除（"&amp;B82&amp;"）",IF(SUMPRODUCT(($A$2:$A$500=A82)*($C$2:$C$500=C82)*($D$2:$D$500=D82)*($B$2:$B$500=""))&gt;0,"覆蓋共用（"&amp;B82&amp;"）","單元新增（"&amp;B82&amp;"）"))))</f>
        <v/>
      </c>
      <c r="K82" s="2">
        <f>IF(A82="","",IF(H82="Y","—",IF(AND(F82&lt;&gt;"",G82&lt;&gt;""),F82&amp;" ~ "&amp;G82,IF(G82&lt;&gt;"","≤ "&amp;G82,IF(F82&lt;&gt;"","≥ "&amp;F82,"只記錄、不檢核")))))</f>
        <v/>
      </c>
      <c r="L82" s="2">
        <f>IF(A82="","",IF(TRIM(IF(SUMPRODUCT(($A$2:$A$500=A82)*($B$2:$B$500=B82)*($C$2:$C$500=C82)*($D$2:$D$500=D82))&gt;1,"⚠ 欄位名稱重複 ","")&amp;IF(AND(B82&lt;&gt;"",NOT(ISNUMBER(SEARCH("、"&amp;B82&amp;"、","、"&amp;IFERROR(INDEX(表單!$I$2:$I$500,MATCH(A82,表單!$A$2:$A$500,0)),"")&amp;"、")))),"⚠ 單元不在適用單元內 ","")&amp;IF(AND(H82="Y",B82=""),"⚠ 排除只能用在單元列 ","")&amp;IF(AND(H82="Y",B82&lt;&gt;"",SUMPRODUCT(($A$2:$A$500=A82)*($C$2:$C$500=C82)*($D$2:$D$500=D82)*($B$2:$B$500=""))=0),"⚠ 排除需對應共用欄位 ","")&amp;IF(AND(ISNUMBER(F82),ISNUMBER(G82),F82&gt;G82),"⚠ 下限大於上限 ","")&amp;IF(SUMPRODUCT((檢查項目!$A$2:$A$500=A82)*(檢查項目!$C$2:$C$500=C82)*(檢查項目!$G$2:$G$500="數值"))=0,"⚠ 該項目不是數值類型 ",""))="","✓",TRIM(IF(SUMPRODUCT(($A$2:$A$500=A82)*($B$2:$B$500=B82)*($C$2:$C$500=C82)*($D$2:$D$500=D82))&gt;1,"⚠ 欄位名稱重複 ","")&amp;IF(AND(B82&lt;&gt;"",NOT(ISNUMBER(SEARCH("、"&amp;B82&amp;"、","、"&amp;IFERROR(INDEX(表單!$I$2:$I$500,MATCH(A82,表單!$A$2:$A$500,0)),"")&amp;"、")))),"⚠ 單元不在適用單元內 ","")&amp;IF(AND(H82="Y",B82=""),"⚠ 排除只能用在單元列 ","")&amp;IF(AND(H82="Y",B82&lt;&gt;"",SUMPRODUCT(($A$2:$A$500=A82)*($C$2:$C$500=C82)*($D$2:$D$500=D82)*($B$2:$B$500=""))=0),"⚠ 排除需對應共用欄位 ","")&amp;IF(AND(ISNUMBER(F82),ISNUMBER(G82),F82&gt;G82),"⚠ 下限大於上限 ","")&amp;IF(SUMPRODUCT((檢查項目!$A$2:$A$500=A82)*(檢查項目!$C$2:$C$500=C82)*(檢查項目!$G$2:$G$500="數值"))=0,"⚠ 該項目不是數值類型 ",""))))</f>
        <v/>
      </c>
    </row>
    <row r="83">
      <c r="I83" s="2">
        <f>IF(A83="","",IFERROR(INDEX(檢查項目!$E$2:$E$500,MATCH(1,INDEX((檢查項目!$A$2:$A$500=A83)*(檢查項目!$C$2:$C$500=C83)*(檢查項目!$B$2:$B$500=B83),0),0)),IFERROR(INDEX(檢查項目!$E$2:$E$500,MATCH(1,INDEX((檢查項目!$A$2:$A$500=A83)*(檢查項目!$C$2:$C$500=C83)*(檢查項目!$B$2:$B$500=""),0),0)),"⚠ 找不到項目")))</f>
        <v/>
      </c>
      <c r="J83" s="2">
        <f>IF(A83="","",IF(B83="","共用",IF(H83="Y","排除（"&amp;B83&amp;"）",IF(SUMPRODUCT(($A$2:$A$500=A83)*($C$2:$C$500=C83)*($D$2:$D$500=D83)*($B$2:$B$500=""))&gt;0,"覆蓋共用（"&amp;B83&amp;"）","單元新增（"&amp;B83&amp;"）"))))</f>
        <v/>
      </c>
      <c r="K83" s="2">
        <f>IF(A83="","",IF(H83="Y","—",IF(AND(F83&lt;&gt;"",G83&lt;&gt;""),F83&amp;" ~ "&amp;G83,IF(G83&lt;&gt;"","≤ "&amp;G83,IF(F83&lt;&gt;"","≥ "&amp;F83,"只記錄、不檢核")))))</f>
        <v/>
      </c>
      <c r="L83" s="2">
        <f>IF(A83="","",IF(TRIM(IF(SUMPRODUCT(($A$2:$A$500=A83)*($B$2:$B$500=B83)*($C$2:$C$500=C83)*($D$2:$D$500=D83))&gt;1,"⚠ 欄位名稱重複 ","")&amp;IF(AND(B83&lt;&gt;"",NOT(ISNUMBER(SEARCH("、"&amp;B83&amp;"、","、"&amp;IFERROR(INDEX(表單!$I$2:$I$500,MATCH(A83,表單!$A$2:$A$500,0)),"")&amp;"、")))),"⚠ 單元不在適用單元內 ","")&amp;IF(AND(H83="Y",B83=""),"⚠ 排除只能用在單元列 ","")&amp;IF(AND(H83="Y",B83&lt;&gt;"",SUMPRODUCT(($A$2:$A$500=A83)*($C$2:$C$500=C83)*($D$2:$D$500=D83)*($B$2:$B$500=""))=0),"⚠ 排除需對應共用欄位 ","")&amp;IF(AND(ISNUMBER(F83),ISNUMBER(G83),F83&gt;G83),"⚠ 下限大於上限 ","")&amp;IF(SUMPRODUCT((檢查項目!$A$2:$A$500=A83)*(檢查項目!$C$2:$C$500=C83)*(檢查項目!$G$2:$G$500="數值"))=0,"⚠ 該項目不是數值類型 ",""))="","✓",TRIM(IF(SUMPRODUCT(($A$2:$A$500=A83)*($B$2:$B$500=B83)*($C$2:$C$500=C83)*($D$2:$D$500=D83))&gt;1,"⚠ 欄位名稱重複 ","")&amp;IF(AND(B83&lt;&gt;"",NOT(ISNUMBER(SEARCH("、"&amp;B83&amp;"、","、"&amp;IFERROR(INDEX(表單!$I$2:$I$500,MATCH(A83,表單!$A$2:$A$500,0)),"")&amp;"、")))),"⚠ 單元不在適用單元內 ","")&amp;IF(AND(H83="Y",B83=""),"⚠ 排除只能用在單元列 ","")&amp;IF(AND(H83="Y",B83&lt;&gt;"",SUMPRODUCT(($A$2:$A$500=A83)*($C$2:$C$500=C83)*($D$2:$D$500=D83)*($B$2:$B$500=""))=0),"⚠ 排除需對應共用欄位 ","")&amp;IF(AND(ISNUMBER(F83),ISNUMBER(G83),F83&gt;G83),"⚠ 下限大於上限 ","")&amp;IF(SUMPRODUCT((檢查項目!$A$2:$A$500=A83)*(檢查項目!$C$2:$C$500=C83)*(檢查項目!$G$2:$G$500="數值"))=0,"⚠ 該項目不是數值類型 ",""))))</f>
        <v/>
      </c>
    </row>
    <row r="84">
      <c r="I84" s="2">
        <f>IF(A84="","",IFERROR(INDEX(檢查項目!$E$2:$E$500,MATCH(1,INDEX((檢查項目!$A$2:$A$500=A84)*(檢查項目!$C$2:$C$500=C84)*(檢查項目!$B$2:$B$500=B84),0),0)),IFERROR(INDEX(檢查項目!$E$2:$E$500,MATCH(1,INDEX((檢查項目!$A$2:$A$500=A84)*(檢查項目!$C$2:$C$500=C84)*(檢查項目!$B$2:$B$500=""),0),0)),"⚠ 找不到項目")))</f>
        <v/>
      </c>
      <c r="J84" s="2">
        <f>IF(A84="","",IF(B84="","共用",IF(H84="Y","排除（"&amp;B84&amp;"）",IF(SUMPRODUCT(($A$2:$A$500=A84)*($C$2:$C$500=C84)*($D$2:$D$500=D84)*($B$2:$B$500=""))&gt;0,"覆蓋共用（"&amp;B84&amp;"）","單元新增（"&amp;B84&amp;"）"))))</f>
        <v/>
      </c>
      <c r="K84" s="2">
        <f>IF(A84="","",IF(H84="Y","—",IF(AND(F84&lt;&gt;"",G84&lt;&gt;""),F84&amp;" ~ "&amp;G84,IF(G84&lt;&gt;"","≤ "&amp;G84,IF(F84&lt;&gt;"","≥ "&amp;F84,"只記錄、不檢核")))))</f>
        <v/>
      </c>
      <c r="L84" s="2">
        <f>IF(A84="","",IF(TRIM(IF(SUMPRODUCT(($A$2:$A$500=A84)*($B$2:$B$500=B84)*($C$2:$C$500=C84)*($D$2:$D$500=D84))&gt;1,"⚠ 欄位名稱重複 ","")&amp;IF(AND(B84&lt;&gt;"",NOT(ISNUMBER(SEARCH("、"&amp;B84&amp;"、","、"&amp;IFERROR(INDEX(表單!$I$2:$I$500,MATCH(A84,表單!$A$2:$A$500,0)),"")&amp;"、")))),"⚠ 單元不在適用單元內 ","")&amp;IF(AND(H84="Y",B84=""),"⚠ 排除只能用在單元列 ","")&amp;IF(AND(H84="Y",B84&lt;&gt;"",SUMPRODUCT(($A$2:$A$500=A84)*($C$2:$C$500=C84)*($D$2:$D$500=D84)*($B$2:$B$500=""))=0),"⚠ 排除需對應共用欄位 ","")&amp;IF(AND(ISNUMBER(F84),ISNUMBER(G84),F84&gt;G84),"⚠ 下限大於上限 ","")&amp;IF(SUMPRODUCT((檢查項目!$A$2:$A$500=A84)*(檢查項目!$C$2:$C$500=C84)*(檢查項目!$G$2:$G$500="數值"))=0,"⚠ 該項目不是數值類型 ",""))="","✓",TRIM(IF(SUMPRODUCT(($A$2:$A$500=A84)*($B$2:$B$500=B84)*($C$2:$C$500=C84)*($D$2:$D$500=D84))&gt;1,"⚠ 欄位名稱重複 ","")&amp;IF(AND(B84&lt;&gt;"",NOT(ISNUMBER(SEARCH("、"&amp;B84&amp;"、","、"&amp;IFERROR(INDEX(表單!$I$2:$I$500,MATCH(A84,表單!$A$2:$A$500,0)),"")&amp;"、")))),"⚠ 單元不在適用單元內 ","")&amp;IF(AND(H84="Y",B84=""),"⚠ 排除只能用在單元列 ","")&amp;IF(AND(H84="Y",B84&lt;&gt;"",SUMPRODUCT(($A$2:$A$500=A84)*($C$2:$C$500=C84)*($D$2:$D$500=D84)*($B$2:$B$500=""))=0),"⚠ 排除需對應共用欄位 ","")&amp;IF(AND(ISNUMBER(F84),ISNUMBER(G84),F84&gt;G84),"⚠ 下限大於上限 ","")&amp;IF(SUMPRODUCT((檢查項目!$A$2:$A$500=A84)*(檢查項目!$C$2:$C$500=C84)*(檢查項目!$G$2:$G$500="數值"))=0,"⚠ 該項目不是數值類型 ",""))))</f>
        <v/>
      </c>
    </row>
    <row r="85">
      <c r="I85" s="2">
        <f>IF(A85="","",IFERROR(INDEX(檢查項目!$E$2:$E$500,MATCH(1,INDEX((檢查項目!$A$2:$A$500=A85)*(檢查項目!$C$2:$C$500=C85)*(檢查項目!$B$2:$B$500=B85),0),0)),IFERROR(INDEX(檢查項目!$E$2:$E$500,MATCH(1,INDEX((檢查項目!$A$2:$A$500=A85)*(檢查項目!$C$2:$C$500=C85)*(檢查項目!$B$2:$B$500=""),0),0)),"⚠ 找不到項目")))</f>
        <v/>
      </c>
      <c r="J85" s="2">
        <f>IF(A85="","",IF(B85="","共用",IF(H85="Y","排除（"&amp;B85&amp;"）",IF(SUMPRODUCT(($A$2:$A$500=A85)*($C$2:$C$500=C85)*($D$2:$D$500=D85)*($B$2:$B$500=""))&gt;0,"覆蓋共用（"&amp;B85&amp;"）","單元新增（"&amp;B85&amp;"）"))))</f>
        <v/>
      </c>
      <c r="K85" s="2">
        <f>IF(A85="","",IF(H85="Y","—",IF(AND(F85&lt;&gt;"",G85&lt;&gt;""),F85&amp;" ~ "&amp;G85,IF(G85&lt;&gt;"","≤ "&amp;G85,IF(F85&lt;&gt;"","≥ "&amp;F85,"只記錄、不檢核")))))</f>
        <v/>
      </c>
      <c r="L85" s="2">
        <f>IF(A85="","",IF(TRIM(IF(SUMPRODUCT(($A$2:$A$500=A85)*($B$2:$B$500=B85)*($C$2:$C$500=C85)*($D$2:$D$500=D85))&gt;1,"⚠ 欄位名稱重複 ","")&amp;IF(AND(B85&lt;&gt;"",NOT(ISNUMBER(SEARCH("、"&amp;B85&amp;"、","、"&amp;IFERROR(INDEX(表單!$I$2:$I$500,MATCH(A85,表單!$A$2:$A$500,0)),"")&amp;"、")))),"⚠ 單元不在適用單元內 ","")&amp;IF(AND(H85="Y",B85=""),"⚠ 排除只能用在單元列 ","")&amp;IF(AND(H85="Y",B85&lt;&gt;"",SUMPRODUCT(($A$2:$A$500=A85)*($C$2:$C$500=C85)*($D$2:$D$500=D85)*($B$2:$B$500=""))=0),"⚠ 排除需對應共用欄位 ","")&amp;IF(AND(ISNUMBER(F85),ISNUMBER(G85),F85&gt;G85),"⚠ 下限大於上限 ","")&amp;IF(SUMPRODUCT((檢查項目!$A$2:$A$500=A85)*(檢查項目!$C$2:$C$500=C85)*(檢查項目!$G$2:$G$500="數值"))=0,"⚠ 該項目不是數值類型 ",""))="","✓",TRIM(IF(SUMPRODUCT(($A$2:$A$500=A85)*($B$2:$B$500=B85)*($C$2:$C$500=C85)*($D$2:$D$500=D85))&gt;1,"⚠ 欄位名稱重複 ","")&amp;IF(AND(B85&lt;&gt;"",NOT(ISNUMBER(SEARCH("、"&amp;B85&amp;"、","、"&amp;IFERROR(INDEX(表單!$I$2:$I$500,MATCH(A85,表單!$A$2:$A$500,0)),"")&amp;"、")))),"⚠ 單元不在適用單元內 ","")&amp;IF(AND(H85="Y",B85=""),"⚠ 排除只能用在單元列 ","")&amp;IF(AND(H85="Y",B85&lt;&gt;"",SUMPRODUCT(($A$2:$A$500=A85)*($C$2:$C$500=C85)*($D$2:$D$500=D85)*($B$2:$B$500=""))=0),"⚠ 排除需對應共用欄位 ","")&amp;IF(AND(ISNUMBER(F85),ISNUMBER(G85),F85&gt;G85),"⚠ 下限大於上限 ","")&amp;IF(SUMPRODUCT((檢查項目!$A$2:$A$500=A85)*(檢查項目!$C$2:$C$500=C85)*(檢查項目!$G$2:$G$500="數值"))=0,"⚠ 該項目不是數值類型 ",""))))</f>
        <v/>
      </c>
    </row>
    <row r="86">
      <c r="I86" s="2">
        <f>IF(A86="","",IFERROR(INDEX(檢查項目!$E$2:$E$500,MATCH(1,INDEX((檢查項目!$A$2:$A$500=A86)*(檢查項目!$C$2:$C$500=C86)*(檢查項目!$B$2:$B$500=B86),0),0)),IFERROR(INDEX(檢查項目!$E$2:$E$500,MATCH(1,INDEX((檢查項目!$A$2:$A$500=A86)*(檢查項目!$C$2:$C$500=C86)*(檢查項目!$B$2:$B$500=""),0),0)),"⚠ 找不到項目")))</f>
        <v/>
      </c>
      <c r="J86" s="2">
        <f>IF(A86="","",IF(B86="","共用",IF(H86="Y","排除（"&amp;B86&amp;"）",IF(SUMPRODUCT(($A$2:$A$500=A86)*($C$2:$C$500=C86)*($D$2:$D$500=D86)*($B$2:$B$500=""))&gt;0,"覆蓋共用（"&amp;B86&amp;"）","單元新增（"&amp;B86&amp;"）"))))</f>
        <v/>
      </c>
      <c r="K86" s="2">
        <f>IF(A86="","",IF(H86="Y","—",IF(AND(F86&lt;&gt;"",G86&lt;&gt;""),F86&amp;" ~ "&amp;G86,IF(G86&lt;&gt;"","≤ "&amp;G86,IF(F86&lt;&gt;"","≥ "&amp;F86,"只記錄、不檢核")))))</f>
        <v/>
      </c>
      <c r="L86" s="2">
        <f>IF(A86="","",IF(TRIM(IF(SUMPRODUCT(($A$2:$A$500=A86)*($B$2:$B$500=B86)*($C$2:$C$500=C86)*($D$2:$D$500=D86))&gt;1,"⚠ 欄位名稱重複 ","")&amp;IF(AND(B86&lt;&gt;"",NOT(ISNUMBER(SEARCH("、"&amp;B86&amp;"、","、"&amp;IFERROR(INDEX(表單!$I$2:$I$500,MATCH(A86,表單!$A$2:$A$500,0)),"")&amp;"、")))),"⚠ 單元不在適用單元內 ","")&amp;IF(AND(H86="Y",B86=""),"⚠ 排除只能用在單元列 ","")&amp;IF(AND(H86="Y",B86&lt;&gt;"",SUMPRODUCT(($A$2:$A$500=A86)*($C$2:$C$500=C86)*($D$2:$D$500=D86)*($B$2:$B$500=""))=0),"⚠ 排除需對應共用欄位 ","")&amp;IF(AND(ISNUMBER(F86),ISNUMBER(G86),F86&gt;G86),"⚠ 下限大於上限 ","")&amp;IF(SUMPRODUCT((檢查項目!$A$2:$A$500=A86)*(檢查項目!$C$2:$C$500=C86)*(檢查項目!$G$2:$G$500="數值"))=0,"⚠ 該項目不是數值類型 ",""))="","✓",TRIM(IF(SUMPRODUCT(($A$2:$A$500=A86)*($B$2:$B$500=B86)*($C$2:$C$500=C86)*($D$2:$D$500=D86))&gt;1,"⚠ 欄位名稱重複 ","")&amp;IF(AND(B86&lt;&gt;"",NOT(ISNUMBER(SEARCH("、"&amp;B86&amp;"、","、"&amp;IFERROR(INDEX(表單!$I$2:$I$500,MATCH(A86,表單!$A$2:$A$500,0)),"")&amp;"、")))),"⚠ 單元不在適用單元內 ","")&amp;IF(AND(H86="Y",B86=""),"⚠ 排除只能用在單元列 ","")&amp;IF(AND(H86="Y",B86&lt;&gt;"",SUMPRODUCT(($A$2:$A$500=A86)*($C$2:$C$500=C86)*($D$2:$D$500=D86)*($B$2:$B$500=""))=0),"⚠ 排除需對應共用欄位 ","")&amp;IF(AND(ISNUMBER(F86),ISNUMBER(G86),F86&gt;G86),"⚠ 下限大於上限 ","")&amp;IF(SUMPRODUCT((檢查項目!$A$2:$A$500=A86)*(檢查項目!$C$2:$C$500=C86)*(檢查項目!$G$2:$G$500="數值"))=0,"⚠ 該項目不是數值類型 ",""))))</f>
        <v/>
      </c>
    </row>
    <row r="87">
      <c r="I87" s="2">
        <f>IF(A87="","",IFERROR(INDEX(檢查項目!$E$2:$E$500,MATCH(1,INDEX((檢查項目!$A$2:$A$500=A87)*(檢查項目!$C$2:$C$500=C87)*(檢查項目!$B$2:$B$500=B87),0),0)),IFERROR(INDEX(檢查項目!$E$2:$E$500,MATCH(1,INDEX((檢查項目!$A$2:$A$500=A87)*(檢查項目!$C$2:$C$500=C87)*(檢查項目!$B$2:$B$500=""),0),0)),"⚠ 找不到項目")))</f>
        <v/>
      </c>
      <c r="J87" s="2">
        <f>IF(A87="","",IF(B87="","共用",IF(H87="Y","排除（"&amp;B87&amp;"）",IF(SUMPRODUCT(($A$2:$A$500=A87)*($C$2:$C$500=C87)*($D$2:$D$500=D87)*($B$2:$B$500=""))&gt;0,"覆蓋共用（"&amp;B87&amp;"）","單元新增（"&amp;B87&amp;"）"))))</f>
        <v/>
      </c>
      <c r="K87" s="2">
        <f>IF(A87="","",IF(H87="Y","—",IF(AND(F87&lt;&gt;"",G87&lt;&gt;""),F87&amp;" ~ "&amp;G87,IF(G87&lt;&gt;"","≤ "&amp;G87,IF(F87&lt;&gt;"","≥ "&amp;F87,"只記錄、不檢核")))))</f>
        <v/>
      </c>
      <c r="L87" s="2">
        <f>IF(A87="","",IF(TRIM(IF(SUMPRODUCT(($A$2:$A$500=A87)*($B$2:$B$500=B87)*($C$2:$C$500=C87)*($D$2:$D$500=D87))&gt;1,"⚠ 欄位名稱重複 ","")&amp;IF(AND(B87&lt;&gt;"",NOT(ISNUMBER(SEARCH("、"&amp;B87&amp;"、","、"&amp;IFERROR(INDEX(表單!$I$2:$I$500,MATCH(A87,表單!$A$2:$A$500,0)),"")&amp;"、")))),"⚠ 單元不在適用單元內 ","")&amp;IF(AND(H87="Y",B87=""),"⚠ 排除只能用在單元列 ","")&amp;IF(AND(H87="Y",B87&lt;&gt;"",SUMPRODUCT(($A$2:$A$500=A87)*($C$2:$C$500=C87)*($D$2:$D$500=D87)*($B$2:$B$500=""))=0),"⚠ 排除需對應共用欄位 ","")&amp;IF(AND(ISNUMBER(F87),ISNUMBER(G87),F87&gt;G87),"⚠ 下限大於上限 ","")&amp;IF(SUMPRODUCT((檢查項目!$A$2:$A$500=A87)*(檢查項目!$C$2:$C$500=C87)*(檢查項目!$G$2:$G$500="數值"))=0,"⚠ 該項目不是數值類型 ",""))="","✓",TRIM(IF(SUMPRODUCT(($A$2:$A$500=A87)*($B$2:$B$500=B87)*($C$2:$C$500=C87)*($D$2:$D$500=D87))&gt;1,"⚠ 欄位名稱重複 ","")&amp;IF(AND(B87&lt;&gt;"",NOT(ISNUMBER(SEARCH("、"&amp;B87&amp;"、","、"&amp;IFERROR(INDEX(表單!$I$2:$I$500,MATCH(A87,表單!$A$2:$A$500,0)),"")&amp;"、")))),"⚠ 單元不在適用單元內 ","")&amp;IF(AND(H87="Y",B87=""),"⚠ 排除只能用在單元列 ","")&amp;IF(AND(H87="Y",B87&lt;&gt;"",SUMPRODUCT(($A$2:$A$500=A87)*($C$2:$C$500=C87)*($D$2:$D$500=D87)*($B$2:$B$500=""))=0),"⚠ 排除需對應共用欄位 ","")&amp;IF(AND(ISNUMBER(F87),ISNUMBER(G87),F87&gt;G87),"⚠ 下限大於上限 ","")&amp;IF(SUMPRODUCT((檢查項目!$A$2:$A$500=A87)*(檢查項目!$C$2:$C$500=C87)*(檢查項目!$G$2:$G$500="數值"))=0,"⚠ 該項目不是數值類型 ",""))))</f>
        <v/>
      </c>
    </row>
    <row r="88">
      <c r="I88" s="2">
        <f>IF(A88="","",IFERROR(INDEX(檢查項目!$E$2:$E$500,MATCH(1,INDEX((檢查項目!$A$2:$A$500=A88)*(檢查項目!$C$2:$C$500=C88)*(檢查項目!$B$2:$B$500=B88),0),0)),IFERROR(INDEX(檢查項目!$E$2:$E$500,MATCH(1,INDEX((檢查項目!$A$2:$A$500=A88)*(檢查項目!$C$2:$C$500=C88)*(檢查項目!$B$2:$B$500=""),0),0)),"⚠ 找不到項目")))</f>
        <v/>
      </c>
      <c r="J88" s="2">
        <f>IF(A88="","",IF(B88="","共用",IF(H88="Y","排除（"&amp;B88&amp;"）",IF(SUMPRODUCT(($A$2:$A$500=A88)*($C$2:$C$500=C88)*($D$2:$D$500=D88)*($B$2:$B$500=""))&gt;0,"覆蓋共用（"&amp;B88&amp;"）","單元新增（"&amp;B88&amp;"）"))))</f>
        <v/>
      </c>
      <c r="K88" s="2">
        <f>IF(A88="","",IF(H88="Y","—",IF(AND(F88&lt;&gt;"",G88&lt;&gt;""),F88&amp;" ~ "&amp;G88,IF(G88&lt;&gt;"","≤ "&amp;G88,IF(F88&lt;&gt;"","≥ "&amp;F88,"只記錄、不檢核")))))</f>
        <v/>
      </c>
      <c r="L88" s="2">
        <f>IF(A88="","",IF(TRIM(IF(SUMPRODUCT(($A$2:$A$500=A88)*($B$2:$B$500=B88)*($C$2:$C$500=C88)*($D$2:$D$500=D88))&gt;1,"⚠ 欄位名稱重複 ","")&amp;IF(AND(B88&lt;&gt;"",NOT(ISNUMBER(SEARCH("、"&amp;B88&amp;"、","、"&amp;IFERROR(INDEX(表單!$I$2:$I$500,MATCH(A88,表單!$A$2:$A$500,0)),"")&amp;"、")))),"⚠ 單元不在適用單元內 ","")&amp;IF(AND(H88="Y",B88=""),"⚠ 排除只能用在單元列 ","")&amp;IF(AND(H88="Y",B88&lt;&gt;"",SUMPRODUCT(($A$2:$A$500=A88)*($C$2:$C$500=C88)*($D$2:$D$500=D88)*($B$2:$B$500=""))=0),"⚠ 排除需對應共用欄位 ","")&amp;IF(AND(ISNUMBER(F88),ISNUMBER(G88),F88&gt;G88),"⚠ 下限大於上限 ","")&amp;IF(SUMPRODUCT((檢查項目!$A$2:$A$500=A88)*(檢查項目!$C$2:$C$500=C88)*(檢查項目!$G$2:$G$500="數值"))=0,"⚠ 該項目不是數值類型 ",""))="","✓",TRIM(IF(SUMPRODUCT(($A$2:$A$500=A88)*($B$2:$B$500=B88)*($C$2:$C$500=C88)*($D$2:$D$500=D88))&gt;1,"⚠ 欄位名稱重複 ","")&amp;IF(AND(B88&lt;&gt;"",NOT(ISNUMBER(SEARCH("、"&amp;B88&amp;"、","、"&amp;IFERROR(INDEX(表單!$I$2:$I$500,MATCH(A88,表單!$A$2:$A$500,0)),"")&amp;"、")))),"⚠ 單元不在適用單元內 ","")&amp;IF(AND(H88="Y",B88=""),"⚠ 排除只能用在單元列 ","")&amp;IF(AND(H88="Y",B88&lt;&gt;"",SUMPRODUCT(($A$2:$A$500=A88)*($C$2:$C$500=C88)*($D$2:$D$500=D88)*($B$2:$B$500=""))=0),"⚠ 排除需對應共用欄位 ","")&amp;IF(AND(ISNUMBER(F88),ISNUMBER(G88),F88&gt;G88),"⚠ 下限大於上限 ","")&amp;IF(SUMPRODUCT((檢查項目!$A$2:$A$500=A88)*(檢查項目!$C$2:$C$500=C88)*(檢查項目!$G$2:$G$500="數值"))=0,"⚠ 該項目不是數值類型 ",""))))</f>
        <v/>
      </c>
    </row>
    <row r="89">
      <c r="I89" s="2">
        <f>IF(A89="","",IFERROR(INDEX(檢查項目!$E$2:$E$500,MATCH(1,INDEX((檢查項目!$A$2:$A$500=A89)*(檢查項目!$C$2:$C$500=C89)*(檢查項目!$B$2:$B$500=B89),0),0)),IFERROR(INDEX(檢查項目!$E$2:$E$500,MATCH(1,INDEX((檢查項目!$A$2:$A$500=A89)*(檢查項目!$C$2:$C$500=C89)*(檢查項目!$B$2:$B$500=""),0),0)),"⚠ 找不到項目")))</f>
        <v/>
      </c>
      <c r="J89" s="2">
        <f>IF(A89="","",IF(B89="","共用",IF(H89="Y","排除（"&amp;B89&amp;"）",IF(SUMPRODUCT(($A$2:$A$500=A89)*($C$2:$C$500=C89)*($D$2:$D$500=D89)*($B$2:$B$500=""))&gt;0,"覆蓋共用（"&amp;B89&amp;"）","單元新增（"&amp;B89&amp;"）"))))</f>
        <v/>
      </c>
      <c r="K89" s="2">
        <f>IF(A89="","",IF(H89="Y","—",IF(AND(F89&lt;&gt;"",G89&lt;&gt;""),F89&amp;" ~ "&amp;G89,IF(G89&lt;&gt;"","≤ "&amp;G89,IF(F89&lt;&gt;"","≥ "&amp;F89,"只記錄、不檢核")))))</f>
        <v/>
      </c>
      <c r="L89" s="2">
        <f>IF(A89="","",IF(TRIM(IF(SUMPRODUCT(($A$2:$A$500=A89)*($B$2:$B$500=B89)*($C$2:$C$500=C89)*($D$2:$D$500=D89))&gt;1,"⚠ 欄位名稱重複 ","")&amp;IF(AND(B89&lt;&gt;"",NOT(ISNUMBER(SEARCH("、"&amp;B89&amp;"、","、"&amp;IFERROR(INDEX(表單!$I$2:$I$500,MATCH(A89,表單!$A$2:$A$500,0)),"")&amp;"、")))),"⚠ 單元不在適用單元內 ","")&amp;IF(AND(H89="Y",B89=""),"⚠ 排除只能用在單元列 ","")&amp;IF(AND(H89="Y",B89&lt;&gt;"",SUMPRODUCT(($A$2:$A$500=A89)*($C$2:$C$500=C89)*($D$2:$D$500=D89)*($B$2:$B$500=""))=0),"⚠ 排除需對應共用欄位 ","")&amp;IF(AND(ISNUMBER(F89),ISNUMBER(G89),F89&gt;G89),"⚠ 下限大於上限 ","")&amp;IF(SUMPRODUCT((檢查項目!$A$2:$A$500=A89)*(檢查項目!$C$2:$C$500=C89)*(檢查項目!$G$2:$G$500="數值"))=0,"⚠ 該項目不是數值類型 ",""))="","✓",TRIM(IF(SUMPRODUCT(($A$2:$A$500=A89)*($B$2:$B$500=B89)*($C$2:$C$500=C89)*($D$2:$D$500=D89))&gt;1,"⚠ 欄位名稱重複 ","")&amp;IF(AND(B89&lt;&gt;"",NOT(ISNUMBER(SEARCH("、"&amp;B89&amp;"、","、"&amp;IFERROR(INDEX(表單!$I$2:$I$500,MATCH(A89,表單!$A$2:$A$500,0)),"")&amp;"、")))),"⚠ 單元不在適用單元內 ","")&amp;IF(AND(H89="Y",B89=""),"⚠ 排除只能用在單元列 ","")&amp;IF(AND(H89="Y",B89&lt;&gt;"",SUMPRODUCT(($A$2:$A$500=A89)*($C$2:$C$500=C89)*($D$2:$D$500=D89)*($B$2:$B$500=""))=0),"⚠ 排除需對應共用欄位 ","")&amp;IF(AND(ISNUMBER(F89),ISNUMBER(G89),F89&gt;G89),"⚠ 下限大於上限 ","")&amp;IF(SUMPRODUCT((檢查項目!$A$2:$A$500=A89)*(檢查項目!$C$2:$C$500=C89)*(檢查項目!$G$2:$G$500="數值"))=0,"⚠ 該項目不是數值類型 ",""))))</f>
        <v/>
      </c>
    </row>
    <row r="90">
      <c r="I90" s="2">
        <f>IF(A90="","",IFERROR(INDEX(檢查項目!$E$2:$E$500,MATCH(1,INDEX((檢查項目!$A$2:$A$500=A90)*(檢查項目!$C$2:$C$500=C90)*(檢查項目!$B$2:$B$500=B90),0),0)),IFERROR(INDEX(檢查項目!$E$2:$E$500,MATCH(1,INDEX((檢查項目!$A$2:$A$500=A90)*(檢查項目!$C$2:$C$500=C90)*(檢查項目!$B$2:$B$500=""),0),0)),"⚠ 找不到項目")))</f>
        <v/>
      </c>
      <c r="J90" s="2">
        <f>IF(A90="","",IF(B90="","共用",IF(H90="Y","排除（"&amp;B90&amp;"）",IF(SUMPRODUCT(($A$2:$A$500=A90)*($C$2:$C$500=C90)*($D$2:$D$500=D90)*($B$2:$B$500=""))&gt;0,"覆蓋共用（"&amp;B90&amp;"）","單元新增（"&amp;B90&amp;"）"))))</f>
        <v/>
      </c>
      <c r="K90" s="2">
        <f>IF(A90="","",IF(H90="Y","—",IF(AND(F90&lt;&gt;"",G90&lt;&gt;""),F90&amp;" ~ "&amp;G90,IF(G90&lt;&gt;"","≤ "&amp;G90,IF(F90&lt;&gt;"","≥ "&amp;F90,"只記錄、不檢核")))))</f>
        <v/>
      </c>
      <c r="L90" s="2">
        <f>IF(A90="","",IF(TRIM(IF(SUMPRODUCT(($A$2:$A$500=A90)*($B$2:$B$500=B90)*($C$2:$C$500=C90)*($D$2:$D$500=D90))&gt;1,"⚠ 欄位名稱重複 ","")&amp;IF(AND(B90&lt;&gt;"",NOT(ISNUMBER(SEARCH("、"&amp;B90&amp;"、","、"&amp;IFERROR(INDEX(表單!$I$2:$I$500,MATCH(A90,表單!$A$2:$A$500,0)),"")&amp;"、")))),"⚠ 單元不在適用單元內 ","")&amp;IF(AND(H90="Y",B90=""),"⚠ 排除只能用在單元列 ","")&amp;IF(AND(H90="Y",B90&lt;&gt;"",SUMPRODUCT(($A$2:$A$500=A90)*($C$2:$C$500=C90)*($D$2:$D$500=D90)*($B$2:$B$500=""))=0),"⚠ 排除需對應共用欄位 ","")&amp;IF(AND(ISNUMBER(F90),ISNUMBER(G90),F90&gt;G90),"⚠ 下限大於上限 ","")&amp;IF(SUMPRODUCT((檢查項目!$A$2:$A$500=A90)*(檢查項目!$C$2:$C$500=C90)*(檢查項目!$G$2:$G$500="數值"))=0,"⚠ 該項目不是數值類型 ",""))="","✓",TRIM(IF(SUMPRODUCT(($A$2:$A$500=A90)*($B$2:$B$500=B90)*($C$2:$C$500=C90)*($D$2:$D$500=D90))&gt;1,"⚠ 欄位名稱重複 ","")&amp;IF(AND(B90&lt;&gt;"",NOT(ISNUMBER(SEARCH("、"&amp;B90&amp;"、","、"&amp;IFERROR(INDEX(表單!$I$2:$I$500,MATCH(A90,表單!$A$2:$A$500,0)),"")&amp;"、")))),"⚠ 單元不在適用單元內 ","")&amp;IF(AND(H90="Y",B90=""),"⚠ 排除只能用在單元列 ","")&amp;IF(AND(H90="Y",B90&lt;&gt;"",SUMPRODUCT(($A$2:$A$500=A90)*($C$2:$C$500=C90)*($D$2:$D$500=D90)*($B$2:$B$500=""))=0),"⚠ 排除需對應共用欄位 ","")&amp;IF(AND(ISNUMBER(F90),ISNUMBER(G90),F90&gt;G90),"⚠ 下限大於上限 ","")&amp;IF(SUMPRODUCT((檢查項目!$A$2:$A$500=A90)*(檢查項目!$C$2:$C$500=C90)*(檢查項目!$G$2:$G$500="數值"))=0,"⚠ 該項目不是數值類型 ",""))))</f>
        <v/>
      </c>
    </row>
    <row r="91">
      <c r="I91" s="2">
        <f>IF(A91="","",IFERROR(INDEX(檢查項目!$E$2:$E$500,MATCH(1,INDEX((檢查項目!$A$2:$A$500=A91)*(檢查項目!$C$2:$C$500=C91)*(檢查項目!$B$2:$B$500=B91),0),0)),IFERROR(INDEX(檢查項目!$E$2:$E$500,MATCH(1,INDEX((檢查項目!$A$2:$A$500=A91)*(檢查項目!$C$2:$C$500=C91)*(檢查項目!$B$2:$B$500=""),0),0)),"⚠ 找不到項目")))</f>
        <v/>
      </c>
      <c r="J91" s="2">
        <f>IF(A91="","",IF(B91="","共用",IF(H91="Y","排除（"&amp;B91&amp;"）",IF(SUMPRODUCT(($A$2:$A$500=A91)*($C$2:$C$500=C91)*($D$2:$D$500=D91)*($B$2:$B$500=""))&gt;0,"覆蓋共用（"&amp;B91&amp;"）","單元新增（"&amp;B91&amp;"）"))))</f>
        <v/>
      </c>
      <c r="K91" s="2">
        <f>IF(A91="","",IF(H91="Y","—",IF(AND(F91&lt;&gt;"",G91&lt;&gt;""),F91&amp;" ~ "&amp;G91,IF(G91&lt;&gt;"","≤ "&amp;G91,IF(F91&lt;&gt;"","≥ "&amp;F91,"只記錄、不檢核")))))</f>
        <v/>
      </c>
      <c r="L91" s="2">
        <f>IF(A91="","",IF(TRIM(IF(SUMPRODUCT(($A$2:$A$500=A91)*($B$2:$B$500=B91)*($C$2:$C$500=C91)*($D$2:$D$500=D91))&gt;1,"⚠ 欄位名稱重複 ","")&amp;IF(AND(B91&lt;&gt;"",NOT(ISNUMBER(SEARCH("、"&amp;B91&amp;"、","、"&amp;IFERROR(INDEX(表單!$I$2:$I$500,MATCH(A91,表單!$A$2:$A$500,0)),"")&amp;"、")))),"⚠ 單元不在適用單元內 ","")&amp;IF(AND(H91="Y",B91=""),"⚠ 排除只能用在單元列 ","")&amp;IF(AND(H91="Y",B91&lt;&gt;"",SUMPRODUCT(($A$2:$A$500=A91)*($C$2:$C$500=C91)*($D$2:$D$500=D91)*($B$2:$B$500=""))=0),"⚠ 排除需對應共用欄位 ","")&amp;IF(AND(ISNUMBER(F91),ISNUMBER(G91),F91&gt;G91),"⚠ 下限大於上限 ","")&amp;IF(SUMPRODUCT((檢查項目!$A$2:$A$500=A91)*(檢查項目!$C$2:$C$500=C91)*(檢查項目!$G$2:$G$500="數值"))=0,"⚠ 該項目不是數值類型 ",""))="","✓",TRIM(IF(SUMPRODUCT(($A$2:$A$500=A91)*($B$2:$B$500=B91)*($C$2:$C$500=C91)*($D$2:$D$500=D91))&gt;1,"⚠ 欄位名稱重複 ","")&amp;IF(AND(B91&lt;&gt;"",NOT(ISNUMBER(SEARCH("、"&amp;B91&amp;"、","、"&amp;IFERROR(INDEX(表單!$I$2:$I$500,MATCH(A91,表單!$A$2:$A$500,0)),"")&amp;"、")))),"⚠ 單元不在適用單元內 ","")&amp;IF(AND(H91="Y",B91=""),"⚠ 排除只能用在單元列 ","")&amp;IF(AND(H91="Y",B91&lt;&gt;"",SUMPRODUCT(($A$2:$A$500=A91)*($C$2:$C$500=C91)*($D$2:$D$500=D91)*($B$2:$B$500=""))=0),"⚠ 排除需對應共用欄位 ","")&amp;IF(AND(ISNUMBER(F91),ISNUMBER(G91),F91&gt;G91),"⚠ 下限大於上限 ","")&amp;IF(SUMPRODUCT((檢查項目!$A$2:$A$500=A91)*(檢查項目!$C$2:$C$500=C91)*(檢查項目!$G$2:$G$500="數值"))=0,"⚠ 該項目不是數值類型 ",""))))</f>
        <v/>
      </c>
    </row>
    <row r="92">
      <c r="I92" s="2">
        <f>IF(A92="","",IFERROR(INDEX(檢查項目!$E$2:$E$500,MATCH(1,INDEX((檢查項目!$A$2:$A$500=A92)*(檢查項目!$C$2:$C$500=C92)*(檢查項目!$B$2:$B$500=B92),0),0)),IFERROR(INDEX(檢查項目!$E$2:$E$500,MATCH(1,INDEX((檢查項目!$A$2:$A$500=A92)*(檢查項目!$C$2:$C$500=C92)*(檢查項目!$B$2:$B$500=""),0),0)),"⚠ 找不到項目")))</f>
        <v/>
      </c>
      <c r="J92" s="2">
        <f>IF(A92="","",IF(B92="","共用",IF(H92="Y","排除（"&amp;B92&amp;"）",IF(SUMPRODUCT(($A$2:$A$500=A92)*($C$2:$C$500=C92)*($D$2:$D$500=D92)*($B$2:$B$500=""))&gt;0,"覆蓋共用（"&amp;B92&amp;"）","單元新增（"&amp;B92&amp;"）"))))</f>
        <v/>
      </c>
      <c r="K92" s="2">
        <f>IF(A92="","",IF(H92="Y","—",IF(AND(F92&lt;&gt;"",G92&lt;&gt;""),F92&amp;" ~ "&amp;G92,IF(G92&lt;&gt;"","≤ "&amp;G92,IF(F92&lt;&gt;"","≥ "&amp;F92,"只記錄、不檢核")))))</f>
        <v/>
      </c>
      <c r="L92" s="2">
        <f>IF(A92="","",IF(TRIM(IF(SUMPRODUCT(($A$2:$A$500=A92)*($B$2:$B$500=B92)*($C$2:$C$500=C92)*($D$2:$D$500=D92))&gt;1,"⚠ 欄位名稱重複 ","")&amp;IF(AND(B92&lt;&gt;"",NOT(ISNUMBER(SEARCH("、"&amp;B92&amp;"、","、"&amp;IFERROR(INDEX(表單!$I$2:$I$500,MATCH(A92,表單!$A$2:$A$500,0)),"")&amp;"、")))),"⚠ 單元不在適用單元內 ","")&amp;IF(AND(H92="Y",B92=""),"⚠ 排除只能用在單元列 ","")&amp;IF(AND(H92="Y",B92&lt;&gt;"",SUMPRODUCT(($A$2:$A$500=A92)*($C$2:$C$500=C92)*($D$2:$D$500=D92)*($B$2:$B$500=""))=0),"⚠ 排除需對應共用欄位 ","")&amp;IF(AND(ISNUMBER(F92),ISNUMBER(G92),F92&gt;G92),"⚠ 下限大於上限 ","")&amp;IF(SUMPRODUCT((檢查項目!$A$2:$A$500=A92)*(檢查項目!$C$2:$C$500=C92)*(檢查項目!$G$2:$G$500="數值"))=0,"⚠ 該項目不是數值類型 ",""))="","✓",TRIM(IF(SUMPRODUCT(($A$2:$A$500=A92)*($B$2:$B$500=B92)*($C$2:$C$500=C92)*($D$2:$D$500=D92))&gt;1,"⚠ 欄位名稱重複 ","")&amp;IF(AND(B92&lt;&gt;"",NOT(ISNUMBER(SEARCH("、"&amp;B92&amp;"、","、"&amp;IFERROR(INDEX(表單!$I$2:$I$500,MATCH(A92,表單!$A$2:$A$500,0)),"")&amp;"、")))),"⚠ 單元不在適用單元內 ","")&amp;IF(AND(H92="Y",B92=""),"⚠ 排除只能用在單元列 ","")&amp;IF(AND(H92="Y",B92&lt;&gt;"",SUMPRODUCT(($A$2:$A$500=A92)*($C$2:$C$500=C92)*($D$2:$D$500=D92)*($B$2:$B$500=""))=0),"⚠ 排除需對應共用欄位 ","")&amp;IF(AND(ISNUMBER(F92),ISNUMBER(G92),F92&gt;G92),"⚠ 下限大於上限 ","")&amp;IF(SUMPRODUCT((檢查項目!$A$2:$A$500=A92)*(檢查項目!$C$2:$C$500=C92)*(檢查項目!$G$2:$G$500="數值"))=0,"⚠ 該項目不是數值類型 ",""))))</f>
        <v/>
      </c>
    </row>
    <row r="93">
      <c r="I93" s="2">
        <f>IF(A93="","",IFERROR(INDEX(檢查項目!$E$2:$E$500,MATCH(1,INDEX((檢查項目!$A$2:$A$500=A93)*(檢查項目!$C$2:$C$500=C93)*(檢查項目!$B$2:$B$500=B93),0),0)),IFERROR(INDEX(檢查項目!$E$2:$E$500,MATCH(1,INDEX((檢查項目!$A$2:$A$500=A93)*(檢查項目!$C$2:$C$500=C93)*(檢查項目!$B$2:$B$500=""),0),0)),"⚠ 找不到項目")))</f>
        <v/>
      </c>
      <c r="J93" s="2">
        <f>IF(A93="","",IF(B93="","共用",IF(H93="Y","排除（"&amp;B93&amp;"）",IF(SUMPRODUCT(($A$2:$A$500=A93)*($C$2:$C$500=C93)*($D$2:$D$500=D93)*($B$2:$B$500=""))&gt;0,"覆蓋共用（"&amp;B93&amp;"）","單元新增（"&amp;B93&amp;"）"))))</f>
        <v/>
      </c>
      <c r="K93" s="2">
        <f>IF(A93="","",IF(H93="Y","—",IF(AND(F93&lt;&gt;"",G93&lt;&gt;""),F93&amp;" ~ "&amp;G93,IF(G93&lt;&gt;"","≤ "&amp;G93,IF(F93&lt;&gt;"","≥ "&amp;F93,"只記錄、不檢核")))))</f>
        <v/>
      </c>
      <c r="L93" s="2">
        <f>IF(A93="","",IF(TRIM(IF(SUMPRODUCT(($A$2:$A$500=A93)*($B$2:$B$500=B93)*($C$2:$C$500=C93)*($D$2:$D$500=D93))&gt;1,"⚠ 欄位名稱重複 ","")&amp;IF(AND(B93&lt;&gt;"",NOT(ISNUMBER(SEARCH("、"&amp;B93&amp;"、","、"&amp;IFERROR(INDEX(表單!$I$2:$I$500,MATCH(A93,表單!$A$2:$A$500,0)),"")&amp;"、")))),"⚠ 單元不在適用單元內 ","")&amp;IF(AND(H93="Y",B93=""),"⚠ 排除只能用在單元列 ","")&amp;IF(AND(H93="Y",B93&lt;&gt;"",SUMPRODUCT(($A$2:$A$500=A93)*($C$2:$C$500=C93)*($D$2:$D$500=D93)*($B$2:$B$500=""))=0),"⚠ 排除需對應共用欄位 ","")&amp;IF(AND(ISNUMBER(F93),ISNUMBER(G93),F93&gt;G93),"⚠ 下限大於上限 ","")&amp;IF(SUMPRODUCT((檢查項目!$A$2:$A$500=A93)*(檢查項目!$C$2:$C$500=C93)*(檢查項目!$G$2:$G$500="數值"))=0,"⚠ 該項目不是數值類型 ",""))="","✓",TRIM(IF(SUMPRODUCT(($A$2:$A$500=A93)*($B$2:$B$500=B93)*($C$2:$C$500=C93)*($D$2:$D$500=D93))&gt;1,"⚠ 欄位名稱重複 ","")&amp;IF(AND(B93&lt;&gt;"",NOT(ISNUMBER(SEARCH("、"&amp;B93&amp;"、","、"&amp;IFERROR(INDEX(表單!$I$2:$I$500,MATCH(A93,表單!$A$2:$A$500,0)),"")&amp;"、")))),"⚠ 單元不在適用單元內 ","")&amp;IF(AND(H93="Y",B93=""),"⚠ 排除只能用在單元列 ","")&amp;IF(AND(H93="Y",B93&lt;&gt;"",SUMPRODUCT(($A$2:$A$500=A93)*($C$2:$C$500=C93)*($D$2:$D$500=D93)*($B$2:$B$500=""))=0),"⚠ 排除需對應共用欄位 ","")&amp;IF(AND(ISNUMBER(F93),ISNUMBER(G93),F93&gt;G93),"⚠ 下限大於上限 ","")&amp;IF(SUMPRODUCT((檢查項目!$A$2:$A$500=A93)*(檢查項目!$C$2:$C$500=C93)*(檢查項目!$G$2:$G$500="數值"))=0,"⚠ 該項目不是數值類型 ",""))))</f>
        <v/>
      </c>
    </row>
    <row r="94">
      <c r="I94" s="2">
        <f>IF(A94="","",IFERROR(INDEX(檢查項目!$E$2:$E$500,MATCH(1,INDEX((檢查項目!$A$2:$A$500=A94)*(檢查項目!$C$2:$C$500=C94)*(檢查項目!$B$2:$B$500=B94),0),0)),IFERROR(INDEX(檢查項目!$E$2:$E$500,MATCH(1,INDEX((檢查項目!$A$2:$A$500=A94)*(檢查項目!$C$2:$C$500=C94)*(檢查項目!$B$2:$B$500=""),0),0)),"⚠ 找不到項目")))</f>
        <v/>
      </c>
      <c r="J94" s="2">
        <f>IF(A94="","",IF(B94="","共用",IF(H94="Y","排除（"&amp;B94&amp;"）",IF(SUMPRODUCT(($A$2:$A$500=A94)*($C$2:$C$500=C94)*($D$2:$D$500=D94)*($B$2:$B$500=""))&gt;0,"覆蓋共用（"&amp;B94&amp;"）","單元新增（"&amp;B94&amp;"）"))))</f>
        <v/>
      </c>
      <c r="K94" s="2">
        <f>IF(A94="","",IF(H94="Y","—",IF(AND(F94&lt;&gt;"",G94&lt;&gt;""),F94&amp;" ~ "&amp;G94,IF(G94&lt;&gt;"","≤ "&amp;G94,IF(F94&lt;&gt;"","≥ "&amp;F94,"只記錄、不檢核")))))</f>
        <v/>
      </c>
      <c r="L94" s="2">
        <f>IF(A94="","",IF(TRIM(IF(SUMPRODUCT(($A$2:$A$500=A94)*($B$2:$B$500=B94)*($C$2:$C$500=C94)*($D$2:$D$500=D94))&gt;1,"⚠ 欄位名稱重複 ","")&amp;IF(AND(B94&lt;&gt;"",NOT(ISNUMBER(SEARCH("、"&amp;B94&amp;"、","、"&amp;IFERROR(INDEX(表單!$I$2:$I$500,MATCH(A94,表單!$A$2:$A$500,0)),"")&amp;"、")))),"⚠ 單元不在適用單元內 ","")&amp;IF(AND(H94="Y",B94=""),"⚠ 排除只能用在單元列 ","")&amp;IF(AND(H94="Y",B94&lt;&gt;"",SUMPRODUCT(($A$2:$A$500=A94)*($C$2:$C$500=C94)*($D$2:$D$500=D94)*($B$2:$B$500=""))=0),"⚠ 排除需對應共用欄位 ","")&amp;IF(AND(ISNUMBER(F94),ISNUMBER(G94),F94&gt;G94),"⚠ 下限大於上限 ","")&amp;IF(SUMPRODUCT((檢查項目!$A$2:$A$500=A94)*(檢查項目!$C$2:$C$500=C94)*(檢查項目!$G$2:$G$500="數值"))=0,"⚠ 該項目不是數值類型 ",""))="","✓",TRIM(IF(SUMPRODUCT(($A$2:$A$500=A94)*($B$2:$B$500=B94)*($C$2:$C$500=C94)*($D$2:$D$500=D94))&gt;1,"⚠ 欄位名稱重複 ","")&amp;IF(AND(B94&lt;&gt;"",NOT(ISNUMBER(SEARCH("、"&amp;B94&amp;"、","、"&amp;IFERROR(INDEX(表單!$I$2:$I$500,MATCH(A94,表單!$A$2:$A$500,0)),"")&amp;"、")))),"⚠ 單元不在適用單元內 ","")&amp;IF(AND(H94="Y",B94=""),"⚠ 排除只能用在單元列 ","")&amp;IF(AND(H94="Y",B94&lt;&gt;"",SUMPRODUCT(($A$2:$A$500=A94)*($C$2:$C$500=C94)*($D$2:$D$500=D94)*($B$2:$B$500=""))=0),"⚠ 排除需對應共用欄位 ","")&amp;IF(AND(ISNUMBER(F94),ISNUMBER(G94),F94&gt;G94),"⚠ 下限大於上限 ","")&amp;IF(SUMPRODUCT((檢查項目!$A$2:$A$500=A94)*(檢查項目!$C$2:$C$500=C94)*(檢查項目!$G$2:$G$500="數值"))=0,"⚠ 該項目不是數值類型 ",""))))</f>
        <v/>
      </c>
    </row>
    <row r="95">
      <c r="I95" s="2">
        <f>IF(A95="","",IFERROR(INDEX(檢查項目!$E$2:$E$500,MATCH(1,INDEX((檢查項目!$A$2:$A$500=A95)*(檢查項目!$C$2:$C$500=C95)*(檢查項目!$B$2:$B$500=B95),0),0)),IFERROR(INDEX(檢查項目!$E$2:$E$500,MATCH(1,INDEX((檢查項目!$A$2:$A$500=A95)*(檢查項目!$C$2:$C$500=C95)*(檢查項目!$B$2:$B$500=""),0),0)),"⚠ 找不到項目")))</f>
        <v/>
      </c>
      <c r="J95" s="2">
        <f>IF(A95="","",IF(B95="","共用",IF(H95="Y","排除（"&amp;B95&amp;"）",IF(SUMPRODUCT(($A$2:$A$500=A95)*($C$2:$C$500=C95)*($D$2:$D$500=D95)*($B$2:$B$500=""))&gt;0,"覆蓋共用（"&amp;B95&amp;"）","單元新增（"&amp;B95&amp;"）"))))</f>
        <v/>
      </c>
      <c r="K95" s="2">
        <f>IF(A95="","",IF(H95="Y","—",IF(AND(F95&lt;&gt;"",G95&lt;&gt;""),F95&amp;" ~ "&amp;G95,IF(G95&lt;&gt;"","≤ "&amp;G95,IF(F95&lt;&gt;"","≥ "&amp;F95,"只記錄、不檢核")))))</f>
        <v/>
      </c>
      <c r="L95" s="2">
        <f>IF(A95="","",IF(TRIM(IF(SUMPRODUCT(($A$2:$A$500=A95)*($B$2:$B$500=B95)*($C$2:$C$500=C95)*($D$2:$D$500=D95))&gt;1,"⚠ 欄位名稱重複 ","")&amp;IF(AND(B95&lt;&gt;"",NOT(ISNUMBER(SEARCH("、"&amp;B95&amp;"、","、"&amp;IFERROR(INDEX(表單!$I$2:$I$500,MATCH(A95,表單!$A$2:$A$500,0)),"")&amp;"、")))),"⚠ 單元不在適用單元內 ","")&amp;IF(AND(H95="Y",B95=""),"⚠ 排除只能用在單元列 ","")&amp;IF(AND(H95="Y",B95&lt;&gt;"",SUMPRODUCT(($A$2:$A$500=A95)*($C$2:$C$500=C95)*($D$2:$D$500=D95)*($B$2:$B$500=""))=0),"⚠ 排除需對應共用欄位 ","")&amp;IF(AND(ISNUMBER(F95),ISNUMBER(G95),F95&gt;G95),"⚠ 下限大於上限 ","")&amp;IF(SUMPRODUCT((檢查項目!$A$2:$A$500=A95)*(檢查項目!$C$2:$C$500=C95)*(檢查項目!$G$2:$G$500="數值"))=0,"⚠ 該項目不是數值類型 ",""))="","✓",TRIM(IF(SUMPRODUCT(($A$2:$A$500=A95)*($B$2:$B$500=B95)*($C$2:$C$500=C95)*($D$2:$D$500=D95))&gt;1,"⚠ 欄位名稱重複 ","")&amp;IF(AND(B95&lt;&gt;"",NOT(ISNUMBER(SEARCH("、"&amp;B95&amp;"、","、"&amp;IFERROR(INDEX(表單!$I$2:$I$500,MATCH(A95,表單!$A$2:$A$500,0)),"")&amp;"、")))),"⚠ 單元不在適用單元內 ","")&amp;IF(AND(H95="Y",B95=""),"⚠ 排除只能用在單元列 ","")&amp;IF(AND(H95="Y",B95&lt;&gt;"",SUMPRODUCT(($A$2:$A$500=A95)*($C$2:$C$500=C95)*($D$2:$D$500=D95)*($B$2:$B$500=""))=0),"⚠ 排除需對應共用欄位 ","")&amp;IF(AND(ISNUMBER(F95),ISNUMBER(G95),F95&gt;G95),"⚠ 下限大於上限 ","")&amp;IF(SUMPRODUCT((檢查項目!$A$2:$A$500=A95)*(檢查項目!$C$2:$C$500=C95)*(檢查項目!$G$2:$G$500="數值"))=0,"⚠ 該項目不是數值類型 ",""))))</f>
        <v/>
      </c>
    </row>
    <row r="96">
      <c r="I96" s="2">
        <f>IF(A96="","",IFERROR(INDEX(檢查項目!$E$2:$E$500,MATCH(1,INDEX((檢查項目!$A$2:$A$500=A96)*(檢查項目!$C$2:$C$500=C96)*(檢查項目!$B$2:$B$500=B96),0),0)),IFERROR(INDEX(檢查項目!$E$2:$E$500,MATCH(1,INDEX((檢查項目!$A$2:$A$500=A96)*(檢查項目!$C$2:$C$500=C96)*(檢查項目!$B$2:$B$500=""),0),0)),"⚠ 找不到項目")))</f>
        <v/>
      </c>
      <c r="J96" s="2">
        <f>IF(A96="","",IF(B96="","共用",IF(H96="Y","排除（"&amp;B96&amp;"）",IF(SUMPRODUCT(($A$2:$A$500=A96)*($C$2:$C$500=C96)*($D$2:$D$500=D96)*($B$2:$B$500=""))&gt;0,"覆蓋共用（"&amp;B96&amp;"）","單元新增（"&amp;B96&amp;"）"))))</f>
        <v/>
      </c>
      <c r="K96" s="2">
        <f>IF(A96="","",IF(H96="Y","—",IF(AND(F96&lt;&gt;"",G96&lt;&gt;""),F96&amp;" ~ "&amp;G96,IF(G96&lt;&gt;"","≤ "&amp;G96,IF(F96&lt;&gt;"","≥ "&amp;F96,"只記錄、不檢核")))))</f>
        <v/>
      </c>
      <c r="L96" s="2">
        <f>IF(A96="","",IF(TRIM(IF(SUMPRODUCT(($A$2:$A$500=A96)*($B$2:$B$500=B96)*($C$2:$C$500=C96)*($D$2:$D$500=D96))&gt;1,"⚠ 欄位名稱重複 ","")&amp;IF(AND(B96&lt;&gt;"",NOT(ISNUMBER(SEARCH("、"&amp;B96&amp;"、","、"&amp;IFERROR(INDEX(表單!$I$2:$I$500,MATCH(A96,表單!$A$2:$A$500,0)),"")&amp;"、")))),"⚠ 單元不在適用單元內 ","")&amp;IF(AND(H96="Y",B96=""),"⚠ 排除只能用在單元列 ","")&amp;IF(AND(H96="Y",B96&lt;&gt;"",SUMPRODUCT(($A$2:$A$500=A96)*($C$2:$C$500=C96)*($D$2:$D$500=D96)*($B$2:$B$500=""))=0),"⚠ 排除需對應共用欄位 ","")&amp;IF(AND(ISNUMBER(F96),ISNUMBER(G96),F96&gt;G96),"⚠ 下限大於上限 ","")&amp;IF(SUMPRODUCT((檢查項目!$A$2:$A$500=A96)*(檢查項目!$C$2:$C$500=C96)*(檢查項目!$G$2:$G$500="數值"))=0,"⚠ 該項目不是數值類型 ",""))="","✓",TRIM(IF(SUMPRODUCT(($A$2:$A$500=A96)*($B$2:$B$500=B96)*($C$2:$C$500=C96)*($D$2:$D$500=D96))&gt;1,"⚠ 欄位名稱重複 ","")&amp;IF(AND(B96&lt;&gt;"",NOT(ISNUMBER(SEARCH("、"&amp;B96&amp;"、","、"&amp;IFERROR(INDEX(表單!$I$2:$I$500,MATCH(A96,表單!$A$2:$A$500,0)),"")&amp;"、")))),"⚠ 單元不在適用單元內 ","")&amp;IF(AND(H96="Y",B96=""),"⚠ 排除只能用在單元列 ","")&amp;IF(AND(H96="Y",B96&lt;&gt;"",SUMPRODUCT(($A$2:$A$500=A96)*($C$2:$C$500=C96)*($D$2:$D$500=D96)*($B$2:$B$500=""))=0),"⚠ 排除需對應共用欄位 ","")&amp;IF(AND(ISNUMBER(F96),ISNUMBER(G96),F96&gt;G96),"⚠ 下限大於上限 ","")&amp;IF(SUMPRODUCT((檢查項目!$A$2:$A$500=A96)*(檢查項目!$C$2:$C$500=C96)*(檢查項目!$G$2:$G$500="數值"))=0,"⚠ 該項目不是數值類型 ",""))))</f>
        <v/>
      </c>
    </row>
    <row r="97">
      <c r="I97" s="2">
        <f>IF(A97="","",IFERROR(INDEX(檢查項目!$E$2:$E$500,MATCH(1,INDEX((檢查項目!$A$2:$A$500=A97)*(檢查項目!$C$2:$C$500=C97)*(檢查項目!$B$2:$B$500=B97),0),0)),IFERROR(INDEX(檢查項目!$E$2:$E$500,MATCH(1,INDEX((檢查項目!$A$2:$A$500=A97)*(檢查項目!$C$2:$C$500=C97)*(檢查項目!$B$2:$B$500=""),0),0)),"⚠ 找不到項目")))</f>
        <v/>
      </c>
      <c r="J97" s="2">
        <f>IF(A97="","",IF(B97="","共用",IF(H97="Y","排除（"&amp;B97&amp;"）",IF(SUMPRODUCT(($A$2:$A$500=A97)*($C$2:$C$500=C97)*($D$2:$D$500=D97)*($B$2:$B$500=""))&gt;0,"覆蓋共用（"&amp;B97&amp;"）","單元新增（"&amp;B97&amp;"）"))))</f>
        <v/>
      </c>
      <c r="K97" s="2">
        <f>IF(A97="","",IF(H97="Y","—",IF(AND(F97&lt;&gt;"",G97&lt;&gt;""),F97&amp;" ~ "&amp;G97,IF(G97&lt;&gt;"","≤ "&amp;G97,IF(F97&lt;&gt;"","≥ "&amp;F97,"只記錄、不檢核")))))</f>
        <v/>
      </c>
      <c r="L97" s="2">
        <f>IF(A97="","",IF(TRIM(IF(SUMPRODUCT(($A$2:$A$500=A97)*($B$2:$B$500=B97)*($C$2:$C$500=C97)*($D$2:$D$500=D97))&gt;1,"⚠ 欄位名稱重複 ","")&amp;IF(AND(B97&lt;&gt;"",NOT(ISNUMBER(SEARCH("、"&amp;B97&amp;"、","、"&amp;IFERROR(INDEX(表單!$I$2:$I$500,MATCH(A97,表單!$A$2:$A$500,0)),"")&amp;"、")))),"⚠ 單元不在適用單元內 ","")&amp;IF(AND(H97="Y",B97=""),"⚠ 排除只能用在單元列 ","")&amp;IF(AND(H97="Y",B97&lt;&gt;"",SUMPRODUCT(($A$2:$A$500=A97)*($C$2:$C$500=C97)*($D$2:$D$500=D97)*($B$2:$B$500=""))=0),"⚠ 排除需對應共用欄位 ","")&amp;IF(AND(ISNUMBER(F97),ISNUMBER(G97),F97&gt;G97),"⚠ 下限大於上限 ","")&amp;IF(SUMPRODUCT((檢查項目!$A$2:$A$500=A97)*(檢查項目!$C$2:$C$500=C97)*(檢查項目!$G$2:$G$500="數值"))=0,"⚠ 該項目不是數值類型 ",""))="","✓",TRIM(IF(SUMPRODUCT(($A$2:$A$500=A97)*($B$2:$B$500=B97)*($C$2:$C$500=C97)*($D$2:$D$500=D97))&gt;1,"⚠ 欄位名稱重複 ","")&amp;IF(AND(B97&lt;&gt;"",NOT(ISNUMBER(SEARCH("、"&amp;B97&amp;"、","、"&amp;IFERROR(INDEX(表單!$I$2:$I$500,MATCH(A97,表單!$A$2:$A$500,0)),"")&amp;"、")))),"⚠ 單元不在適用單元內 ","")&amp;IF(AND(H97="Y",B97=""),"⚠ 排除只能用在單元列 ","")&amp;IF(AND(H97="Y",B97&lt;&gt;"",SUMPRODUCT(($A$2:$A$500=A97)*($C$2:$C$500=C97)*($D$2:$D$500=D97)*($B$2:$B$500=""))=0),"⚠ 排除需對應共用欄位 ","")&amp;IF(AND(ISNUMBER(F97),ISNUMBER(G97),F97&gt;G97),"⚠ 下限大於上限 ","")&amp;IF(SUMPRODUCT((檢查項目!$A$2:$A$500=A97)*(檢查項目!$C$2:$C$500=C97)*(檢查項目!$G$2:$G$500="數值"))=0,"⚠ 該項目不是數值類型 ",""))))</f>
        <v/>
      </c>
    </row>
    <row r="98">
      <c r="I98" s="2">
        <f>IF(A98="","",IFERROR(INDEX(檢查項目!$E$2:$E$500,MATCH(1,INDEX((檢查項目!$A$2:$A$500=A98)*(檢查項目!$C$2:$C$500=C98)*(檢查項目!$B$2:$B$500=B98),0),0)),IFERROR(INDEX(檢查項目!$E$2:$E$500,MATCH(1,INDEX((檢查項目!$A$2:$A$500=A98)*(檢查項目!$C$2:$C$500=C98)*(檢查項目!$B$2:$B$500=""),0),0)),"⚠ 找不到項目")))</f>
        <v/>
      </c>
      <c r="J98" s="2">
        <f>IF(A98="","",IF(B98="","共用",IF(H98="Y","排除（"&amp;B98&amp;"）",IF(SUMPRODUCT(($A$2:$A$500=A98)*($C$2:$C$500=C98)*($D$2:$D$500=D98)*($B$2:$B$500=""))&gt;0,"覆蓋共用（"&amp;B98&amp;"）","單元新增（"&amp;B98&amp;"）"))))</f>
        <v/>
      </c>
      <c r="K98" s="2">
        <f>IF(A98="","",IF(H98="Y","—",IF(AND(F98&lt;&gt;"",G98&lt;&gt;""),F98&amp;" ~ "&amp;G98,IF(G98&lt;&gt;"","≤ "&amp;G98,IF(F98&lt;&gt;"","≥ "&amp;F98,"只記錄、不檢核")))))</f>
        <v/>
      </c>
      <c r="L98" s="2">
        <f>IF(A98="","",IF(TRIM(IF(SUMPRODUCT(($A$2:$A$500=A98)*($B$2:$B$500=B98)*($C$2:$C$500=C98)*($D$2:$D$500=D98))&gt;1,"⚠ 欄位名稱重複 ","")&amp;IF(AND(B98&lt;&gt;"",NOT(ISNUMBER(SEARCH("、"&amp;B98&amp;"、","、"&amp;IFERROR(INDEX(表單!$I$2:$I$500,MATCH(A98,表單!$A$2:$A$500,0)),"")&amp;"、")))),"⚠ 單元不在適用單元內 ","")&amp;IF(AND(H98="Y",B98=""),"⚠ 排除只能用在單元列 ","")&amp;IF(AND(H98="Y",B98&lt;&gt;"",SUMPRODUCT(($A$2:$A$500=A98)*($C$2:$C$500=C98)*($D$2:$D$500=D98)*($B$2:$B$500=""))=0),"⚠ 排除需對應共用欄位 ","")&amp;IF(AND(ISNUMBER(F98),ISNUMBER(G98),F98&gt;G98),"⚠ 下限大於上限 ","")&amp;IF(SUMPRODUCT((檢查項目!$A$2:$A$500=A98)*(檢查項目!$C$2:$C$500=C98)*(檢查項目!$G$2:$G$500="數值"))=0,"⚠ 該項目不是數值類型 ",""))="","✓",TRIM(IF(SUMPRODUCT(($A$2:$A$500=A98)*($B$2:$B$500=B98)*($C$2:$C$500=C98)*($D$2:$D$500=D98))&gt;1,"⚠ 欄位名稱重複 ","")&amp;IF(AND(B98&lt;&gt;"",NOT(ISNUMBER(SEARCH("、"&amp;B98&amp;"、","、"&amp;IFERROR(INDEX(表單!$I$2:$I$500,MATCH(A98,表單!$A$2:$A$500,0)),"")&amp;"、")))),"⚠ 單元不在適用單元內 ","")&amp;IF(AND(H98="Y",B98=""),"⚠ 排除只能用在單元列 ","")&amp;IF(AND(H98="Y",B98&lt;&gt;"",SUMPRODUCT(($A$2:$A$500=A98)*($C$2:$C$500=C98)*($D$2:$D$500=D98)*($B$2:$B$500=""))=0),"⚠ 排除需對應共用欄位 ","")&amp;IF(AND(ISNUMBER(F98),ISNUMBER(G98),F98&gt;G98),"⚠ 下限大於上限 ","")&amp;IF(SUMPRODUCT((檢查項目!$A$2:$A$500=A98)*(檢查項目!$C$2:$C$500=C98)*(檢查項目!$G$2:$G$500="數值"))=0,"⚠ 該項目不是數值類型 ",""))))</f>
        <v/>
      </c>
    </row>
    <row r="99">
      <c r="I99" s="2">
        <f>IF(A99="","",IFERROR(INDEX(檢查項目!$E$2:$E$500,MATCH(1,INDEX((檢查項目!$A$2:$A$500=A99)*(檢查項目!$C$2:$C$500=C99)*(檢查項目!$B$2:$B$500=B99),0),0)),IFERROR(INDEX(檢查項目!$E$2:$E$500,MATCH(1,INDEX((檢查項目!$A$2:$A$500=A99)*(檢查項目!$C$2:$C$500=C99)*(檢查項目!$B$2:$B$500=""),0),0)),"⚠ 找不到項目")))</f>
        <v/>
      </c>
      <c r="J99" s="2">
        <f>IF(A99="","",IF(B99="","共用",IF(H99="Y","排除（"&amp;B99&amp;"）",IF(SUMPRODUCT(($A$2:$A$500=A99)*($C$2:$C$500=C99)*($D$2:$D$500=D99)*($B$2:$B$500=""))&gt;0,"覆蓋共用（"&amp;B99&amp;"）","單元新增（"&amp;B99&amp;"）"))))</f>
        <v/>
      </c>
      <c r="K99" s="2">
        <f>IF(A99="","",IF(H99="Y","—",IF(AND(F99&lt;&gt;"",G99&lt;&gt;""),F99&amp;" ~ "&amp;G99,IF(G99&lt;&gt;"","≤ "&amp;G99,IF(F99&lt;&gt;"","≥ "&amp;F99,"只記錄、不檢核")))))</f>
        <v/>
      </c>
      <c r="L99" s="2">
        <f>IF(A99="","",IF(TRIM(IF(SUMPRODUCT(($A$2:$A$500=A99)*($B$2:$B$500=B99)*($C$2:$C$500=C99)*($D$2:$D$500=D99))&gt;1,"⚠ 欄位名稱重複 ","")&amp;IF(AND(B99&lt;&gt;"",NOT(ISNUMBER(SEARCH("、"&amp;B99&amp;"、","、"&amp;IFERROR(INDEX(表單!$I$2:$I$500,MATCH(A99,表單!$A$2:$A$500,0)),"")&amp;"、")))),"⚠ 單元不在適用單元內 ","")&amp;IF(AND(H99="Y",B99=""),"⚠ 排除只能用在單元列 ","")&amp;IF(AND(H99="Y",B99&lt;&gt;"",SUMPRODUCT(($A$2:$A$500=A99)*($C$2:$C$500=C99)*($D$2:$D$500=D99)*($B$2:$B$500=""))=0),"⚠ 排除需對應共用欄位 ","")&amp;IF(AND(ISNUMBER(F99),ISNUMBER(G99),F99&gt;G99),"⚠ 下限大於上限 ","")&amp;IF(SUMPRODUCT((檢查項目!$A$2:$A$500=A99)*(檢查項目!$C$2:$C$500=C99)*(檢查項目!$G$2:$G$500="數值"))=0,"⚠ 該項目不是數值類型 ",""))="","✓",TRIM(IF(SUMPRODUCT(($A$2:$A$500=A99)*($B$2:$B$500=B99)*($C$2:$C$500=C99)*($D$2:$D$500=D99))&gt;1,"⚠ 欄位名稱重複 ","")&amp;IF(AND(B99&lt;&gt;"",NOT(ISNUMBER(SEARCH("、"&amp;B99&amp;"、","、"&amp;IFERROR(INDEX(表單!$I$2:$I$500,MATCH(A99,表單!$A$2:$A$500,0)),"")&amp;"、")))),"⚠ 單元不在適用單元內 ","")&amp;IF(AND(H99="Y",B99=""),"⚠ 排除只能用在單元列 ","")&amp;IF(AND(H99="Y",B99&lt;&gt;"",SUMPRODUCT(($A$2:$A$500=A99)*($C$2:$C$500=C99)*($D$2:$D$500=D99)*($B$2:$B$500=""))=0),"⚠ 排除需對應共用欄位 ","")&amp;IF(AND(ISNUMBER(F99),ISNUMBER(G99),F99&gt;G99),"⚠ 下限大於上限 ","")&amp;IF(SUMPRODUCT((檢查項目!$A$2:$A$500=A99)*(檢查項目!$C$2:$C$500=C99)*(檢查項目!$G$2:$G$500="數值"))=0,"⚠ 該項目不是數值類型 ",""))))</f>
        <v/>
      </c>
    </row>
    <row r="100">
      <c r="I100" s="2">
        <f>IF(A100="","",IFERROR(INDEX(檢查項目!$E$2:$E$500,MATCH(1,INDEX((檢查項目!$A$2:$A$500=A100)*(檢查項目!$C$2:$C$500=C100)*(檢查項目!$B$2:$B$500=B100),0),0)),IFERROR(INDEX(檢查項目!$E$2:$E$500,MATCH(1,INDEX((檢查項目!$A$2:$A$500=A100)*(檢查項目!$C$2:$C$500=C100)*(檢查項目!$B$2:$B$500=""),0),0)),"⚠ 找不到項目")))</f>
        <v/>
      </c>
      <c r="J100" s="2">
        <f>IF(A100="","",IF(B100="","共用",IF(H100="Y","排除（"&amp;B100&amp;"）",IF(SUMPRODUCT(($A$2:$A$500=A100)*($C$2:$C$500=C100)*($D$2:$D$500=D100)*($B$2:$B$500=""))&gt;0,"覆蓋共用（"&amp;B100&amp;"）","單元新增（"&amp;B100&amp;"）"))))</f>
        <v/>
      </c>
      <c r="K100" s="2">
        <f>IF(A100="","",IF(H100="Y","—",IF(AND(F100&lt;&gt;"",G100&lt;&gt;""),F100&amp;" ~ "&amp;G100,IF(G100&lt;&gt;"","≤ "&amp;G100,IF(F100&lt;&gt;"","≥ "&amp;F100,"只記錄、不檢核")))))</f>
        <v/>
      </c>
      <c r="L100" s="2">
        <f>IF(A100="","",IF(TRIM(IF(SUMPRODUCT(($A$2:$A$500=A100)*($B$2:$B$500=B100)*($C$2:$C$500=C100)*($D$2:$D$500=D100))&gt;1,"⚠ 欄位名稱重複 ","")&amp;IF(AND(B100&lt;&gt;"",NOT(ISNUMBER(SEARCH("、"&amp;B100&amp;"、","、"&amp;IFERROR(INDEX(表單!$I$2:$I$500,MATCH(A100,表單!$A$2:$A$500,0)),"")&amp;"、")))),"⚠ 單元不在適用單元內 ","")&amp;IF(AND(H100="Y",B100=""),"⚠ 排除只能用在單元列 ","")&amp;IF(AND(H100="Y",B100&lt;&gt;"",SUMPRODUCT(($A$2:$A$500=A100)*($C$2:$C$500=C100)*($D$2:$D$500=D100)*($B$2:$B$500=""))=0),"⚠ 排除需對應共用欄位 ","")&amp;IF(AND(ISNUMBER(F100),ISNUMBER(G100),F100&gt;G100),"⚠ 下限大於上限 ","")&amp;IF(SUMPRODUCT((檢查項目!$A$2:$A$500=A100)*(檢查項目!$C$2:$C$500=C100)*(檢查項目!$G$2:$G$500="數值"))=0,"⚠ 該項目不是數值類型 ",""))="","✓",TRIM(IF(SUMPRODUCT(($A$2:$A$500=A100)*($B$2:$B$500=B100)*($C$2:$C$500=C100)*($D$2:$D$500=D100))&gt;1,"⚠ 欄位名稱重複 ","")&amp;IF(AND(B100&lt;&gt;"",NOT(ISNUMBER(SEARCH("、"&amp;B100&amp;"、","、"&amp;IFERROR(INDEX(表單!$I$2:$I$500,MATCH(A100,表單!$A$2:$A$500,0)),"")&amp;"、")))),"⚠ 單元不在適用單元內 ","")&amp;IF(AND(H100="Y",B100=""),"⚠ 排除只能用在單元列 ","")&amp;IF(AND(H100="Y",B100&lt;&gt;"",SUMPRODUCT(($A$2:$A$500=A100)*($C$2:$C$500=C100)*($D$2:$D$500=D100)*($B$2:$B$500=""))=0),"⚠ 排除需對應共用欄位 ","")&amp;IF(AND(ISNUMBER(F100),ISNUMBER(G100),F100&gt;G100),"⚠ 下限大於上限 ","")&amp;IF(SUMPRODUCT((檢查項目!$A$2:$A$500=A100)*(檢查項目!$C$2:$C$500=C100)*(檢查項目!$G$2:$G$500="數值"))=0,"⚠ 該項目不是數值類型 ",""))))</f>
        <v/>
      </c>
    </row>
    <row r="101">
      <c r="I101" s="2">
        <f>IF(A101="","",IFERROR(INDEX(檢查項目!$E$2:$E$500,MATCH(1,INDEX((檢查項目!$A$2:$A$500=A101)*(檢查項目!$C$2:$C$500=C101)*(檢查項目!$B$2:$B$500=B101),0),0)),IFERROR(INDEX(檢查項目!$E$2:$E$500,MATCH(1,INDEX((檢查項目!$A$2:$A$500=A101)*(檢查項目!$C$2:$C$500=C101)*(檢查項目!$B$2:$B$500=""),0),0)),"⚠ 找不到項目")))</f>
        <v/>
      </c>
      <c r="J101" s="2">
        <f>IF(A101="","",IF(B101="","共用",IF(H101="Y","排除（"&amp;B101&amp;"）",IF(SUMPRODUCT(($A$2:$A$500=A101)*($C$2:$C$500=C101)*($D$2:$D$500=D101)*($B$2:$B$500=""))&gt;0,"覆蓋共用（"&amp;B101&amp;"）","單元新增（"&amp;B101&amp;"）"))))</f>
        <v/>
      </c>
      <c r="K101" s="2">
        <f>IF(A101="","",IF(H101="Y","—",IF(AND(F101&lt;&gt;"",G101&lt;&gt;""),F101&amp;" ~ "&amp;G101,IF(G101&lt;&gt;"","≤ "&amp;G101,IF(F101&lt;&gt;"","≥ "&amp;F101,"只記錄、不檢核")))))</f>
        <v/>
      </c>
      <c r="L101" s="2">
        <f>IF(A101="","",IF(TRIM(IF(SUMPRODUCT(($A$2:$A$500=A101)*($B$2:$B$500=B101)*($C$2:$C$500=C101)*($D$2:$D$500=D101))&gt;1,"⚠ 欄位名稱重複 ","")&amp;IF(AND(B101&lt;&gt;"",NOT(ISNUMBER(SEARCH("、"&amp;B101&amp;"、","、"&amp;IFERROR(INDEX(表單!$I$2:$I$500,MATCH(A101,表單!$A$2:$A$500,0)),"")&amp;"、")))),"⚠ 單元不在適用單元內 ","")&amp;IF(AND(H101="Y",B101=""),"⚠ 排除只能用在單元列 ","")&amp;IF(AND(H101="Y",B101&lt;&gt;"",SUMPRODUCT(($A$2:$A$500=A101)*($C$2:$C$500=C101)*($D$2:$D$500=D101)*($B$2:$B$500=""))=0),"⚠ 排除需對應共用欄位 ","")&amp;IF(AND(ISNUMBER(F101),ISNUMBER(G101),F101&gt;G101),"⚠ 下限大於上限 ","")&amp;IF(SUMPRODUCT((檢查項目!$A$2:$A$500=A101)*(檢查項目!$C$2:$C$500=C101)*(檢查項目!$G$2:$G$500="數值"))=0,"⚠ 該項目不是數值類型 ",""))="","✓",TRIM(IF(SUMPRODUCT(($A$2:$A$500=A101)*($B$2:$B$500=B101)*($C$2:$C$500=C101)*($D$2:$D$500=D101))&gt;1,"⚠ 欄位名稱重複 ","")&amp;IF(AND(B101&lt;&gt;"",NOT(ISNUMBER(SEARCH("、"&amp;B101&amp;"、","、"&amp;IFERROR(INDEX(表單!$I$2:$I$500,MATCH(A101,表單!$A$2:$A$500,0)),"")&amp;"、")))),"⚠ 單元不在適用單元內 ","")&amp;IF(AND(H101="Y",B101=""),"⚠ 排除只能用在單元列 ","")&amp;IF(AND(H101="Y",B101&lt;&gt;"",SUMPRODUCT(($A$2:$A$500=A101)*($C$2:$C$500=C101)*($D$2:$D$500=D101)*($B$2:$B$500=""))=0),"⚠ 排除需對應共用欄位 ","")&amp;IF(AND(ISNUMBER(F101),ISNUMBER(G101),F101&gt;G101),"⚠ 下限大於上限 ","")&amp;IF(SUMPRODUCT((檢查項目!$A$2:$A$500=A101)*(檢查項目!$C$2:$C$500=C101)*(檢查項目!$G$2:$G$500="數值"))=0,"⚠ 該項目不是數值類型 ",""))))</f>
        <v/>
      </c>
    </row>
    <row r="102">
      <c r="I102" s="2">
        <f>IF(A102="","",IFERROR(INDEX(檢查項目!$E$2:$E$500,MATCH(1,INDEX((檢查項目!$A$2:$A$500=A102)*(檢查項目!$C$2:$C$500=C102)*(檢查項目!$B$2:$B$500=B102),0),0)),IFERROR(INDEX(檢查項目!$E$2:$E$500,MATCH(1,INDEX((檢查項目!$A$2:$A$500=A102)*(檢查項目!$C$2:$C$500=C102)*(檢查項目!$B$2:$B$500=""),0),0)),"⚠ 找不到項目")))</f>
        <v/>
      </c>
      <c r="J102" s="2">
        <f>IF(A102="","",IF(B102="","共用",IF(H102="Y","排除（"&amp;B102&amp;"）",IF(SUMPRODUCT(($A$2:$A$500=A102)*($C$2:$C$500=C102)*($D$2:$D$500=D102)*($B$2:$B$500=""))&gt;0,"覆蓋共用（"&amp;B102&amp;"）","單元新增（"&amp;B102&amp;"）"))))</f>
        <v/>
      </c>
      <c r="K102" s="2">
        <f>IF(A102="","",IF(H102="Y","—",IF(AND(F102&lt;&gt;"",G102&lt;&gt;""),F102&amp;" ~ "&amp;G102,IF(G102&lt;&gt;"","≤ "&amp;G102,IF(F102&lt;&gt;"","≥ "&amp;F102,"只記錄、不檢核")))))</f>
        <v/>
      </c>
      <c r="L102" s="2">
        <f>IF(A102="","",IF(TRIM(IF(SUMPRODUCT(($A$2:$A$500=A102)*($B$2:$B$500=B102)*($C$2:$C$500=C102)*($D$2:$D$500=D102))&gt;1,"⚠ 欄位名稱重複 ","")&amp;IF(AND(B102&lt;&gt;"",NOT(ISNUMBER(SEARCH("、"&amp;B102&amp;"、","、"&amp;IFERROR(INDEX(表單!$I$2:$I$500,MATCH(A102,表單!$A$2:$A$500,0)),"")&amp;"、")))),"⚠ 單元不在適用單元內 ","")&amp;IF(AND(H102="Y",B102=""),"⚠ 排除只能用在單元列 ","")&amp;IF(AND(H102="Y",B102&lt;&gt;"",SUMPRODUCT(($A$2:$A$500=A102)*($C$2:$C$500=C102)*($D$2:$D$500=D102)*($B$2:$B$500=""))=0),"⚠ 排除需對應共用欄位 ","")&amp;IF(AND(ISNUMBER(F102),ISNUMBER(G102),F102&gt;G102),"⚠ 下限大於上限 ","")&amp;IF(SUMPRODUCT((檢查項目!$A$2:$A$500=A102)*(檢查項目!$C$2:$C$500=C102)*(檢查項目!$G$2:$G$500="數值"))=0,"⚠ 該項目不是數值類型 ",""))="","✓",TRIM(IF(SUMPRODUCT(($A$2:$A$500=A102)*($B$2:$B$500=B102)*($C$2:$C$500=C102)*($D$2:$D$500=D102))&gt;1,"⚠ 欄位名稱重複 ","")&amp;IF(AND(B102&lt;&gt;"",NOT(ISNUMBER(SEARCH("、"&amp;B102&amp;"、","、"&amp;IFERROR(INDEX(表單!$I$2:$I$500,MATCH(A102,表單!$A$2:$A$500,0)),"")&amp;"、")))),"⚠ 單元不在適用單元內 ","")&amp;IF(AND(H102="Y",B102=""),"⚠ 排除只能用在單元列 ","")&amp;IF(AND(H102="Y",B102&lt;&gt;"",SUMPRODUCT(($A$2:$A$500=A102)*($C$2:$C$500=C102)*($D$2:$D$500=D102)*($B$2:$B$500=""))=0),"⚠ 排除需對應共用欄位 ","")&amp;IF(AND(ISNUMBER(F102),ISNUMBER(G102),F102&gt;G102),"⚠ 下限大於上限 ","")&amp;IF(SUMPRODUCT((檢查項目!$A$2:$A$500=A102)*(檢查項目!$C$2:$C$500=C102)*(檢查項目!$G$2:$G$500="數值"))=0,"⚠ 該項目不是數值類型 ",""))))</f>
        <v/>
      </c>
    </row>
    <row r="103">
      <c r="I103" s="2">
        <f>IF(A103="","",IFERROR(INDEX(檢查項目!$E$2:$E$500,MATCH(1,INDEX((檢查項目!$A$2:$A$500=A103)*(檢查項目!$C$2:$C$500=C103)*(檢查項目!$B$2:$B$500=B103),0),0)),IFERROR(INDEX(檢查項目!$E$2:$E$500,MATCH(1,INDEX((檢查項目!$A$2:$A$500=A103)*(檢查項目!$C$2:$C$500=C103)*(檢查項目!$B$2:$B$500=""),0),0)),"⚠ 找不到項目")))</f>
        <v/>
      </c>
      <c r="J103" s="2">
        <f>IF(A103="","",IF(B103="","共用",IF(H103="Y","排除（"&amp;B103&amp;"）",IF(SUMPRODUCT(($A$2:$A$500=A103)*($C$2:$C$500=C103)*($D$2:$D$500=D103)*($B$2:$B$500=""))&gt;0,"覆蓋共用（"&amp;B103&amp;"）","單元新增（"&amp;B103&amp;"）"))))</f>
        <v/>
      </c>
      <c r="K103" s="2">
        <f>IF(A103="","",IF(H103="Y","—",IF(AND(F103&lt;&gt;"",G103&lt;&gt;""),F103&amp;" ~ "&amp;G103,IF(G103&lt;&gt;"","≤ "&amp;G103,IF(F103&lt;&gt;"","≥ "&amp;F103,"只記錄、不檢核")))))</f>
        <v/>
      </c>
      <c r="L103" s="2">
        <f>IF(A103="","",IF(TRIM(IF(SUMPRODUCT(($A$2:$A$500=A103)*($B$2:$B$500=B103)*($C$2:$C$500=C103)*($D$2:$D$500=D103))&gt;1,"⚠ 欄位名稱重複 ","")&amp;IF(AND(B103&lt;&gt;"",NOT(ISNUMBER(SEARCH("、"&amp;B103&amp;"、","、"&amp;IFERROR(INDEX(表單!$I$2:$I$500,MATCH(A103,表單!$A$2:$A$500,0)),"")&amp;"、")))),"⚠ 單元不在適用單元內 ","")&amp;IF(AND(H103="Y",B103=""),"⚠ 排除只能用在單元列 ","")&amp;IF(AND(H103="Y",B103&lt;&gt;"",SUMPRODUCT(($A$2:$A$500=A103)*($C$2:$C$500=C103)*($D$2:$D$500=D103)*($B$2:$B$500=""))=0),"⚠ 排除需對應共用欄位 ","")&amp;IF(AND(ISNUMBER(F103),ISNUMBER(G103),F103&gt;G103),"⚠ 下限大於上限 ","")&amp;IF(SUMPRODUCT((檢查項目!$A$2:$A$500=A103)*(檢查項目!$C$2:$C$500=C103)*(檢查項目!$G$2:$G$500="數值"))=0,"⚠ 該項目不是數值類型 ",""))="","✓",TRIM(IF(SUMPRODUCT(($A$2:$A$500=A103)*($B$2:$B$500=B103)*($C$2:$C$500=C103)*($D$2:$D$500=D103))&gt;1,"⚠ 欄位名稱重複 ","")&amp;IF(AND(B103&lt;&gt;"",NOT(ISNUMBER(SEARCH("、"&amp;B103&amp;"、","、"&amp;IFERROR(INDEX(表單!$I$2:$I$500,MATCH(A103,表單!$A$2:$A$500,0)),"")&amp;"、")))),"⚠ 單元不在適用單元內 ","")&amp;IF(AND(H103="Y",B103=""),"⚠ 排除只能用在單元列 ","")&amp;IF(AND(H103="Y",B103&lt;&gt;"",SUMPRODUCT(($A$2:$A$500=A103)*($C$2:$C$500=C103)*($D$2:$D$500=D103)*($B$2:$B$500=""))=0),"⚠ 排除需對應共用欄位 ","")&amp;IF(AND(ISNUMBER(F103),ISNUMBER(G103),F103&gt;G103),"⚠ 下限大於上限 ","")&amp;IF(SUMPRODUCT((檢查項目!$A$2:$A$500=A103)*(檢查項目!$C$2:$C$500=C103)*(檢查項目!$G$2:$G$500="數值"))=0,"⚠ 該項目不是數值類型 ",""))))</f>
        <v/>
      </c>
    </row>
    <row r="104">
      <c r="I104" s="2">
        <f>IF(A104="","",IFERROR(INDEX(檢查項目!$E$2:$E$500,MATCH(1,INDEX((檢查項目!$A$2:$A$500=A104)*(檢查項目!$C$2:$C$500=C104)*(檢查項目!$B$2:$B$500=B104),0),0)),IFERROR(INDEX(檢查項目!$E$2:$E$500,MATCH(1,INDEX((檢查項目!$A$2:$A$500=A104)*(檢查項目!$C$2:$C$500=C104)*(檢查項目!$B$2:$B$500=""),0),0)),"⚠ 找不到項目")))</f>
        <v/>
      </c>
      <c r="J104" s="2">
        <f>IF(A104="","",IF(B104="","共用",IF(H104="Y","排除（"&amp;B104&amp;"）",IF(SUMPRODUCT(($A$2:$A$500=A104)*($C$2:$C$500=C104)*($D$2:$D$500=D104)*($B$2:$B$500=""))&gt;0,"覆蓋共用（"&amp;B104&amp;"）","單元新增（"&amp;B104&amp;"）"))))</f>
        <v/>
      </c>
      <c r="K104" s="2">
        <f>IF(A104="","",IF(H104="Y","—",IF(AND(F104&lt;&gt;"",G104&lt;&gt;""),F104&amp;" ~ "&amp;G104,IF(G104&lt;&gt;"","≤ "&amp;G104,IF(F104&lt;&gt;"","≥ "&amp;F104,"只記錄、不檢核")))))</f>
        <v/>
      </c>
      <c r="L104" s="2">
        <f>IF(A104="","",IF(TRIM(IF(SUMPRODUCT(($A$2:$A$500=A104)*($B$2:$B$500=B104)*($C$2:$C$500=C104)*($D$2:$D$500=D104))&gt;1,"⚠ 欄位名稱重複 ","")&amp;IF(AND(B104&lt;&gt;"",NOT(ISNUMBER(SEARCH("、"&amp;B104&amp;"、","、"&amp;IFERROR(INDEX(表單!$I$2:$I$500,MATCH(A104,表單!$A$2:$A$500,0)),"")&amp;"、")))),"⚠ 單元不在適用單元內 ","")&amp;IF(AND(H104="Y",B104=""),"⚠ 排除只能用在單元列 ","")&amp;IF(AND(H104="Y",B104&lt;&gt;"",SUMPRODUCT(($A$2:$A$500=A104)*($C$2:$C$500=C104)*($D$2:$D$500=D104)*($B$2:$B$500=""))=0),"⚠ 排除需對應共用欄位 ","")&amp;IF(AND(ISNUMBER(F104),ISNUMBER(G104),F104&gt;G104),"⚠ 下限大於上限 ","")&amp;IF(SUMPRODUCT((檢查項目!$A$2:$A$500=A104)*(檢查項目!$C$2:$C$500=C104)*(檢查項目!$G$2:$G$500="數值"))=0,"⚠ 該項目不是數值類型 ",""))="","✓",TRIM(IF(SUMPRODUCT(($A$2:$A$500=A104)*($B$2:$B$500=B104)*($C$2:$C$500=C104)*($D$2:$D$500=D104))&gt;1,"⚠ 欄位名稱重複 ","")&amp;IF(AND(B104&lt;&gt;"",NOT(ISNUMBER(SEARCH("、"&amp;B104&amp;"、","、"&amp;IFERROR(INDEX(表單!$I$2:$I$500,MATCH(A104,表單!$A$2:$A$500,0)),"")&amp;"、")))),"⚠ 單元不在適用單元內 ","")&amp;IF(AND(H104="Y",B104=""),"⚠ 排除只能用在單元列 ","")&amp;IF(AND(H104="Y",B104&lt;&gt;"",SUMPRODUCT(($A$2:$A$500=A104)*($C$2:$C$500=C104)*($D$2:$D$500=D104)*($B$2:$B$500=""))=0),"⚠ 排除需對應共用欄位 ","")&amp;IF(AND(ISNUMBER(F104),ISNUMBER(G104),F104&gt;G104),"⚠ 下限大於上限 ","")&amp;IF(SUMPRODUCT((檢查項目!$A$2:$A$500=A104)*(檢查項目!$C$2:$C$500=C104)*(檢查項目!$G$2:$G$500="數值"))=0,"⚠ 該項目不是數值類型 ",""))))</f>
        <v/>
      </c>
    </row>
    <row r="105">
      <c r="I105" s="2">
        <f>IF(A105="","",IFERROR(INDEX(檢查項目!$E$2:$E$500,MATCH(1,INDEX((檢查項目!$A$2:$A$500=A105)*(檢查項目!$C$2:$C$500=C105)*(檢查項目!$B$2:$B$500=B105),0),0)),IFERROR(INDEX(檢查項目!$E$2:$E$500,MATCH(1,INDEX((檢查項目!$A$2:$A$500=A105)*(檢查項目!$C$2:$C$500=C105)*(檢查項目!$B$2:$B$500=""),0),0)),"⚠ 找不到項目")))</f>
        <v/>
      </c>
      <c r="J105" s="2">
        <f>IF(A105="","",IF(B105="","共用",IF(H105="Y","排除（"&amp;B105&amp;"）",IF(SUMPRODUCT(($A$2:$A$500=A105)*($C$2:$C$500=C105)*($D$2:$D$500=D105)*($B$2:$B$500=""))&gt;0,"覆蓋共用（"&amp;B105&amp;"）","單元新增（"&amp;B105&amp;"）"))))</f>
        <v/>
      </c>
      <c r="K105" s="2">
        <f>IF(A105="","",IF(H105="Y","—",IF(AND(F105&lt;&gt;"",G105&lt;&gt;""),F105&amp;" ~ "&amp;G105,IF(G105&lt;&gt;"","≤ "&amp;G105,IF(F105&lt;&gt;"","≥ "&amp;F105,"只記錄、不檢核")))))</f>
        <v/>
      </c>
      <c r="L105" s="2">
        <f>IF(A105="","",IF(TRIM(IF(SUMPRODUCT(($A$2:$A$500=A105)*($B$2:$B$500=B105)*($C$2:$C$500=C105)*($D$2:$D$500=D105))&gt;1,"⚠ 欄位名稱重複 ","")&amp;IF(AND(B105&lt;&gt;"",NOT(ISNUMBER(SEARCH("、"&amp;B105&amp;"、","、"&amp;IFERROR(INDEX(表單!$I$2:$I$500,MATCH(A105,表單!$A$2:$A$500,0)),"")&amp;"、")))),"⚠ 單元不在適用單元內 ","")&amp;IF(AND(H105="Y",B105=""),"⚠ 排除只能用在單元列 ","")&amp;IF(AND(H105="Y",B105&lt;&gt;"",SUMPRODUCT(($A$2:$A$500=A105)*($C$2:$C$500=C105)*($D$2:$D$500=D105)*($B$2:$B$500=""))=0),"⚠ 排除需對應共用欄位 ","")&amp;IF(AND(ISNUMBER(F105),ISNUMBER(G105),F105&gt;G105),"⚠ 下限大於上限 ","")&amp;IF(SUMPRODUCT((檢查項目!$A$2:$A$500=A105)*(檢查項目!$C$2:$C$500=C105)*(檢查項目!$G$2:$G$500="數值"))=0,"⚠ 該項目不是數值類型 ",""))="","✓",TRIM(IF(SUMPRODUCT(($A$2:$A$500=A105)*($B$2:$B$500=B105)*($C$2:$C$500=C105)*($D$2:$D$500=D105))&gt;1,"⚠ 欄位名稱重複 ","")&amp;IF(AND(B105&lt;&gt;"",NOT(ISNUMBER(SEARCH("、"&amp;B105&amp;"、","、"&amp;IFERROR(INDEX(表單!$I$2:$I$500,MATCH(A105,表單!$A$2:$A$500,0)),"")&amp;"、")))),"⚠ 單元不在適用單元內 ","")&amp;IF(AND(H105="Y",B105=""),"⚠ 排除只能用在單元列 ","")&amp;IF(AND(H105="Y",B105&lt;&gt;"",SUMPRODUCT(($A$2:$A$500=A105)*($C$2:$C$500=C105)*($D$2:$D$500=D105)*($B$2:$B$500=""))=0),"⚠ 排除需對應共用欄位 ","")&amp;IF(AND(ISNUMBER(F105),ISNUMBER(G105),F105&gt;G105),"⚠ 下限大於上限 ","")&amp;IF(SUMPRODUCT((檢查項目!$A$2:$A$500=A105)*(檢查項目!$C$2:$C$500=C105)*(檢查項目!$G$2:$G$500="數值"))=0,"⚠ 該項目不是數值類型 ",""))))</f>
        <v/>
      </c>
    </row>
    <row r="106">
      <c r="I106" s="2">
        <f>IF(A106="","",IFERROR(INDEX(檢查項目!$E$2:$E$500,MATCH(1,INDEX((檢查項目!$A$2:$A$500=A106)*(檢查項目!$C$2:$C$500=C106)*(檢查項目!$B$2:$B$500=B106),0),0)),IFERROR(INDEX(檢查項目!$E$2:$E$500,MATCH(1,INDEX((檢查項目!$A$2:$A$500=A106)*(檢查項目!$C$2:$C$500=C106)*(檢查項目!$B$2:$B$500=""),0),0)),"⚠ 找不到項目")))</f>
        <v/>
      </c>
      <c r="J106" s="2">
        <f>IF(A106="","",IF(B106="","共用",IF(H106="Y","排除（"&amp;B106&amp;"）",IF(SUMPRODUCT(($A$2:$A$500=A106)*($C$2:$C$500=C106)*($D$2:$D$500=D106)*($B$2:$B$500=""))&gt;0,"覆蓋共用（"&amp;B106&amp;"）","單元新增（"&amp;B106&amp;"）"))))</f>
        <v/>
      </c>
      <c r="K106" s="2">
        <f>IF(A106="","",IF(H106="Y","—",IF(AND(F106&lt;&gt;"",G106&lt;&gt;""),F106&amp;" ~ "&amp;G106,IF(G106&lt;&gt;"","≤ "&amp;G106,IF(F106&lt;&gt;"","≥ "&amp;F106,"只記錄、不檢核")))))</f>
        <v/>
      </c>
      <c r="L106" s="2">
        <f>IF(A106="","",IF(TRIM(IF(SUMPRODUCT(($A$2:$A$500=A106)*($B$2:$B$500=B106)*($C$2:$C$500=C106)*($D$2:$D$500=D106))&gt;1,"⚠ 欄位名稱重複 ","")&amp;IF(AND(B106&lt;&gt;"",NOT(ISNUMBER(SEARCH("、"&amp;B106&amp;"、","、"&amp;IFERROR(INDEX(表單!$I$2:$I$500,MATCH(A106,表單!$A$2:$A$500,0)),"")&amp;"、")))),"⚠ 單元不在適用單元內 ","")&amp;IF(AND(H106="Y",B106=""),"⚠ 排除只能用在單元列 ","")&amp;IF(AND(H106="Y",B106&lt;&gt;"",SUMPRODUCT(($A$2:$A$500=A106)*($C$2:$C$500=C106)*($D$2:$D$500=D106)*($B$2:$B$500=""))=0),"⚠ 排除需對應共用欄位 ","")&amp;IF(AND(ISNUMBER(F106),ISNUMBER(G106),F106&gt;G106),"⚠ 下限大於上限 ","")&amp;IF(SUMPRODUCT((檢查項目!$A$2:$A$500=A106)*(檢查項目!$C$2:$C$500=C106)*(檢查項目!$G$2:$G$500="數值"))=0,"⚠ 該項目不是數值類型 ",""))="","✓",TRIM(IF(SUMPRODUCT(($A$2:$A$500=A106)*($B$2:$B$500=B106)*($C$2:$C$500=C106)*($D$2:$D$500=D106))&gt;1,"⚠ 欄位名稱重複 ","")&amp;IF(AND(B106&lt;&gt;"",NOT(ISNUMBER(SEARCH("、"&amp;B106&amp;"、","、"&amp;IFERROR(INDEX(表單!$I$2:$I$500,MATCH(A106,表單!$A$2:$A$500,0)),"")&amp;"、")))),"⚠ 單元不在適用單元內 ","")&amp;IF(AND(H106="Y",B106=""),"⚠ 排除只能用在單元列 ","")&amp;IF(AND(H106="Y",B106&lt;&gt;"",SUMPRODUCT(($A$2:$A$500=A106)*($C$2:$C$500=C106)*($D$2:$D$500=D106)*($B$2:$B$500=""))=0),"⚠ 排除需對應共用欄位 ","")&amp;IF(AND(ISNUMBER(F106),ISNUMBER(G106),F106&gt;G106),"⚠ 下限大於上限 ","")&amp;IF(SUMPRODUCT((檢查項目!$A$2:$A$500=A106)*(檢查項目!$C$2:$C$500=C106)*(檢查項目!$G$2:$G$500="數值"))=0,"⚠ 該項目不是數值類型 ",""))))</f>
        <v/>
      </c>
    </row>
    <row r="107">
      <c r="I107" s="2">
        <f>IF(A107="","",IFERROR(INDEX(檢查項目!$E$2:$E$500,MATCH(1,INDEX((檢查項目!$A$2:$A$500=A107)*(檢查項目!$C$2:$C$500=C107)*(檢查項目!$B$2:$B$500=B107),0),0)),IFERROR(INDEX(檢查項目!$E$2:$E$500,MATCH(1,INDEX((檢查項目!$A$2:$A$500=A107)*(檢查項目!$C$2:$C$500=C107)*(檢查項目!$B$2:$B$500=""),0),0)),"⚠ 找不到項目")))</f>
        <v/>
      </c>
      <c r="J107" s="2">
        <f>IF(A107="","",IF(B107="","共用",IF(H107="Y","排除（"&amp;B107&amp;"）",IF(SUMPRODUCT(($A$2:$A$500=A107)*($C$2:$C$500=C107)*($D$2:$D$500=D107)*($B$2:$B$500=""))&gt;0,"覆蓋共用（"&amp;B107&amp;"）","單元新增（"&amp;B107&amp;"）"))))</f>
        <v/>
      </c>
      <c r="K107" s="2">
        <f>IF(A107="","",IF(H107="Y","—",IF(AND(F107&lt;&gt;"",G107&lt;&gt;""),F107&amp;" ~ "&amp;G107,IF(G107&lt;&gt;"","≤ "&amp;G107,IF(F107&lt;&gt;"","≥ "&amp;F107,"只記錄、不檢核")))))</f>
        <v/>
      </c>
      <c r="L107" s="2">
        <f>IF(A107="","",IF(TRIM(IF(SUMPRODUCT(($A$2:$A$500=A107)*($B$2:$B$500=B107)*($C$2:$C$500=C107)*($D$2:$D$500=D107))&gt;1,"⚠ 欄位名稱重複 ","")&amp;IF(AND(B107&lt;&gt;"",NOT(ISNUMBER(SEARCH("、"&amp;B107&amp;"、","、"&amp;IFERROR(INDEX(表單!$I$2:$I$500,MATCH(A107,表單!$A$2:$A$500,0)),"")&amp;"、")))),"⚠ 單元不在適用單元內 ","")&amp;IF(AND(H107="Y",B107=""),"⚠ 排除只能用在單元列 ","")&amp;IF(AND(H107="Y",B107&lt;&gt;"",SUMPRODUCT(($A$2:$A$500=A107)*($C$2:$C$500=C107)*($D$2:$D$500=D107)*($B$2:$B$500=""))=0),"⚠ 排除需對應共用欄位 ","")&amp;IF(AND(ISNUMBER(F107),ISNUMBER(G107),F107&gt;G107),"⚠ 下限大於上限 ","")&amp;IF(SUMPRODUCT((檢查項目!$A$2:$A$500=A107)*(檢查項目!$C$2:$C$500=C107)*(檢查項目!$G$2:$G$500="數值"))=0,"⚠ 該項目不是數值類型 ",""))="","✓",TRIM(IF(SUMPRODUCT(($A$2:$A$500=A107)*($B$2:$B$500=B107)*($C$2:$C$500=C107)*($D$2:$D$500=D107))&gt;1,"⚠ 欄位名稱重複 ","")&amp;IF(AND(B107&lt;&gt;"",NOT(ISNUMBER(SEARCH("、"&amp;B107&amp;"、","、"&amp;IFERROR(INDEX(表單!$I$2:$I$500,MATCH(A107,表單!$A$2:$A$500,0)),"")&amp;"、")))),"⚠ 單元不在適用單元內 ","")&amp;IF(AND(H107="Y",B107=""),"⚠ 排除只能用在單元列 ","")&amp;IF(AND(H107="Y",B107&lt;&gt;"",SUMPRODUCT(($A$2:$A$500=A107)*($C$2:$C$500=C107)*($D$2:$D$500=D107)*($B$2:$B$500=""))=0),"⚠ 排除需對應共用欄位 ","")&amp;IF(AND(ISNUMBER(F107),ISNUMBER(G107),F107&gt;G107),"⚠ 下限大於上限 ","")&amp;IF(SUMPRODUCT((檢查項目!$A$2:$A$500=A107)*(檢查項目!$C$2:$C$500=C107)*(檢查項目!$G$2:$G$500="數值"))=0,"⚠ 該項目不是數值類型 ",""))))</f>
        <v/>
      </c>
    </row>
    <row r="108">
      <c r="I108" s="2">
        <f>IF(A108="","",IFERROR(INDEX(檢查項目!$E$2:$E$500,MATCH(1,INDEX((檢查項目!$A$2:$A$500=A108)*(檢查項目!$C$2:$C$500=C108)*(檢查項目!$B$2:$B$500=B108),0),0)),IFERROR(INDEX(檢查項目!$E$2:$E$500,MATCH(1,INDEX((檢查項目!$A$2:$A$500=A108)*(檢查項目!$C$2:$C$500=C108)*(檢查項目!$B$2:$B$500=""),0),0)),"⚠ 找不到項目")))</f>
        <v/>
      </c>
      <c r="J108" s="2">
        <f>IF(A108="","",IF(B108="","共用",IF(H108="Y","排除（"&amp;B108&amp;"）",IF(SUMPRODUCT(($A$2:$A$500=A108)*($C$2:$C$500=C108)*($D$2:$D$500=D108)*($B$2:$B$500=""))&gt;0,"覆蓋共用（"&amp;B108&amp;"）","單元新增（"&amp;B108&amp;"）"))))</f>
        <v/>
      </c>
      <c r="K108" s="2">
        <f>IF(A108="","",IF(H108="Y","—",IF(AND(F108&lt;&gt;"",G108&lt;&gt;""),F108&amp;" ~ "&amp;G108,IF(G108&lt;&gt;"","≤ "&amp;G108,IF(F108&lt;&gt;"","≥ "&amp;F108,"只記錄、不檢核")))))</f>
        <v/>
      </c>
      <c r="L108" s="2">
        <f>IF(A108="","",IF(TRIM(IF(SUMPRODUCT(($A$2:$A$500=A108)*($B$2:$B$500=B108)*($C$2:$C$500=C108)*($D$2:$D$500=D108))&gt;1,"⚠ 欄位名稱重複 ","")&amp;IF(AND(B108&lt;&gt;"",NOT(ISNUMBER(SEARCH("、"&amp;B108&amp;"、","、"&amp;IFERROR(INDEX(表單!$I$2:$I$500,MATCH(A108,表單!$A$2:$A$500,0)),"")&amp;"、")))),"⚠ 單元不在適用單元內 ","")&amp;IF(AND(H108="Y",B108=""),"⚠ 排除只能用在單元列 ","")&amp;IF(AND(H108="Y",B108&lt;&gt;"",SUMPRODUCT(($A$2:$A$500=A108)*($C$2:$C$500=C108)*($D$2:$D$500=D108)*($B$2:$B$500=""))=0),"⚠ 排除需對應共用欄位 ","")&amp;IF(AND(ISNUMBER(F108),ISNUMBER(G108),F108&gt;G108),"⚠ 下限大於上限 ","")&amp;IF(SUMPRODUCT((檢查項目!$A$2:$A$500=A108)*(檢查項目!$C$2:$C$500=C108)*(檢查項目!$G$2:$G$500="數值"))=0,"⚠ 該項目不是數值類型 ",""))="","✓",TRIM(IF(SUMPRODUCT(($A$2:$A$500=A108)*($B$2:$B$500=B108)*($C$2:$C$500=C108)*($D$2:$D$500=D108))&gt;1,"⚠ 欄位名稱重複 ","")&amp;IF(AND(B108&lt;&gt;"",NOT(ISNUMBER(SEARCH("、"&amp;B108&amp;"、","、"&amp;IFERROR(INDEX(表單!$I$2:$I$500,MATCH(A108,表單!$A$2:$A$500,0)),"")&amp;"、")))),"⚠ 單元不在適用單元內 ","")&amp;IF(AND(H108="Y",B108=""),"⚠ 排除只能用在單元列 ","")&amp;IF(AND(H108="Y",B108&lt;&gt;"",SUMPRODUCT(($A$2:$A$500=A108)*($C$2:$C$500=C108)*($D$2:$D$500=D108)*($B$2:$B$500=""))=0),"⚠ 排除需對應共用欄位 ","")&amp;IF(AND(ISNUMBER(F108),ISNUMBER(G108),F108&gt;G108),"⚠ 下限大於上限 ","")&amp;IF(SUMPRODUCT((檢查項目!$A$2:$A$500=A108)*(檢查項目!$C$2:$C$500=C108)*(檢查項目!$G$2:$G$500="數值"))=0,"⚠ 該項目不是數值類型 ",""))))</f>
        <v/>
      </c>
    </row>
    <row r="109">
      <c r="I109" s="2">
        <f>IF(A109="","",IFERROR(INDEX(檢查項目!$E$2:$E$500,MATCH(1,INDEX((檢查項目!$A$2:$A$500=A109)*(檢查項目!$C$2:$C$500=C109)*(檢查項目!$B$2:$B$500=B109),0),0)),IFERROR(INDEX(檢查項目!$E$2:$E$500,MATCH(1,INDEX((檢查項目!$A$2:$A$500=A109)*(檢查項目!$C$2:$C$500=C109)*(檢查項目!$B$2:$B$500=""),0),0)),"⚠ 找不到項目")))</f>
        <v/>
      </c>
      <c r="J109" s="2">
        <f>IF(A109="","",IF(B109="","共用",IF(H109="Y","排除（"&amp;B109&amp;"）",IF(SUMPRODUCT(($A$2:$A$500=A109)*($C$2:$C$500=C109)*($D$2:$D$500=D109)*($B$2:$B$500=""))&gt;0,"覆蓋共用（"&amp;B109&amp;"）","單元新增（"&amp;B109&amp;"）"))))</f>
        <v/>
      </c>
      <c r="K109" s="2">
        <f>IF(A109="","",IF(H109="Y","—",IF(AND(F109&lt;&gt;"",G109&lt;&gt;""),F109&amp;" ~ "&amp;G109,IF(G109&lt;&gt;"","≤ "&amp;G109,IF(F109&lt;&gt;"","≥ "&amp;F109,"只記錄、不檢核")))))</f>
        <v/>
      </c>
      <c r="L109" s="2">
        <f>IF(A109="","",IF(TRIM(IF(SUMPRODUCT(($A$2:$A$500=A109)*($B$2:$B$500=B109)*($C$2:$C$500=C109)*($D$2:$D$500=D109))&gt;1,"⚠ 欄位名稱重複 ","")&amp;IF(AND(B109&lt;&gt;"",NOT(ISNUMBER(SEARCH("、"&amp;B109&amp;"、","、"&amp;IFERROR(INDEX(表單!$I$2:$I$500,MATCH(A109,表單!$A$2:$A$500,0)),"")&amp;"、")))),"⚠ 單元不在適用單元內 ","")&amp;IF(AND(H109="Y",B109=""),"⚠ 排除只能用在單元列 ","")&amp;IF(AND(H109="Y",B109&lt;&gt;"",SUMPRODUCT(($A$2:$A$500=A109)*($C$2:$C$500=C109)*($D$2:$D$500=D109)*($B$2:$B$500=""))=0),"⚠ 排除需對應共用欄位 ","")&amp;IF(AND(ISNUMBER(F109),ISNUMBER(G109),F109&gt;G109),"⚠ 下限大於上限 ","")&amp;IF(SUMPRODUCT((檢查項目!$A$2:$A$500=A109)*(檢查項目!$C$2:$C$500=C109)*(檢查項目!$G$2:$G$500="數值"))=0,"⚠ 該項目不是數值類型 ",""))="","✓",TRIM(IF(SUMPRODUCT(($A$2:$A$500=A109)*($B$2:$B$500=B109)*($C$2:$C$500=C109)*($D$2:$D$500=D109))&gt;1,"⚠ 欄位名稱重複 ","")&amp;IF(AND(B109&lt;&gt;"",NOT(ISNUMBER(SEARCH("、"&amp;B109&amp;"、","、"&amp;IFERROR(INDEX(表單!$I$2:$I$500,MATCH(A109,表單!$A$2:$A$500,0)),"")&amp;"、")))),"⚠ 單元不在適用單元內 ","")&amp;IF(AND(H109="Y",B109=""),"⚠ 排除只能用在單元列 ","")&amp;IF(AND(H109="Y",B109&lt;&gt;"",SUMPRODUCT(($A$2:$A$500=A109)*($C$2:$C$500=C109)*($D$2:$D$500=D109)*($B$2:$B$500=""))=0),"⚠ 排除需對應共用欄位 ","")&amp;IF(AND(ISNUMBER(F109),ISNUMBER(G109),F109&gt;G109),"⚠ 下限大於上限 ","")&amp;IF(SUMPRODUCT((檢查項目!$A$2:$A$500=A109)*(檢查項目!$C$2:$C$500=C109)*(檢查項目!$G$2:$G$500="數值"))=0,"⚠ 該項目不是數值類型 ",""))))</f>
        <v/>
      </c>
    </row>
    <row r="110">
      <c r="I110" s="2">
        <f>IF(A110="","",IFERROR(INDEX(檢查項目!$E$2:$E$500,MATCH(1,INDEX((檢查項目!$A$2:$A$500=A110)*(檢查項目!$C$2:$C$500=C110)*(檢查項目!$B$2:$B$500=B110),0),0)),IFERROR(INDEX(檢查項目!$E$2:$E$500,MATCH(1,INDEX((檢查項目!$A$2:$A$500=A110)*(檢查項目!$C$2:$C$500=C110)*(檢查項目!$B$2:$B$500=""),0),0)),"⚠ 找不到項目")))</f>
        <v/>
      </c>
      <c r="J110" s="2">
        <f>IF(A110="","",IF(B110="","共用",IF(H110="Y","排除（"&amp;B110&amp;"）",IF(SUMPRODUCT(($A$2:$A$500=A110)*($C$2:$C$500=C110)*($D$2:$D$500=D110)*($B$2:$B$500=""))&gt;0,"覆蓋共用（"&amp;B110&amp;"）","單元新增（"&amp;B110&amp;"）"))))</f>
        <v/>
      </c>
      <c r="K110" s="2">
        <f>IF(A110="","",IF(H110="Y","—",IF(AND(F110&lt;&gt;"",G110&lt;&gt;""),F110&amp;" ~ "&amp;G110,IF(G110&lt;&gt;"","≤ "&amp;G110,IF(F110&lt;&gt;"","≥ "&amp;F110,"只記錄、不檢核")))))</f>
        <v/>
      </c>
      <c r="L110" s="2">
        <f>IF(A110="","",IF(TRIM(IF(SUMPRODUCT(($A$2:$A$500=A110)*($B$2:$B$500=B110)*($C$2:$C$500=C110)*($D$2:$D$500=D110))&gt;1,"⚠ 欄位名稱重複 ","")&amp;IF(AND(B110&lt;&gt;"",NOT(ISNUMBER(SEARCH("、"&amp;B110&amp;"、","、"&amp;IFERROR(INDEX(表單!$I$2:$I$500,MATCH(A110,表單!$A$2:$A$500,0)),"")&amp;"、")))),"⚠ 單元不在適用單元內 ","")&amp;IF(AND(H110="Y",B110=""),"⚠ 排除只能用在單元列 ","")&amp;IF(AND(H110="Y",B110&lt;&gt;"",SUMPRODUCT(($A$2:$A$500=A110)*($C$2:$C$500=C110)*($D$2:$D$500=D110)*($B$2:$B$500=""))=0),"⚠ 排除需對應共用欄位 ","")&amp;IF(AND(ISNUMBER(F110),ISNUMBER(G110),F110&gt;G110),"⚠ 下限大於上限 ","")&amp;IF(SUMPRODUCT((檢查項目!$A$2:$A$500=A110)*(檢查項目!$C$2:$C$500=C110)*(檢查項目!$G$2:$G$500="數值"))=0,"⚠ 該項目不是數值類型 ",""))="","✓",TRIM(IF(SUMPRODUCT(($A$2:$A$500=A110)*($B$2:$B$500=B110)*($C$2:$C$500=C110)*($D$2:$D$500=D110))&gt;1,"⚠ 欄位名稱重複 ","")&amp;IF(AND(B110&lt;&gt;"",NOT(ISNUMBER(SEARCH("、"&amp;B110&amp;"、","、"&amp;IFERROR(INDEX(表單!$I$2:$I$500,MATCH(A110,表單!$A$2:$A$500,0)),"")&amp;"、")))),"⚠ 單元不在適用單元內 ","")&amp;IF(AND(H110="Y",B110=""),"⚠ 排除只能用在單元列 ","")&amp;IF(AND(H110="Y",B110&lt;&gt;"",SUMPRODUCT(($A$2:$A$500=A110)*($C$2:$C$500=C110)*($D$2:$D$500=D110)*($B$2:$B$500=""))=0),"⚠ 排除需對應共用欄位 ","")&amp;IF(AND(ISNUMBER(F110),ISNUMBER(G110),F110&gt;G110),"⚠ 下限大於上限 ","")&amp;IF(SUMPRODUCT((檢查項目!$A$2:$A$500=A110)*(檢查項目!$C$2:$C$500=C110)*(檢查項目!$G$2:$G$500="數值"))=0,"⚠ 該項目不是數值類型 ",""))))</f>
        <v/>
      </c>
    </row>
    <row r="111">
      <c r="I111" s="2">
        <f>IF(A111="","",IFERROR(INDEX(檢查項目!$E$2:$E$500,MATCH(1,INDEX((檢查項目!$A$2:$A$500=A111)*(檢查項目!$C$2:$C$500=C111)*(檢查項目!$B$2:$B$500=B111),0),0)),IFERROR(INDEX(檢查項目!$E$2:$E$500,MATCH(1,INDEX((檢查項目!$A$2:$A$500=A111)*(檢查項目!$C$2:$C$500=C111)*(檢查項目!$B$2:$B$500=""),0),0)),"⚠ 找不到項目")))</f>
        <v/>
      </c>
      <c r="J111" s="2">
        <f>IF(A111="","",IF(B111="","共用",IF(H111="Y","排除（"&amp;B111&amp;"）",IF(SUMPRODUCT(($A$2:$A$500=A111)*($C$2:$C$500=C111)*($D$2:$D$500=D111)*($B$2:$B$500=""))&gt;0,"覆蓋共用（"&amp;B111&amp;"）","單元新增（"&amp;B111&amp;"）"))))</f>
        <v/>
      </c>
      <c r="K111" s="2">
        <f>IF(A111="","",IF(H111="Y","—",IF(AND(F111&lt;&gt;"",G111&lt;&gt;""),F111&amp;" ~ "&amp;G111,IF(G111&lt;&gt;"","≤ "&amp;G111,IF(F111&lt;&gt;"","≥ "&amp;F111,"只記錄、不檢核")))))</f>
        <v/>
      </c>
      <c r="L111" s="2">
        <f>IF(A111="","",IF(TRIM(IF(SUMPRODUCT(($A$2:$A$500=A111)*($B$2:$B$500=B111)*($C$2:$C$500=C111)*($D$2:$D$500=D111))&gt;1,"⚠ 欄位名稱重複 ","")&amp;IF(AND(B111&lt;&gt;"",NOT(ISNUMBER(SEARCH("、"&amp;B111&amp;"、","、"&amp;IFERROR(INDEX(表單!$I$2:$I$500,MATCH(A111,表單!$A$2:$A$500,0)),"")&amp;"、")))),"⚠ 單元不在適用單元內 ","")&amp;IF(AND(H111="Y",B111=""),"⚠ 排除只能用在單元列 ","")&amp;IF(AND(H111="Y",B111&lt;&gt;"",SUMPRODUCT(($A$2:$A$500=A111)*($C$2:$C$500=C111)*($D$2:$D$500=D111)*($B$2:$B$500=""))=0),"⚠ 排除需對應共用欄位 ","")&amp;IF(AND(ISNUMBER(F111),ISNUMBER(G111),F111&gt;G111),"⚠ 下限大於上限 ","")&amp;IF(SUMPRODUCT((檢查項目!$A$2:$A$500=A111)*(檢查項目!$C$2:$C$500=C111)*(檢查項目!$G$2:$G$500="數值"))=0,"⚠ 該項目不是數值類型 ",""))="","✓",TRIM(IF(SUMPRODUCT(($A$2:$A$500=A111)*($B$2:$B$500=B111)*($C$2:$C$500=C111)*($D$2:$D$500=D111))&gt;1,"⚠ 欄位名稱重複 ","")&amp;IF(AND(B111&lt;&gt;"",NOT(ISNUMBER(SEARCH("、"&amp;B111&amp;"、","、"&amp;IFERROR(INDEX(表單!$I$2:$I$500,MATCH(A111,表單!$A$2:$A$500,0)),"")&amp;"、")))),"⚠ 單元不在適用單元內 ","")&amp;IF(AND(H111="Y",B111=""),"⚠ 排除只能用在單元列 ","")&amp;IF(AND(H111="Y",B111&lt;&gt;"",SUMPRODUCT(($A$2:$A$500=A111)*($C$2:$C$500=C111)*($D$2:$D$500=D111)*($B$2:$B$500=""))=0),"⚠ 排除需對應共用欄位 ","")&amp;IF(AND(ISNUMBER(F111),ISNUMBER(G111),F111&gt;G111),"⚠ 下限大於上限 ","")&amp;IF(SUMPRODUCT((檢查項目!$A$2:$A$500=A111)*(檢查項目!$C$2:$C$500=C111)*(檢查項目!$G$2:$G$500="數值"))=0,"⚠ 該項目不是數值類型 ",""))))</f>
        <v/>
      </c>
    </row>
    <row r="112">
      <c r="I112" s="2">
        <f>IF(A112="","",IFERROR(INDEX(檢查項目!$E$2:$E$500,MATCH(1,INDEX((檢查項目!$A$2:$A$500=A112)*(檢查項目!$C$2:$C$500=C112)*(檢查項目!$B$2:$B$500=B112),0),0)),IFERROR(INDEX(檢查項目!$E$2:$E$500,MATCH(1,INDEX((檢查項目!$A$2:$A$500=A112)*(檢查項目!$C$2:$C$500=C112)*(檢查項目!$B$2:$B$500=""),0),0)),"⚠ 找不到項目")))</f>
        <v/>
      </c>
      <c r="J112" s="2">
        <f>IF(A112="","",IF(B112="","共用",IF(H112="Y","排除（"&amp;B112&amp;"）",IF(SUMPRODUCT(($A$2:$A$500=A112)*($C$2:$C$500=C112)*($D$2:$D$500=D112)*($B$2:$B$500=""))&gt;0,"覆蓋共用（"&amp;B112&amp;"）","單元新增（"&amp;B112&amp;"）"))))</f>
        <v/>
      </c>
      <c r="K112" s="2">
        <f>IF(A112="","",IF(H112="Y","—",IF(AND(F112&lt;&gt;"",G112&lt;&gt;""),F112&amp;" ~ "&amp;G112,IF(G112&lt;&gt;"","≤ "&amp;G112,IF(F112&lt;&gt;"","≥ "&amp;F112,"只記錄、不檢核")))))</f>
        <v/>
      </c>
      <c r="L112" s="2">
        <f>IF(A112="","",IF(TRIM(IF(SUMPRODUCT(($A$2:$A$500=A112)*($B$2:$B$500=B112)*($C$2:$C$500=C112)*($D$2:$D$500=D112))&gt;1,"⚠ 欄位名稱重複 ","")&amp;IF(AND(B112&lt;&gt;"",NOT(ISNUMBER(SEARCH("、"&amp;B112&amp;"、","、"&amp;IFERROR(INDEX(表單!$I$2:$I$500,MATCH(A112,表單!$A$2:$A$500,0)),"")&amp;"、")))),"⚠ 單元不在適用單元內 ","")&amp;IF(AND(H112="Y",B112=""),"⚠ 排除只能用在單元列 ","")&amp;IF(AND(H112="Y",B112&lt;&gt;"",SUMPRODUCT(($A$2:$A$500=A112)*($C$2:$C$500=C112)*($D$2:$D$500=D112)*($B$2:$B$500=""))=0),"⚠ 排除需對應共用欄位 ","")&amp;IF(AND(ISNUMBER(F112),ISNUMBER(G112),F112&gt;G112),"⚠ 下限大於上限 ","")&amp;IF(SUMPRODUCT((檢查項目!$A$2:$A$500=A112)*(檢查項目!$C$2:$C$500=C112)*(檢查項目!$G$2:$G$500="數值"))=0,"⚠ 該項目不是數值類型 ",""))="","✓",TRIM(IF(SUMPRODUCT(($A$2:$A$500=A112)*($B$2:$B$500=B112)*($C$2:$C$500=C112)*($D$2:$D$500=D112))&gt;1,"⚠ 欄位名稱重複 ","")&amp;IF(AND(B112&lt;&gt;"",NOT(ISNUMBER(SEARCH("、"&amp;B112&amp;"、","、"&amp;IFERROR(INDEX(表單!$I$2:$I$500,MATCH(A112,表單!$A$2:$A$500,0)),"")&amp;"、")))),"⚠ 單元不在適用單元內 ","")&amp;IF(AND(H112="Y",B112=""),"⚠ 排除只能用在單元列 ","")&amp;IF(AND(H112="Y",B112&lt;&gt;"",SUMPRODUCT(($A$2:$A$500=A112)*($C$2:$C$500=C112)*($D$2:$D$500=D112)*($B$2:$B$500=""))=0),"⚠ 排除需對應共用欄位 ","")&amp;IF(AND(ISNUMBER(F112),ISNUMBER(G112),F112&gt;G112),"⚠ 下限大於上限 ","")&amp;IF(SUMPRODUCT((檢查項目!$A$2:$A$500=A112)*(檢查項目!$C$2:$C$500=C112)*(檢查項目!$G$2:$G$500="數值"))=0,"⚠ 該項目不是數值類型 ",""))))</f>
        <v/>
      </c>
    </row>
    <row r="113">
      <c r="I113" s="2">
        <f>IF(A113="","",IFERROR(INDEX(檢查項目!$E$2:$E$500,MATCH(1,INDEX((檢查項目!$A$2:$A$500=A113)*(檢查項目!$C$2:$C$500=C113)*(檢查項目!$B$2:$B$500=B113),0),0)),IFERROR(INDEX(檢查項目!$E$2:$E$500,MATCH(1,INDEX((檢查項目!$A$2:$A$500=A113)*(檢查項目!$C$2:$C$500=C113)*(檢查項目!$B$2:$B$500=""),0),0)),"⚠ 找不到項目")))</f>
        <v/>
      </c>
      <c r="J113" s="2">
        <f>IF(A113="","",IF(B113="","共用",IF(H113="Y","排除（"&amp;B113&amp;"）",IF(SUMPRODUCT(($A$2:$A$500=A113)*($C$2:$C$500=C113)*($D$2:$D$500=D113)*($B$2:$B$500=""))&gt;0,"覆蓋共用（"&amp;B113&amp;"）","單元新增（"&amp;B113&amp;"）"))))</f>
        <v/>
      </c>
      <c r="K113" s="2">
        <f>IF(A113="","",IF(H113="Y","—",IF(AND(F113&lt;&gt;"",G113&lt;&gt;""),F113&amp;" ~ "&amp;G113,IF(G113&lt;&gt;"","≤ "&amp;G113,IF(F113&lt;&gt;"","≥ "&amp;F113,"只記錄、不檢核")))))</f>
        <v/>
      </c>
      <c r="L113" s="2">
        <f>IF(A113="","",IF(TRIM(IF(SUMPRODUCT(($A$2:$A$500=A113)*($B$2:$B$500=B113)*($C$2:$C$500=C113)*($D$2:$D$500=D113))&gt;1,"⚠ 欄位名稱重複 ","")&amp;IF(AND(B113&lt;&gt;"",NOT(ISNUMBER(SEARCH("、"&amp;B113&amp;"、","、"&amp;IFERROR(INDEX(表單!$I$2:$I$500,MATCH(A113,表單!$A$2:$A$500,0)),"")&amp;"、")))),"⚠ 單元不在適用單元內 ","")&amp;IF(AND(H113="Y",B113=""),"⚠ 排除只能用在單元列 ","")&amp;IF(AND(H113="Y",B113&lt;&gt;"",SUMPRODUCT(($A$2:$A$500=A113)*($C$2:$C$500=C113)*($D$2:$D$500=D113)*($B$2:$B$500=""))=0),"⚠ 排除需對應共用欄位 ","")&amp;IF(AND(ISNUMBER(F113),ISNUMBER(G113),F113&gt;G113),"⚠ 下限大於上限 ","")&amp;IF(SUMPRODUCT((檢查項目!$A$2:$A$500=A113)*(檢查項目!$C$2:$C$500=C113)*(檢查項目!$G$2:$G$500="數值"))=0,"⚠ 該項目不是數值類型 ",""))="","✓",TRIM(IF(SUMPRODUCT(($A$2:$A$500=A113)*($B$2:$B$500=B113)*($C$2:$C$500=C113)*($D$2:$D$500=D113))&gt;1,"⚠ 欄位名稱重複 ","")&amp;IF(AND(B113&lt;&gt;"",NOT(ISNUMBER(SEARCH("、"&amp;B113&amp;"、","、"&amp;IFERROR(INDEX(表單!$I$2:$I$500,MATCH(A113,表單!$A$2:$A$500,0)),"")&amp;"、")))),"⚠ 單元不在適用單元內 ","")&amp;IF(AND(H113="Y",B113=""),"⚠ 排除只能用在單元列 ","")&amp;IF(AND(H113="Y",B113&lt;&gt;"",SUMPRODUCT(($A$2:$A$500=A113)*($C$2:$C$500=C113)*($D$2:$D$500=D113)*($B$2:$B$500=""))=0),"⚠ 排除需對應共用欄位 ","")&amp;IF(AND(ISNUMBER(F113),ISNUMBER(G113),F113&gt;G113),"⚠ 下限大於上限 ","")&amp;IF(SUMPRODUCT((檢查項目!$A$2:$A$500=A113)*(檢查項目!$C$2:$C$500=C113)*(檢查項目!$G$2:$G$500="數值"))=0,"⚠ 該項目不是數值類型 ",""))))</f>
        <v/>
      </c>
    </row>
    <row r="114">
      <c r="I114" s="2">
        <f>IF(A114="","",IFERROR(INDEX(檢查項目!$E$2:$E$500,MATCH(1,INDEX((檢查項目!$A$2:$A$500=A114)*(檢查項目!$C$2:$C$500=C114)*(檢查項目!$B$2:$B$500=B114),0),0)),IFERROR(INDEX(檢查項目!$E$2:$E$500,MATCH(1,INDEX((檢查項目!$A$2:$A$500=A114)*(檢查項目!$C$2:$C$500=C114)*(檢查項目!$B$2:$B$500=""),0),0)),"⚠ 找不到項目")))</f>
        <v/>
      </c>
      <c r="J114" s="2">
        <f>IF(A114="","",IF(B114="","共用",IF(H114="Y","排除（"&amp;B114&amp;"）",IF(SUMPRODUCT(($A$2:$A$500=A114)*($C$2:$C$500=C114)*($D$2:$D$500=D114)*($B$2:$B$500=""))&gt;0,"覆蓋共用（"&amp;B114&amp;"）","單元新增（"&amp;B114&amp;"）"))))</f>
        <v/>
      </c>
      <c r="K114" s="2">
        <f>IF(A114="","",IF(H114="Y","—",IF(AND(F114&lt;&gt;"",G114&lt;&gt;""),F114&amp;" ~ "&amp;G114,IF(G114&lt;&gt;"","≤ "&amp;G114,IF(F114&lt;&gt;"","≥ "&amp;F114,"只記錄、不檢核")))))</f>
        <v/>
      </c>
      <c r="L114" s="2">
        <f>IF(A114="","",IF(TRIM(IF(SUMPRODUCT(($A$2:$A$500=A114)*($B$2:$B$500=B114)*($C$2:$C$500=C114)*($D$2:$D$500=D114))&gt;1,"⚠ 欄位名稱重複 ","")&amp;IF(AND(B114&lt;&gt;"",NOT(ISNUMBER(SEARCH("、"&amp;B114&amp;"、","、"&amp;IFERROR(INDEX(表單!$I$2:$I$500,MATCH(A114,表單!$A$2:$A$500,0)),"")&amp;"、")))),"⚠ 單元不在適用單元內 ","")&amp;IF(AND(H114="Y",B114=""),"⚠ 排除只能用在單元列 ","")&amp;IF(AND(H114="Y",B114&lt;&gt;"",SUMPRODUCT(($A$2:$A$500=A114)*($C$2:$C$500=C114)*($D$2:$D$500=D114)*($B$2:$B$500=""))=0),"⚠ 排除需對應共用欄位 ","")&amp;IF(AND(ISNUMBER(F114),ISNUMBER(G114),F114&gt;G114),"⚠ 下限大於上限 ","")&amp;IF(SUMPRODUCT((檢查項目!$A$2:$A$500=A114)*(檢查項目!$C$2:$C$500=C114)*(檢查項目!$G$2:$G$500="數值"))=0,"⚠ 該項目不是數值類型 ",""))="","✓",TRIM(IF(SUMPRODUCT(($A$2:$A$500=A114)*($B$2:$B$500=B114)*($C$2:$C$500=C114)*($D$2:$D$500=D114))&gt;1,"⚠ 欄位名稱重複 ","")&amp;IF(AND(B114&lt;&gt;"",NOT(ISNUMBER(SEARCH("、"&amp;B114&amp;"、","、"&amp;IFERROR(INDEX(表單!$I$2:$I$500,MATCH(A114,表單!$A$2:$A$500,0)),"")&amp;"、")))),"⚠ 單元不在適用單元內 ","")&amp;IF(AND(H114="Y",B114=""),"⚠ 排除只能用在單元列 ","")&amp;IF(AND(H114="Y",B114&lt;&gt;"",SUMPRODUCT(($A$2:$A$500=A114)*($C$2:$C$500=C114)*($D$2:$D$500=D114)*($B$2:$B$500=""))=0),"⚠ 排除需對應共用欄位 ","")&amp;IF(AND(ISNUMBER(F114),ISNUMBER(G114),F114&gt;G114),"⚠ 下限大於上限 ","")&amp;IF(SUMPRODUCT((檢查項目!$A$2:$A$500=A114)*(檢查項目!$C$2:$C$500=C114)*(檢查項目!$G$2:$G$500="數值"))=0,"⚠ 該項目不是數值類型 ",""))))</f>
        <v/>
      </c>
    </row>
    <row r="115">
      <c r="I115" s="2">
        <f>IF(A115="","",IFERROR(INDEX(檢查項目!$E$2:$E$500,MATCH(1,INDEX((檢查項目!$A$2:$A$500=A115)*(檢查項目!$C$2:$C$500=C115)*(檢查項目!$B$2:$B$500=B115),0),0)),IFERROR(INDEX(檢查項目!$E$2:$E$500,MATCH(1,INDEX((檢查項目!$A$2:$A$500=A115)*(檢查項目!$C$2:$C$500=C115)*(檢查項目!$B$2:$B$500=""),0),0)),"⚠ 找不到項目")))</f>
        <v/>
      </c>
      <c r="J115" s="2">
        <f>IF(A115="","",IF(B115="","共用",IF(H115="Y","排除（"&amp;B115&amp;"）",IF(SUMPRODUCT(($A$2:$A$500=A115)*($C$2:$C$500=C115)*($D$2:$D$500=D115)*($B$2:$B$500=""))&gt;0,"覆蓋共用（"&amp;B115&amp;"）","單元新增（"&amp;B115&amp;"）"))))</f>
        <v/>
      </c>
      <c r="K115" s="2">
        <f>IF(A115="","",IF(H115="Y","—",IF(AND(F115&lt;&gt;"",G115&lt;&gt;""),F115&amp;" ~ "&amp;G115,IF(G115&lt;&gt;"","≤ "&amp;G115,IF(F115&lt;&gt;"","≥ "&amp;F115,"只記錄、不檢核")))))</f>
        <v/>
      </c>
      <c r="L115" s="2">
        <f>IF(A115="","",IF(TRIM(IF(SUMPRODUCT(($A$2:$A$500=A115)*($B$2:$B$500=B115)*($C$2:$C$500=C115)*($D$2:$D$500=D115))&gt;1,"⚠ 欄位名稱重複 ","")&amp;IF(AND(B115&lt;&gt;"",NOT(ISNUMBER(SEARCH("、"&amp;B115&amp;"、","、"&amp;IFERROR(INDEX(表單!$I$2:$I$500,MATCH(A115,表單!$A$2:$A$500,0)),"")&amp;"、")))),"⚠ 單元不在適用單元內 ","")&amp;IF(AND(H115="Y",B115=""),"⚠ 排除只能用在單元列 ","")&amp;IF(AND(H115="Y",B115&lt;&gt;"",SUMPRODUCT(($A$2:$A$500=A115)*($C$2:$C$500=C115)*($D$2:$D$500=D115)*($B$2:$B$500=""))=0),"⚠ 排除需對應共用欄位 ","")&amp;IF(AND(ISNUMBER(F115),ISNUMBER(G115),F115&gt;G115),"⚠ 下限大於上限 ","")&amp;IF(SUMPRODUCT((檢查項目!$A$2:$A$500=A115)*(檢查項目!$C$2:$C$500=C115)*(檢查項目!$G$2:$G$500="數值"))=0,"⚠ 該項目不是數值類型 ",""))="","✓",TRIM(IF(SUMPRODUCT(($A$2:$A$500=A115)*($B$2:$B$500=B115)*($C$2:$C$500=C115)*($D$2:$D$500=D115))&gt;1,"⚠ 欄位名稱重複 ","")&amp;IF(AND(B115&lt;&gt;"",NOT(ISNUMBER(SEARCH("、"&amp;B115&amp;"、","、"&amp;IFERROR(INDEX(表單!$I$2:$I$500,MATCH(A115,表單!$A$2:$A$500,0)),"")&amp;"、")))),"⚠ 單元不在適用單元內 ","")&amp;IF(AND(H115="Y",B115=""),"⚠ 排除只能用在單元列 ","")&amp;IF(AND(H115="Y",B115&lt;&gt;"",SUMPRODUCT(($A$2:$A$500=A115)*($C$2:$C$500=C115)*($D$2:$D$500=D115)*($B$2:$B$500=""))=0),"⚠ 排除需對應共用欄位 ","")&amp;IF(AND(ISNUMBER(F115),ISNUMBER(G115),F115&gt;G115),"⚠ 下限大於上限 ","")&amp;IF(SUMPRODUCT((檢查項目!$A$2:$A$500=A115)*(檢查項目!$C$2:$C$500=C115)*(檢查項目!$G$2:$G$500="數值"))=0,"⚠ 該項目不是數值類型 ",""))))</f>
        <v/>
      </c>
    </row>
    <row r="116">
      <c r="I116" s="2">
        <f>IF(A116="","",IFERROR(INDEX(檢查項目!$E$2:$E$500,MATCH(1,INDEX((檢查項目!$A$2:$A$500=A116)*(檢查項目!$C$2:$C$500=C116)*(檢查項目!$B$2:$B$500=B116),0),0)),IFERROR(INDEX(檢查項目!$E$2:$E$500,MATCH(1,INDEX((檢查項目!$A$2:$A$500=A116)*(檢查項目!$C$2:$C$500=C116)*(檢查項目!$B$2:$B$500=""),0),0)),"⚠ 找不到項目")))</f>
        <v/>
      </c>
      <c r="J116" s="2">
        <f>IF(A116="","",IF(B116="","共用",IF(H116="Y","排除（"&amp;B116&amp;"）",IF(SUMPRODUCT(($A$2:$A$500=A116)*($C$2:$C$500=C116)*($D$2:$D$500=D116)*($B$2:$B$500=""))&gt;0,"覆蓋共用（"&amp;B116&amp;"）","單元新增（"&amp;B116&amp;"）"))))</f>
        <v/>
      </c>
      <c r="K116" s="2">
        <f>IF(A116="","",IF(H116="Y","—",IF(AND(F116&lt;&gt;"",G116&lt;&gt;""),F116&amp;" ~ "&amp;G116,IF(G116&lt;&gt;"","≤ "&amp;G116,IF(F116&lt;&gt;"","≥ "&amp;F116,"只記錄、不檢核")))))</f>
        <v/>
      </c>
      <c r="L116" s="2">
        <f>IF(A116="","",IF(TRIM(IF(SUMPRODUCT(($A$2:$A$500=A116)*($B$2:$B$500=B116)*($C$2:$C$500=C116)*($D$2:$D$500=D116))&gt;1,"⚠ 欄位名稱重複 ","")&amp;IF(AND(B116&lt;&gt;"",NOT(ISNUMBER(SEARCH("、"&amp;B116&amp;"、","、"&amp;IFERROR(INDEX(表單!$I$2:$I$500,MATCH(A116,表單!$A$2:$A$500,0)),"")&amp;"、")))),"⚠ 單元不在適用單元內 ","")&amp;IF(AND(H116="Y",B116=""),"⚠ 排除只能用在單元列 ","")&amp;IF(AND(H116="Y",B116&lt;&gt;"",SUMPRODUCT(($A$2:$A$500=A116)*($C$2:$C$500=C116)*($D$2:$D$500=D116)*($B$2:$B$500=""))=0),"⚠ 排除需對應共用欄位 ","")&amp;IF(AND(ISNUMBER(F116),ISNUMBER(G116),F116&gt;G116),"⚠ 下限大於上限 ","")&amp;IF(SUMPRODUCT((檢查項目!$A$2:$A$500=A116)*(檢查項目!$C$2:$C$500=C116)*(檢查項目!$G$2:$G$500="數值"))=0,"⚠ 該項目不是數值類型 ",""))="","✓",TRIM(IF(SUMPRODUCT(($A$2:$A$500=A116)*($B$2:$B$500=B116)*($C$2:$C$500=C116)*($D$2:$D$500=D116))&gt;1,"⚠ 欄位名稱重複 ","")&amp;IF(AND(B116&lt;&gt;"",NOT(ISNUMBER(SEARCH("、"&amp;B116&amp;"、","、"&amp;IFERROR(INDEX(表單!$I$2:$I$500,MATCH(A116,表單!$A$2:$A$500,0)),"")&amp;"、")))),"⚠ 單元不在適用單元內 ","")&amp;IF(AND(H116="Y",B116=""),"⚠ 排除只能用在單元列 ","")&amp;IF(AND(H116="Y",B116&lt;&gt;"",SUMPRODUCT(($A$2:$A$500=A116)*($C$2:$C$500=C116)*($D$2:$D$500=D116)*($B$2:$B$500=""))=0),"⚠ 排除需對應共用欄位 ","")&amp;IF(AND(ISNUMBER(F116),ISNUMBER(G116),F116&gt;G116),"⚠ 下限大於上限 ","")&amp;IF(SUMPRODUCT((檢查項目!$A$2:$A$500=A116)*(檢查項目!$C$2:$C$500=C116)*(檢查項目!$G$2:$G$500="數值"))=0,"⚠ 該項目不是數值類型 ",""))))</f>
        <v/>
      </c>
    </row>
    <row r="117">
      <c r="I117" s="2">
        <f>IF(A117="","",IFERROR(INDEX(檢查項目!$E$2:$E$500,MATCH(1,INDEX((檢查項目!$A$2:$A$500=A117)*(檢查項目!$C$2:$C$500=C117)*(檢查項目!$B$2:$B$500=B117),0),0)),IFERROR(INDEX(檢查項目!$E$2:$E$500,MATCH(1,INDEX((檢查項目!$A$2:$A$500=A117)*(檢查項目!$C$2:$C$500=C117)*(檢查項目!$B$2:$B$500=""),0),0)),"⚠ 找不到項目")))</f>
        <v/>
      </c>
      <c r="J117" s="2">
        <f>IF(A117="","",IF(B117="","共用",IF(H117="Y","排除（"&amp;B117&amp;"）",IF(SUMPRODUCT(($A$2:$A$500=A117)*($C$2:$C$500=C117)*($D$2:$D$500=D117)*($B$2:$B$500=""))&gt;0,"覆蓋共用（"&amp;B117&amp;"）","單元新增（"&amp;B117&amp;"）"))))</f>
        <v/>
      </c>
      <c r="K117" s="2">
        <f>IF(A117="","",IF(H117="Y","—",IF(AND(F117&lt;&gt;"",G117&lt;&gt;""),F117&amp;" ~ "&amp;G117,IF(G117&lt;&gt;"","≤ "&amp;G117,IF(F117&lt;&gt;"","≥ "&amp;F117,"只記錄、不檢核")))))</f>
        <v/>
      </c>
      <c r="L117" s="2">
        <f>IF(A117="","",IF(TRIM(IF(SUMPRODUCT(($A$2:$A$500=A117)*($B$2:$B$500=B117)*($C$2:$C$500=C117)*($D$2:$D$500=D117))&gt;1,"⚠ 欄位名稱重複 ","")&amp;IF(AND(B117&lt;&gt;"",NOT(ISNUMBER(SEARCH("、"&amp;B117&amp;"、","、"&amp;IFERROR(INDEX(表單!$I$2:$I$500,MATCH(A117,表單!$A$2:$A$500,0)),"")&amp;"、")))),"⚠ 單元不在適用單元內 ","")&amp;IF(AND(H117="Y",B117=""),"⚠ 排除只能用在單元列 ","")&amp;IF(AND(H117="Y",B117&lt;&gt;"",SUMPRODUCT(($A$2:$A$500=A117)*($C$2:$C$500=C117)*($D$2:$D$500=D117)*($B$2:$B$500=""))=0),"⚠ 排除需對應共用欄位 ","")&amp;IF(AND(ISNUMBER(F117),ISNUMBER(G117),F117&gt;G117),"⚠ 下限大於上限 ","")&amp;IF(SUMPRODUCT((檢查項目!$A$2:$A$500=A117)*(檢查項目!$C$2:$C$500=C117)*(檢查項目!$G$2:$G$500="數值"))=0,"⚠ 該項目不是數值類型 ",""))="","✓",TRIM(IF(SUMPRODUCT(($A$2:$A$500=A117)*($B$2:$B$500=B117)*($C$2:$C$500=C117)*($D$2:$D$500=D117))&gt;1,"⚠ 欄位名稱重複 ","")&amp;IF(AND(B117&lt;&gt;"",NOT(ISNUMBER(SEARCH("、"&amp;B117&amp;"、","、"&amp;IFERROR(INDEX(表單!$I$2:$I$500,MATCH(A117,表單!$A$2:$A$500,0)),"")&amp;"、")))),"⚠ 單元不在適用單元內 ","")&amp;IF(AND(H117="Y",B117=""),"⚠ 排除只能用在單元列 ","")&amp;IF(AND(H117="Y",B117&lt;&gt;"",SUMPRODUCT(($A$2:$A$500=A117)*($C$2:$C$500=C117)*($D$2:$D$500=D117)*($B$2:$B$500=""))=0),"⚠ 排除需對應共用欄位 ","")&amp;IF(AND(ISNUMBER(F117),ISNUMBER(G117),F117&gt;G117),"⚠ 下限大於上限 ","")&amp;IF(SUMPRODUCT((檢查項目!$A$2:$A$500=A117)*(檢查項目!$C$2:$C$500=C117)*(檢查項目!$G$2:$G$500="數值"))=0,"⚠ 該項目不是數值類型 ",""))))</f>
        <v/>
      </c>
    </row>
    <row r="118">
      <c r="I118" s="2">
        <f>IF(A118="","",IFERROR(INDEX(檢查項目!$E$2:$E$500,MATCH(1,INDEX((檢查項目!$A$2:$A$500=A118)*(檢查項目!$C$2:$C$500=C118)*(檢查項目!$B$2:$B$500=B118),0),0)),IFERROR(INDEX(檢查項目!$E$2:$E$500,MATCH(1,INDEX((檢查項目!$A$2:$A$500=A118)*(檢查項目!$C$2:$C$500=C118)*(檢查項目!$B$2:$B$500=""),0),0)),"⚠ 找不到項目")))</f>
        <v/>
      </c>
      <c r="J118" s="2">
        <f>IF(A118="","",IF(B118="","共用",IF(H118="Y","排除（"&amp;B118&amp;"）",IF(SUMPRODUCT(($A$2:$A$500=A118)*($C$2:$C$500=C118)*($D$2:$D$500=D118)*($B$2:$B$500=""))&gt;0,"覆蓋共用（"&amp;B118&amp;"）","單元新增（"&amp;B118&amp;"）"))))</f>
        <v/>
      </c>
      <c r="K118" s="2">
        <f>IF(A118="","",IF(H118="Y","—",IF(AND(F118&lt;&gt;"",G118&lt;&gt;""),F118&amp;" ~ "&amp;G118,IF(G118&lt;&gt;"","≤ "&amp;G118,IF(F118&lt;&gt;"","≥ "&amp;F118,"只記錄、不檢核")))))</f>
        <v/>
      </c>
      <c r="L118" s="2">
        <f>IF(A118="","",IF(TRIM(IF(SUMPRODUCT(($A$2:$A$500=A118)*($B$2:$B$500=B118)*($C$2:$C$500=C118)*($D$2:$D$500=D118))&gt;1,"⚠ 欄位名稱重複 ","")&amp;IF(AND(B118&lt;&gt;"",NOT(ISNUMBER(SEARCH("、"&amp;B118&amp;"、","、"&amp;IFERROR(INDEX(表單!$I$2:$I$500,MATCH(A118,表單!$A$2:$A$500,0)),"")&amp;"、")))),"⚠ 單元不在適用單元內 ","")&amp;IF(AND(H118="Y",B118=""),"⚠ 排除只能用在單元列 ","")&amp;IF(AND(H118="Y",B118&lt;&gt;"",SUMPRODUCT(($A$2:$A$500=A118)*($C$2:$C$500=C118)*($D$2:$D$500=D118)*($B$2:$B$500=""))=0),"⚠ 排除需對應共用欄位 ","")&amp;IF(AND(ISNUMBER(F118),ISNUMBER(G118),F118&gt;G118),"⚠ 下限大於上限 ","")&amp;IF(SUMPRODUCT((檢查項目!$A$2:$A$500=A118)*(檢查項目!$C$2:$C$500=C118)*(檢查項目!$G$2:$G$500="數值"))=0,"⚠ 該項目不是數值類型 ",""))="","✓",TRIM(IF(SUMPRODUCT(($A$2:$A$500=A118)*($B$2:$B$500=B118)*($C$2:$C$500=C118)*($D$2:$D$500=D118))&gt;1,"⚠ 欄位名稱重複 ","")&amp;IF(AND(B118&lt;&gt;"",NOT(ISNUMBER(SEARCH("、"&amp;B118&amp;"、","、"&amp;IFERROR(INDEX(表單!$I$2:$I$500,MATCH(A118,表單!$A$2:$A$500,0)),"")&amp;"、")))),"⚠ 單元不在適用單元內 ","")&amp;IF(AND(H118="Y",B118=""),"⚠ 排除只能用在單元列 ","")&amp;IF(AND(H118="Y",B118&lt;&gt;"",SUMPRODUCT(($A$2:$A$500=A118)*($C$2:$C$500=C118)*($D$2:$D$500=D118)*($B$2:$B$500=""))=0),"⚠ 排除需對應共用欄位 ","")&amp;IF(AND(ISNUMBER(F118),ISNUMBER(G118),F118&gt;G118),"⚠ 下限大於上限 ","")&amp;IF(SUMPRODUCT((檢查項目!$A$2:$A$500=A118)*(檢查項目!$C$2:$C$500=C118)*(檢查項目!$G$2:$G$500="數值"))=0,"⚠ 該項目不是數值類型 ",""))))</f>
        <v/>
      </c>
    </row>
    <row r="119">
      <c r="I119" s="2">
        <f>IF(A119="","",IFERROR(INDEX(檢查項目!$E$2:$E$500,MATCH(1,INDEX((檢查項目!$A$2:$A$500=A119)*(檢查項目!$C$2:$C$500=C119)*(檢查項目!$B$2:$B$500=B119),0),0)),IFERROR(INDEX(檢查項目!$E$2:$E$500,MATCH(1,INDEX((檢查項目!$A$2:$A$500=A119)*(檢查項目!$C$2:$C$500=C119)*(檢查項目!$B$2:$B$500=""),0),0)),"⚠ 找不到項目")))</f>
        <v/>
      </c>
      <c r="J119" s="2">
        <f>IF(A119="","",IF(B119="","共用",IF(H119="Y","排除（"&amp;B119&amp;"）",IF(SUMPRODUCT(($A$2:$A$500=A119)*($C$2:$C$500=C119)*($D$2:$D$500=D119)*($B$2:$B$500=""))&gt;0,"覆蓋共用（"&amp;B119&amp;"）","單元新增（"&amp;B119&amp;"）"))))</f>
        <v/>
      </c>
      <c r="K119" s="2">
        <f>IF(A119="","",IF(H119="Y","—",IF(AND(F119&lt;&gt;"",G119&lt;&gt;""),F119&amp;" ~ "&amp;G119,IF(G119&lt;&gt;"","≤ "&amp;G119,IF(F119&lt;&gt;"","≥ "&amp;F119,"只記錄、不檢核")))))</f>
        <v/>
      </c>
      <c r="L119" s="2">
        <f>IF(A119="","",IF(TRIM(IF(SUMPRODUCT(($A$2:$A$500=A119)*($B$2:$B$500=B119)*($C$2:$C$500=C119)*($D$2:$D$500=D119))&gt;1,"⚠ 欄位名稱重複 ","")&amp;IF(AND(B119&lt;&gt;"",NOT(ISNUMBER(SEARCH("、"&amp;B119&amp;"、","、"&amp;IFERROR(INDEX(表單!$I$2:$I$500,MATCH(A119,表單!$A$2:$A$500,0)),"")&amp;"、")))),"⚠ 單元不在適用單元內 ","")&amp;IF(AND(H119="Y",B119=""),"⚠ 排除只能用在單元列 ","")&amp;IF(AND(H119="Y",B119&lt;&gt;"",SUMPRODUCT(($A$2:$A$500=A119)*($C$2:$C$500=C119)*($D$2:$D$500=D119)*($B$2:$B$500=""))=0),"⚠ 排除需對應共用欄位 ","")&amp;IF(AND(ISNUMBER(F119),ISNUMBER(G119),F119&gt;G119),"⚠ 下限大於上限 ","")&amp;IF(SUMPRODUCT((檢查項目!$A$2:$A$500=A119)*(檢查項目!$C$2:$C$500=C119)*(檢查項目!$G$2:$G$500="數值"))=0,"⚠ 該項目不是數值類型 ",""))="","✓",TRIM(IF(SUMPRODUCT(($A$2:$A$500=A119)*($B$2:$B$500=B119)*($C$2:$C$500=C119)*($D$2:$D$500=D119))&gt;1,"⚠ 欄位名稱重複 ","")&amp;IF(AND(B119&lt;&gt;"",NOT(ISNUMBER(SEARCH("、"&amp;B119&amp;"、","、"&amp;IFERROR(INDEX(表單!$I$2:$I$500,MATCH(A119,表單!$A$2:$A$500,0)),"")&amp;"、")))),"⚠ 單元不在適用單元內 ","")&amp;IF(AND(H119="Y",B119=""),"⚠ 排除只能用在單元列 ","")&amp;IF(AND(H119="Y",B119&lt;&gt;"",SUMPRODUCT(($A$2:$A$500=A119)*($C$2:$C$500=C119)*($D$2:$D$500=D119)*($B$2:$B$500=""))=0),"⚠ 排除需對應共用欄位 ","")&amp;IF(AND(ISNUMBER(F119),ISNUMBER(G119),F119&gt;G119),"⚠ 下限大於上限 ","")&amp;IF(SUMPRODUCT((檢查項目!$A$2:$A$500=A119)*(檢查項目!$C$2:$C$500=C119)*(檢查項目!$G$2:$G$500="數值"))=0,"⚠ 該項目不是數值類型 ",""))))</f>
        <v/>
      </c>
    </row>
    <row r="120">
      <c r="I120" s="2">
        <f>IF(A120="","",IFERROR(INDEX(檢查項目!$E$2:$E$500,MATCH(1,INDEX((檢查項目!$A$2:$A$500=A120)*(檢查項目!$C$2:$C$500=C120)*(檢查項目!$B$2:$B$500=B120),0),0)),IFERROR(INDEX(檢查項目!$E$2:$E$500,MATCH(1,INDEX((檢查項目!$A$2:$A$500=A120)*(檢查項目!$C$2:$C$500=C120)*(檢查項目!$B$2:$B$500=""),0),0)),"⚠ 找不到項目")))</f>
        <v/>
      </c>
      <c r="J120" s="2">
        <f>IF(A120="","",IF(B120="","共用",IF(H120="Y","排除（"&amp;B120&amp;"）",IF(SUMPRODUCT(($A$2:$A$500=A120)*($C$2:$C$500=C120)*($D$2:$D$500=D120)*($B$2:$B$500=""))&gt;0,"覆蓋共用（"&amp;B120&amp;"）","單元新增（"&amp;B120&amp;"）"))))</f>
        <v/>
      </c>
      <c r="K120" s="2">
        <f>IF(A120="","",IF(H120="Y","—",IF(AND(F120&lt;&gt;"",G120&lt;&gt;""),F120&amp;" ~ "&amp;G120,IF(G120&lt;&gt;"","≤ "&amp;G120,IF(F120&lt;&gt;"","≥ "&amp;F120,"只記錄、不檢核")))))</f>
        <v/>
      </c>
      <c r="L120" s="2">
        <f>IF(A120="","",IF(TRIM(IF(SUMPRODUCT(($A$2:$A$500=A120)*($B$2:$B$500=B120)*($C$2:$C$500=C120)*($D$2:$D$500=D120))&gt;1,"⚠ 欄位名稱重複 ","")&amp;IF(AND(B120&lt;&gt;"",NOT(ISNUMBER(SEARCH("、"&amp;B120&amp;"、","、"&amp;IFERROR(INDEX(表單!$I$2:$I$500,MATCH(A120,表單!$A$2:$A$500,0)),"")&amp;"、")))),"⚠ 單元不在適用單元內 ","")&amp;IF(AND(H120="Y",B120=""),"⚠ 排除只能用在單元列 ","")&amp;IF(AND(H120="Y",B120&lt;&gt;"",SUMPRODUCT(($A$2:$A$500=A120)*($C$2:$C$500=C120)*($D$2:$D$500=D120)*($B$2:$B$500=""))=0),"⚠ 排除需對應共用欄位 ","")&amp;IF(AND(ISNUMBER(F120),ISNUMBER(G120),F120&gt;G120),"⚠ 下限大於上限 ","")&amp;IF(SUMPRODUCT((檢查項目!$A$2:$A$500=A120)*(檢查項目!$C$2:$C$500=C120)*(檢查項目!$G$2:$G$500="數值"))=0,"⚠ 該項目不是數值類型 ",""))="","✓",TRIM(IF(SUMPRODUCT(($A$2:$A$500=A120)*($B$2:$B$500=B120)*($C$2:$C$500=C120)*($D$2:$D$500=D120))&gt;1,"⚠ 欄位名稱重複 ","")&amp;IF(AND(B120&lt;&gt;"",NOT(ISNUMBER(SEARCH("、"&amp;B120&amp;"、","、"&amp;IFERROR(INDEX(表單!$I$2:$I$500,MATCH(A120,表單!$A$2:$A$500,0)),"")&amp;"、")))),"⚠ 單元不在適用單元內 ","")&amp;IF(AND(H120="Y",B120=""),"⚠ 排除只能用在單元列 ","")&amp;IF(AND(H120="Y",B120&lt;&gt;"",SUMPRODUCT(($A$2:$A$500=A120)*($C$2:$C$500=C120)*($D$2:$D$500=D120)*($B$2:$B$500=""))=0),"⚠ 排除需對應共用欄位 ","")&amp;IF(AND(ISNUMBER(F120),ISNUMBER(G120),F120&gt;G120),"⚠ 下限大於上限 ","")&amp;IF(SUMPRODUCT((檢查項目!$A$2:$A$500=A120)*(檢查項目!$C$2:$C$500=C120)*(檢查項目!$G$2:$G$500="數值"))=0,"⚠ 該項目不是數值類型 ",""))))</f>
        <v/>
      </c>
    </row>
    <row r="121">
      <c r="I121" s="2">
        <f>IF(A121="","",IFERROR(INDEX(檢查項目!$E$2:$E$500,MATCH(1,INDEX((檢查項目!$A$2:$A$500=A121)*(檢查項目!$C$2:$C$500=C121)*(檢查項目!$B$2:$B$500=B121),0),0)),IFERROR(INDEX(檢查項目!$E$2:$E$500,MATCH(1,INDEX((檢查項目!$A$2:$A$500=A121)*(檢查項目!$C$2:$C$500=C121)*(檢查項目!$B$2:$B$500=""),0),0)),"⚠ 找不到項目")))</f>
        <v/>
      </c>
      <c r="J121" s="2">
        <f>IF(A121="","",IF(B121="","共用",IF(H121="Y","排除（"&amp;B121&amp;"）",IF(SUMPRODUCT(($A$2:$A$500=A121)*($C$2:$C$500=C121)*($D$2:$D$500=D121)*($B$2:$B$500=""))&gt;0,"覆蓋共用（"&amp;B121&amp;"）","單元新增（"&amp;B121&amp;"）"))))</f>
        <v/>
      </c>
      <c r="K121" s="2">
        <f>IF(A121="","",IF(H121="Y","—",IF(AND(F121&lt;&gt;"",G121&lt;&gt;""),F121&amp;" ~ "&amp;G121,IF(G121&lt;&gt;"","≤ "&amp;G121,IF(F121&lt;&gt;"","≥ "&amp;F121,"只記錄、不檢核")))))</f>
        <v/>
      </c>
      <c r="L121" s="2">
        <f>IF(A121="","",IF(TRIM(IF(SUMPRODUCT(($A$2:$A$500=A121)*($B$2:$B$500=B121)*($C$2:$C$500=C121)*($D$2:$D$500=D121))&gt;1,"⚠ 欄位名稱重複 ","")&amp;IF(AND(B121&lt;&gt;"",NOT(ISNUMBER(SEARCH("、"&amp;B121&amp;"、","、"&amp;IFERROR(INDEX(表單!$I$2:$I$500,MATCH(A121,表單!$A$2:$A$500,0)),"")&amp;"、")))),"⚠ 單元不在適用單元內 ","")&amp;IF(AND(H121="Y",B121=""),"⚠ 排除只能用在單元列 ","")&amp;IF(AND(H121="Y",B121&lt;&gt;"",SUMPRODUCT(($A$2:$A$500=A121)*($C$2:$C$500=C121)*($D$2:$D$500=D121)*($B$2:$B$500=""))=0),"⚠ 排除需對應共用欄位 ","")&amp;IF(AND(ISNUMBER(F121),ISNUMBER(G121),F121&gt;G121),"⚠ 下限大於上限 ","")&amp;IF(SUMPRODUCT((檢查項目!$A$2:$A$500=A121)*(檢查項目!$C$2:$C$500=C121)*(檢查項目!$G$2:$G$500="數值"))=0,"⚠ 該項目不是數值類型 ",""))="","✓",TRIM(IF(SUMPRODUCT(($A$2:$A$500=A121)*($B$2:$B$500=B121)*($C$2:$C$500=C121)*($D$2:$D$500=D121))&gt;1,"⚠ 欄位名稱重複 ","")&amp;IF(AND(B121&lt;&gt;"",NOT(ISNUMBER(SEARCH("、"&amp;B121&amp;"、","、"&amp;IFERROR(INDEX(表單!$I$2:$I$500,MATCH(A121,表單!$A$2:$A$500,0)),"")&amp;"、")))),"⚠ 單元不在適用單元內 ","")&amp;IF(AND(H121="Y",B121=""),"⚠ 排除只能用在單元列 ","")&amp;IF(AND(H121="Y",B121&lt;&gt;"",SUMPRODUCT(($A$2:$A$500=A121)*($C$2:$C$500=C121)*($D$2:$D$500=D121)*($B$2:$B$500=""))=0),"⚠ 排除需對應共用欄位 ","")&amp;IF(AND(ISNUMBER(F121),ISNUMBER(G121),F121&gt;G121),"⚠ 下限大於上限 ","")&amp;IF(SUMPRODUCT((檢查項目!$A$2:$A$500=A121)*(檢查項目!$C$2:$C$500=C121)*(檢查項目!$G$2:$G$500="數值"))=0,"⚠ 該項目不是數值類型 ",""))))</f>
        <v/>
      </c>
    </row>
    <row r="122">
      <c r="I122" s="2">
        <f>IF(A122="","",IFERROR(INDEX(檢查項目!$E$2:$E$500,MATCH(1,INDEX((檢查項目!$A$2:$A$500=A122)*(檢查項目!$C$2:$C$500=C122)*(檢查項目!$B$2:$B$500=B122),0),0)),IFERROR(INDEX(檢查項目!$E$2:$E$500,MATCH(1,INDEX((檢查項目!$A$2:$A$500=A122)*(檢查項目!$C$2:$C$500=C122)*(檢查項目!$B$2:$B$500=""),0),0)),"⚠ 找不到項目")))</f>
        <v/>
      </c>
      <c r="J122" s="2">
        <f>IF(A122="","",IF(B122="","共用",IF(H122="Y","排除（"&amp;B122&amp;"）",IF(SUMPRODUCT(($A$2:$A$500=A122)*($C$2:$C$500=C122)*($D$2:$D$500=D122)*($B$2:$B$500=""))&gt;0,"覆蓋共用（"&amp;B122&amp;"）","單元新增（"&amp;B122&amp;"）"))))</f>
        <v/>
      </c>
      <c r="K122" s="2">
        <f>IF(A122="","",IF(H122="Y","—",IF(AND(F122&lt;&gt;"",G122&lt;&gt;""),F122&amp;" ~ "&amp;G122,IF(G122&lt;&gt;"","≤ "&amp;G122,IF(F122&lt;&gt;"","≥ "&amp;F122,"只記錄、不檢核")))))</f>
        <v/>
      </c>
      <c r="L122" s="2">
        <f>IF(A122="","",IF(TRIM(IF(SUMPRODUCT(($A$2:$A$500=A122)*($B$2:$B$500=B122)*($C$2:$C$500=C122)*($D$2:$D$500=D122))&gt;1,"⚠ 欄位名稱重複 ","")&amp;IF(AND(B122&lt;&gt;"",NOT(ISNUMBER(SEARCH("、"&amp;B122&amp;"、","、"&amp;IFERROR(INDEX(表單!$I$2:$I$500,MATCH(A122,表單!$A$2:$A$500,0)),"")&amp;"、")))),"⚠ 單元不在適用單元內 ","")&amp;IF(AND(H122="Y",B122=""),"⚠ 排除只能用在單元列 ","")&amp;IF(AND(H122="Y",B122&lt;&gt;"",SUMPRODUCT(($A$2:$A$500=A122)*($C$2:$C$500=C122)*($D$2:$D$500=D122)*($B$2:$B$500=""))=0),"⚠ 排除需對應共用欄位 ","")&amp;IF(AND(ISNUMBER(F122),ISNUMBER(G122),F122&gt;G122),"⚠ 下限大於上限 ","")&amp;IF(SUMPRODUCT((檢查項目!$A$2:$A$500=A122)*(檢查項目!$C$2:$C$500=C122)*(檢查項目!$G$2:$G$500="數值"))=0,"⚠ 該項目不是數值類型 ",""))="","✓",TRIM(IF(SUMPRODUCT(($A$2:$A$500=A122)*($B$2:$B$500=B122)*($C$2:$C$500=C122)*($D$2:$D$500=D122))&gt;1,"⚠ 欄位名稱重複 ","")&amp;IF(AND(B122&lt;&gt;"",NOT(ISNUMBER(SEARCH("、"&amp;B122&amp;"、","、"&amp;IFERROR(INDEX(表單!$I$2:$I$500,MATCH(A122,表單!$A$2:$A$500,0)),"")&amp;"、")))),"⚠ 單元不在適用單元內 ","")&amp;IF(AND(H122="Y",B122=""),"⚠ 排除只能用在單元列 ","")&amp;IF(AND(H122="Y",B122&lt;&gt;"",SUMPRODUCT(($A$2:$A$500=A122)*($C$2:$C$500=C122)*($D$2:$D$500=D122)*($B$2:$B$500=""))=0),"⚠ 排除需對應共用欄位 ","")&amp;IF(AND(ISNUMBER(F122),ISNUMBER(G122),F122&gt;G122),"⚠ 下限大於上限 ","")&amp;IF(SUMPRODUCT((檢查項目!$A$2:$A$500=A122)*(檢查項目!$C$2:$C$500=C122)*(檢查項目!$G$2:$G$500="數值"))=0,"⚠ 該項目不是數值類型 ",""))))</f>
        <v/>
      </c>
    </row>
    <row r="123">
      <c r="I123" s="2">
        <f>IF(A123="","",IFERROR(INDEX(檢查項目!$E$2:$E$500,MATCH(1,INDEX((檢查項目!$A$2:$A$500=A123)*(檢查項目!$C$2:$C$500=C123)*(檢查項目!$B$2:$B$500=B123),0),0)),IFERROR(INDEX(檢查項目!$E$2:$E$500,MATCH(1,INDEX((檢查項目!$A$2:$A$500=A123)*(檢查項目!$C$2:$C$500=C123)*(檢查項目!$B$2:$B$500=""),0),0)),"⚠ 找不到項目")))</f>
        <v/>
      </c>
      <c r="J123" s="2">
        <f>IF(A123="","",IF(B123="","共用",IF(H123="Y","排除（"&amp;B123&amp;"）",IF(SUMPRODUCT(($A$2:$A$500=A123)*($C$2:$C$500=C123)*($D$2:$D$500=D123)*($B$2:$B$500=""))&gt;0,"覆蓋共用（"&amp;B123&amp;"）","單元新增（"&amp;B123&amp;"）"))))</f>
        <v/>
      </c>
      <c r="K123" s="2">
        <f>IF(A123="","",IF(H123="Y","—",IF(AND(F123&lt;&gt;"",G123&lt;&gt;""),F123&amp;" ~ "&amp;G123,IF(G123&lt;&gt;"","≤ "&amp;G123,IF(F123&lt;&gt;"","≥ "&amp;F123,"只記錄、不檢核")))))</f>
        <v/>
      </c>
      <c r="L123" s="2">
        <f>IF(A123="","",IF(TRIM(IF(SUMPRODUCT(($A$2:$A$500=A123)*($B$2:$B$500=B123)*($C$2:$C$500=C123)*($D$2:$D$500=D123))&gt;1,"⚠ 欄位名稱重複 ","")&amp;IF(AND(B123&lt;&gt;"",NOT(ISNUMBER(SEARCH("、"&amp;B123&amp;"、","、"&amp;IFERROR(INDEX(表單!$I$2:$I$500,MATCH(A123,表單!$A$2:$A$500,0)),"")&amp;"、")))),"⚠ 單元不在適用單元內 ","")&amp;IF(AND(H123="Y",B123=""),"⚠ 排除只能用在單元列 ","")&amp;IF(AND(H123="Y",B123&lt;&gt;"",SUMPRODUCT(($A$2:$A$500=A123)*($C$2:$C$500=C123)*($D$2:$D$500=D123)*($B$2:$B$500=""))=0),"⚠ 排除需對應共用欄位 ","")&amp;IF(AND(ISNUMBER(F123),ISNUMBER(G123),F123&gt;G123),"⚠ 下限大於上限 ","")&amp;IF(SUMPRODUCT((檢查項目!$A$2:$A$500=A123)*(檢查項目!$C$2:$C$500=C123)*(檢查項目!$G$2:$G$500="數值"))=0,"⚠ 該項目不是數值類型 ",""))="","✓",TRIM(IF(SUMPRODUCT(($A$2:$A$500=A123)*($B$2:$B$500=B123)*($C$2:$C$500=C123)*($D$2:$D$500=D123))&gt;1,"⚠ 欄位名稱重複 ","")&amp;IF(AND(B123&lt;&gt;"",NOT(ISNUMBER(SEARCH("、"&amp;B123&amp;"、","、"&amp;IFERROR(INDEX(表單!$I$2:$I$500,MATCH(A123,表單!$A$2:$A$500,0)),"")&amp;"、")))),"⚠ 單元不在適用單元內 ","")&amp;IF(AND(H123="Y",B123=""),"⚠ 排除只能用在單元列 ","")&amp;IF(AND(H123="Y",B123&lt;&gt;"",SUMPRODUCT(($A$2:$A$500=A123)*($C$2:$C$500=C123)*($D$2:$D$500=D123)*($B$2:$B$500=""))=0),"⚠ 排除需對應共用欄位 ","")&amp;IF(AND(ISNUMBER(F123),ISNUMBER(G123),F123&gt;G123),"⚠ 下限大於上限 ","")&amp;IF(SUMPRODUCT((檢查項目!$A$2:$A$500=A123)*(檢查項目!$C$2:$C$500=C123)*(檢查項目!$G$2:$G$500="數值"))=0,"⚠ 該項目不是數值類型 ",""))))</f>
        <v/>
      </c>
    </row>
    <row r="124">
      <c r="I124" s="2">
        <f>IF(A124="","",IFERROR(INDEX(檢查項目!$E$2:$E$500,MATCH(1,INDEX((檢查項目!$A$2:$A$500=A124)*(檢查項目!$C$2:$C$500=C124)*(檢查項目!$B$2:$B$500=B124),0),0)),IFERROR(INDEX(檢查項目!$E$2:$E$500,MATCH(1,INDEX((檢查項目!$A$2:$A$500=A124)*(檢查項目!$C$2:$C$500=C124)*(檢查項目!$B$2:$B$500=""),0),0)),"⚠ 找不到項目")))</f>
        <v/>
      </c>
      <c r="J124" s="2">
        <f>IF(A124="","",IF(B124="","共用",IF(H124="Y","排除（"&amp;B124&amp;"）",IF(SUMPRODUCT(($A$2:$A$500=A124)*($C$2:$C$500=C124)*($D$2:$D$500=D124)*($B$2:$B$500=""))&gt;0,"覆蓋共用（"&amp;B124&amp;"）","單元新增（"&amp;B124&amp;"）"))))</f>
        <v/>
      </c>
      <c r="K124" s="2">
        <f>IF(A124="","",IF(H124="Y","—",IF(AND(F124&lt;&gt;"",G124&lt;&gt;""),F124&amp;" ~ "&amp;G124,IF(G124&lt;&gt;"","≤ "&amp;G124,IF(F124&lt;&gt;"","≥ "&amp;F124,"只記錄、不檢核")))))</f>
        <v/>
      </c>
      <c r="L124" s="2">
        <f>IF(A124="","",IF(TRIM(IF(SUMPRODUCT(($A$2:$A$500=A124)*($B$2:$B$500=B124)*($C$2:$C$500=C124)*($D$2:$D$500=D124))&gt;1,"⚠ 欄位名稱重複 ","")&amp;IF(AND(B124&lt;&gt;"",NOT(ISNUMBER(SEARCH("、"&amp;B124&amp;"、","、"&amp;IFERROR(INDEX(表單!$I$2:$I$500,MATCH(A124,表單!$A$2:$A$500,0)),"")&amp;"、")))),"⚠ 單元不在適用單元內 ","")&amp;IF(AND(H124="Y",B124=""),"⚠ 排除只能用在單元列 ","")&amp;IF(AND(H124="Y",B124&lt;&gt;"",SUMPRODUCT(($A$2:$A$500=A124)*($C$2:$C$500=C124)*($D$2:$D$500=D124)*($B$2:$B$500=""))=0),"⚠ 排除需對應共用欄位 ","")&amp;IF(AND(ISNUMBER(F124),ISNUMBER(G124),F124&gt;G124),"⚠ 下限大於上限 ","")&amp;IF(SUMPRODUCT((檢查項目!$A$2:$A$500=A124)*(檢查項目!$C$2:$C$500=C124)*(檢查項目!$G$2:$G$500="數值"))=0,"⚠ 該項目不是數值類型 ",""))="","✓",TRIM(IF(SUMPRODUCT(($A$2:$A$500=A124)*($B$2:$B$500=B124)*($C$2:$C$500=C124)*($D$2:$D$500=D124))&gt;1,"⚠ 欄位名稱重複 ","")&amp;IF(AND(B124&lt;&gt;"",NOT(ISNUMBER(SEARCH("、"&amp;B124&amp;"、","、"&amp;IFERROR(INDEX(表單!$I$2:$I$500,MATCH(A124,表單!$A$2:$A$500,0)),"")&amp;"、")))),"⚠ 單元不在適用單元內 ","")&amp;IF(AND(H124="Y",B124=""),"⚠ 排除只能用在單元列 ","")&amp;IF(AND(H124="Y",B124&lt;&gt;"",SUMPRODUCT(($A$2:$A$500=A124)*($C$2:$C$500=C124)*($D$2:$D$500=D124)*($B$2:$B$500=""))=0),"⚠ 排除需對應共用欄位 ","")&amp;IF(AND(ISNUMBER(F124),ISNUMBER(G124),F124&gt;G124),"⚠ 下限大於上限 ","")&amp;IF(SUMPRODUCT((檢查項目!$A$2:$A$500=A124)*(檢查項目!$C$2:$C$500=C124)*(檢查項目!$G$2:$G$500="數值"))=0,"⚠ 該項目不是數值類型 ",""))))</f>
        <v/>
      </c>
    </row>
    <row r="125">
      <c r="I125" s="2">
        <f>IF(A125="","",IFERROR(INDEX(檢查項目!$E$2:$E$500,MATCH(1,INDEX((檢查項目!$A$2:$A$500=A125)*(檢查項目!$C$2:$C$500=C125)*(檢查項目!$B$2:$B$500=B125),0),0)),IFERROR(INDEX(檢查項目!$E$2:$E$500,MATCH(1,INDEX((檢查項目!$A$2:$A$500=A125)*(檢查項目!$C$2:$C$500=C125)*(檢查項目!$B$2:$B$500=""),0),0)),"⚠ 找不到項目")))</f>
        <v/>
      </c>
      <c r="J125" s="2">
        <f>IF(A125="","",IF(B125="","共用",IF(H125="Y","排除（"&amp;B125&amp;"）",IF(SUMPRODUCT(($A$2:$A$500=A125)*($C$2:$C$500=C125)*($D$2:$D$500=D125)*($B$2:$B$500=""))&gt;0,"覆蓋共用（"&amp;B125&amp;"）","單元新增（"&amp;B125&amp;"）"))))</f>
        <v/>
      </c>
      <c r="K125" s="2">
        <f>IF(A125="","",IF(H125="Y","—",IF(AND(F125&lt;&gt;"",G125&lt;&gt;""),F125&amp;" ~ "&amp;G125,IF(G125&lt;&gt;"","≤ "&amp;G125,IF(F125&lt;&gt;"","≥ "&amp;F125,"只記錄、不檢核")))))</f>
        <v/>
      </c>
      <c r="L125" s="2">
        <f>IF(A125="","",IF(TRIM(IF(SUMPRODUCT(($A$2:$A$500=A125)*($B$2:$B$500=B125)*($C$2:$C$500=C125)*($D$2:$D$500=D125))&gt;1,"⚠ 欄位名稱重複 ","")&amp;IF(AND(B125&lt;&gt;"",NOT(ISNUMBER(SEARCH("、"&amp;B125&amp;"、","、"&amp;IFERROR(INDEX(表單!$I$2:$I$500,MATCH(A125,表單!$A$2:$A$500,0)),"")&amp;"、")))),"⚠ 單元不在適用單元內 ","")&amp;IF(AND(H125="Y",B125=""),"⚠ 排除只能用在單元列 ","")&amp;IF(AND(H125="Y",B125&lt;&gt;"",SUMPRODUCT(($A$2:$A$500=A125)*($C$2:$C$500=C125)*($D$2:$D$500=D125)*($B$2:$B$500=""))=0),"⚠ 排除需對應共用欄位 ","")&amp;IF(AND(ISNUMBER(F125),ISNUMBER(G125),F125&gt;G125),"⚠ 下限大於上限 ","")&amp;IF(SUMPRODUCT((檢查項目!$A$2:$A$500=A125)*(檢查項目!$C$2:$C$500=C125)*(檢查項目!$G$2:$G$500="數值"))=0,"⚠ 該項目不是數值類型 ",""))="","✓",TRIM(IF(SUMPRODUCT(($A$2:$A$500=A125)*($B$2:$B$500=B125)*($C$2:$C$500=C125)*($D$2:$D$500=D125))&gt;1,"⚠ 欄位名稱重複 ","")&amp;IF(AND(B125&lt;&gt;"",NOT(ISNUMBER(SEARCH("、"&amp;B125&amp;"、","、"&amp;IFERROR(INDEX(表單!$I$2:$I$500,MATCH(A125,表單!$A$2:$A$500,0)),"")&amp;"、")))),"⚠ 單元不在適用單元內 ","")&amp;IF(AND(H125="Y",B125=""),"⚠ 排除只能用在單元列 ","")&amp;IF(AND(H125="Y",B125&lt;&gt;"",SUMPRODUCT(($A$2:$A$500=A125)*($C$2:$C$500=C125)*($D$2:$D$500=D125)*($B$2:$B$500=""))=0),"⚠ 排除需對應共用欄位 ","")&amp;IF(AND(ISNUMBER(F125),ISNUMBER(G125),F125&gt;G125),"⚠ 下限大於上限 ","")&amp;IF(SUMPRODUCT((檢查項目!$A$2:$A$500=A125)*(檢查項目!$C$2:$C$500=C125)*(檢查項目!$G$2:$G$500="數值"))=0,"⚠ 該項目不是數值類型 ",""))))</f>
        <v/>
      </c>
    </row>
    <row r="126">
      <c r="I126" s="2">
        <f>IF(A126="","",IFERROR(INDEX(檢查項目!$E$2:$E$500,MATCH(1,INDEX((檢查項目!$A$2:$A$500=A126)*(檢查項目!$C$2:$C$500=C126)*(檢查項目!$B$2:$B$500=B126),0),0)),IFERROR(INDEX(檢查項目!$E$2:$E$500,MATCH(1,INDEX((檢查項目!$A$2:$A$500=A126)*(檢查項目!$C$2:$C$500=C126)*(檢查項目!$B$2:$B$500=""),0),0)),"⚠ 找不到項目")))</f>
        <v/>
      </c>
      <c r="J126" s="2">
        <f>IF(A126="","",IF(B126="","共用",IF(H126="Y","排除（"&amp;B126&amp;"）",IF(SUMPRODUCT(($A$2:$A$500=A126)*($C$2:$C$500=C126)*($D$2:$D$500=D126)*($B$2:$B$500=""))&gt;0,"覆蓋共用（"&amp;B126&amp;"）","單元新增（"&amp;B126&amp;"）"))))</f>
        <v/>
      </c>
      <c r="K126" s="2">
        <f>IF(A126="","",IF(H126="Y","—",IF(AND(F126&lt;&gt;"",G126&lt;&gt;""),F126&amp;" ~ "&amp;G126,IF(G126&lt;&gt;"","≤ "&amp;G126,IF(F126&lt;&gt;"","≥ "&amp;F126,"只記錄、不檢核")))))</f>
        <v/>
      </c>
      <c r="L126" s="2">
        <f>IF(A126="","",IF(TRIM(IF(SUMPRODUCT(($A$2:$A$500=A126)*($B$2:$B$500=B126)*($C$2:$C$500=C126)*($D$2:$D$500=D126))&gt;1,"⚠ 欄位名稱重複 ","")&amp;IF(AND(B126&lt;&gt;"",NOT(ISNUMBER(SEARCH("、"&amp;B126&amp;"、","、"&amp;IFERROR(INDEX(表單!$I$2:$I$500,MATCH(A126,表單!$A$2:$A$500,0)),"")&amp;"、")))),"⚠ 單元不在適用單元內 ","")&amp;IF(AND(H126="Y",B126=""),"⚠ 排除只能用在單元列 ","")&amp;IF(AND(H126="Y",B126&lt;&gt;"",SUMPRODUCT(($A$2:$A$500=A126)*($C$2:$C$500=C126)*($D$2:$D$500=D126)*($B$2:$B$500=""))=0),"⚠ 排除需對應共用欄位 ","")&amp;IF(AND(ISNUMBER(F126),ISNUMBER(G126),F126&gt;G126),"⚠ 下限大於上限 ","")&amp;IF(SUMPRODUCT((檢查項目!$A$2:$A$500=A126)*(檢查項目!$C$2:$C$500=C126)*(檢查項目!$G$2:$G$500="數值"))=0,"⚠ 該項目不是數值類型 ",""))="","✓",TRIM(IF(SUMPRODUCT(($A$2:$A$500=A126)*($B$2:$B$500=B126)*($C$2:$C$500=C126)*($D$2:$D$500=D126))&gt;1,"⚠ 欄位名稱重複 ","")&amp;IF(AND(B126&lt;&gt;"",NOT(ISNUMBER(SEARCH("、"&amp;B126&amp;"、","、"&amp;IFERROR(INDEX(表單!$I$2:$I$500,MATCH(A126,表單!$A$2:$A$500,0)),"")&amp;"、")))),"⚠ 單元不在適用單元內 ","")&amp;IF(AND(H126="Y",B126=""),"⚠ 排除只能用在單元列 ","")&amp;IF(AND(H126="Y",B126&lt;&gt;"",SUMPRODUCT(($A$2:$A$500=A126)*($C$2:$C$500=C126)*($D$2:$D$500=D126)*($B$2:$B$500=""))=0),"⚠ 排除需對應共用欄位 ","")&amp;IF(AND(ISNUMBER(F126),ISNUMBER(G126),F126&gt;G126),"⚠ 下限大於上限 ","")&amp;IF(SUMPRODUCT((檢查項目!$A$2:$A$500=A126)*(檢查項目!$C$2:$C$500=C126)*(檢查項目!$G$2:$G$500="數值"))=0,"⚠ 該項目不是數值類型 ",""))))</f>
        <v/>
      </c>
    </row>
    <row r="127">
      <c r="I127" s="2">
        <f>IF(A127="","",IFERROR(INDEX(檢查項目!$E$2:$E$500,MATCH(1,INDEX((檢查項目!$A$2:$A$500=A127)*(檢查項目!$C$2:$C$500=C127)*(檢查項目!$B$2:$B$500=B127),0),0)),IFERROR(INDEX(檢查項目!$E$2:$E$500,MATCH(1,INDEX((檢查項目!$A$2:$A$500=A127)*(檢查項目!$C$2:$C$500=C127)*(檢查項目!$B$2:$B$500=""),0),0)),"⚠ 找不到項目")))</f>
        <v/>
      </c>
      <c r="J127" s="2">
        <f>IF(A127="","",IF(B127="","共用",IF(H127="Y","排除（"&amp;B127&amp;"）",IF(SUMPRODUCT(($A$2:$A$500=A127)*($C$2:$C$500=C127)*($D$2:$D$500=D127)*($B$2:$B$500=""))&gt;0,"覆蓋共用（"&amp;B127&amp;"）","單元新增（"&amp;B127&amp;"）"))))</f>
        <v/>
      </c>
      <c r="K127" s="2">
        <f>IF(A127="","",IF(H127="Y","—",IF(AND(F127&lt;&gt;"",G127&lt;&gt;""),F127&amp;" ~ "&amp;G127,IF(G127&lt;&gt;"","≤ "&amp;G127,IF(F127&lt;&gt;"","≥ "&amp;F127,"只記錄、不檢核")))))</f>
        <v/>
      </c>
      <c r="L127" s="2">
        <f>IF(A127="","",IF(TRIM(IF(SUMPRODUCT(($A$2:$A$500=A127)*($B$2:$B$500=B127)*($C$2:$C$500=C127)*($D$2:$D$500=D127))&gt;1,"⚠ 欄位名稱重複 ","")&amp;IF(AND(B127&lt;&gt;"",NOT(ISNUMBER(SEARCH("、"&amp;B127&amp;"、","、"&amp;IFERROR(INDEX(表單!$I$2:$I$500,MATCH(A127,表單!$A$2:$A$500,0)),"")&amp;"、")))),"⚠ 單元不在適用單元內 ","")&amp;IF(AND(H127="Y",B127=""),"⚠ 排除只能用在單元列 ","")&amp;IF(AND(H127="Y",B127&lt;&gt;"",SUMPRODUCT(($A$2:$A$500=A127)*($C$2:$C$500=C127)*($D$2:$D$500=D127)*($B$2:$B$500=""))=0),"⚠ 排除需對應共用欄位 ","")&amp;IF(AND(ISNUMBER(F127),ISNUMBER(G127),F127&gt;G127),"⚠ 下限大於上限 ","")&amp;IF(SUMPRODUCT((檢查項目!$A$2:$A$500=A127)*(檢查項目!$C$2:$C$500=C127)*(檢查項目!$G$2:$G$500="數值"))=0,"⚠ 該項目不是數值類型 ",""))="","✓",TRIM(IF(SUMPRODUCT(($A$2:$A$500=A127)*($B$2:$B$500=B127)*($C$2:$C$500=C127)*($D$2:$D$500=D127))&gt;1,"⚠ 欄位名稱重複 ","")&amp;IF(AND(B127&lt;&gt;"",NOT(ISNUMBER(SEARCH("、"&amp;B127&amp;"、","、"&amp;IFERROR(INDEX(表單!$I$2:$I$500,MATCH(A127,表單!$A$2:$A$500,0)),"")&amp;"、")))),"⚠ 單元不在適用單元內 ","")&amp;IF(AND(H127="Y",B127=""),"⚠ 排除只能用在單元列 ","")&amp;IF(AND(H127="Y",B127&lt;&gt;"",SUMPRODUCT(($A$2:$A$500=A127)*($C$2:$C$500=C127)*($D$2:$D$500=D127)*($B$2:$B$500=""))=0),"⚠ 排除需對應共用欄位 ","")&amp;IF(AND(ISNUMBER(F127),ISNUMBER(G127),F127&gt;G127),"⚠ 下限大於上限 ","")&amp;IF(SUMPRODUCT((檢查項目!$A$2:$A$500=A127)*(檢查項目!$C$2:$C$500=C127)*(檢查項目!$G$2:$G$500="數值"))=0,"⚠ 該項目不是數值類型 ",""))))</f>
        <v/>
      </c>
    </row>
    <row r="128">
      <c r="I128" s="2">
        <f>IF(A128="","",IFERROR(INDEX(檢查項目!$E$2:$E$500,MATCH(1,INDEX((檢查項目!$A$2:$A$500=A128)*(檢查項目!$C$2:$C$500=C128)*(檢查項目!$B$2:$B$500=B128),0),0)),IFERROR(INDEX(檢查項目!$E$2:$E$500,MATCH(1,INDEX((檢查項目!$A$2:$A$500=A128)*(檢查項目!$C$2:$C$500=C128)*(檢查項目!$B$2:$B$500=""),0),0)),"⚠ 找不到項目")))</f>
        <v/>
      </c>
      <c r="J128" s="2">
        <f>IF(A128="","",IF(B128="","共用",IF(H128="Y","排除（"&amp;B128&amp;"）",IF(SUMPRODUCT(($A$2:$A$500=A128)*($C$2:$C$500=C128)*($D$2:$D$500=D128)*($B$2:$B$500=""))&gt;0,"覆蓋共用（"&amp;B128&amp;"）","單元新增（"&amp;B128&amp;"）"))))</f>
        <v/>
      </c>
      <c r="K128" s="2">
        <f>IF(A128="","",IF(H128="Y","—",IF(AND(F128&lt;&gt;"",G128&lt;&gt;""),F128&amp;" ~ "&amp;G128,IF(G128&lt;&gt;"","≤ "&amp;G128,IF(F128&lt;&gt;"","≥ "&amp;F128,"只記錄、不檢核")))))</f>
        <v/>
      </c>
      <c r="L128" s="2">
        <f>IF(A128="","",IF(TRIM(IF(SUMPRODUCT(($A$2:$A$500=A128)*($B$2:$B$500=B128)*($C$2:$C$500=C128)*($D$2:$D$500=D128))&gt;1,"⚠ 欄位名稱重複 ","")&amp;IF(AND(B128&lt;&gt;"",NOT(ISNUMBER(SEARCH("、"&amp;B128&amp;"、","、"&amp;IFERROR(INDEX(表單!$I$2:$I$500,MATCH(A128,表單!$A$2:$A$500,0)),"")&amp;"、")))),"⚠ 單元不在適用單元內 ","")&amp;IF(AND(H128="Y",B128=""),"⚠ 排除只能用在單元列 ","")&amp;IF(AND(H128="Y",B128&lt;&gt;"",SUMPRODUCT(($A$2:$A$500=A128)*($C$2:$C$500=C128)*($D$2:$D$500=D128)*($B$2:$B$500=""))=0),"⚠ 排除需對應共用欄位 ","")&amp;IF(AND(ISNUMBER(F128),ISNUMBER(G128),F128&gt;G128),"⚠ 下限大於上限 ","")&amp;IF(SUMPRODUCT((檢查項目!$A$2:$A$500=A128)*(檢查項目!$C$2:$C$500=C128)*(檢查項目!$G$2:$G$500="數值"))=0,"⚠ 該項目不是數值類型 ",""))="","✓",TRIM(IF(SUMPRODUCT(($A$2:$A$500=A128)*($B$2:$B$500=B128)*($C$2:$C$500=C128)*($D$2:$D$500=D128))&gt;1,"⚠ 欄位名稱重複 ","")&amp;IF(AND(B128&lt;&gt;"",NOT(ISNUMBER(SEARCH("、"&amp;B128&amp;"、","、"&amp;IFERROR(INDEX(表單!$I$2:$I$500,MATCH(A128,表單!$A$2:$A$500,0)),"")&amp;"、")))),"⚠ 單元不在適用單元內 ","")&amp;IF(AND(H128="Y",B128=""),"⚠ 排除只能用在單元列 ","")&amp;IF(AND(H128="Y",B128&lt;&gt;"",SUMPRODUCT(($A$2:$A$500=A128)*($C$2:$C$500=C128)*($D$2:$D$500=D128)*($B$2:$B$500=""))=0),"⚠ 排除需對應共用欄位 ","")&amp;IF(AND(ISNUMBER(F128),ISNUMBER(G128),F128&gt;G128),"⚠ 下限大於上限 ","")&amp;IF(SUMPRODUCT((檢查項目!$A$2:$A$500=A128)*(檢查項目!$C$2:$C$500=C128)*(檢查項目!$G$2:$G$500="數值"))=0,"⚠ 該項目不是數值類型 ",""))))</f>
        <v/>
      </c>
    </row>
    <row r="129">
      <c r="I129" s="2">
        <f>IF(A129="","",IFERROR(INDEX(檢查項目!$E$2:$E$500,MATCH(1,INDEX((檢查項目!$A$2:$A$500=A129)*(檢查項目!$C$2:$C$500=C129)*(檢查項目!$B$2:$B$500=B129),0),0)),IFERROR(INDEX(檢查項目!$E$2:$E$500,MATCH(1,INDEX((檢查項目!$A$2:$A$500=A129)*(檢查項目!$C$2:$C$500=C129)*(檢查項目!$B$2:$B$500=""),0),0)),"⚠ 找不到項目")))</f>
        <v/>
      </c>
      <c r="J129" s="2">
        <f>IF(A129="","",IF(B129="","共用",IF(H129="Y","排除（"&amp;B129&amp;"）",IF(SUMPRODUCT(($A$2:$A$500=A129)*($C$2:$C$500=C129)*($D$2:$D$500=D129)*($B$2:$B$500=""))&gt;0,"覆蓋共用（"&amp;B129&amp;"）","單元新增（"&amp;B129&amp;"）"))))</f>
        <v/>
      </c>
      <c r="K129" s="2">
        <f>IF(A129="","",IF(H129="Y","—",IF(AND(F129&lt;&gt;"",G129&lt;&gt;""),F129&amp;" ~ "&amp;G129,IF(G129&lt;&gt;"","≤ "&amp;G129,IF(F129&lt;&gt;"","≥ "&amp;F129,"只記錄、不檢核")))))</f>
        <v/>
      </c>
      <c r="L129" s="2">
        <f>IF(A129="","",IF(TRIM(IF(SUMPRODUCT(($A$2:$A$500=A129)*($B$2:$B$500=B129)*($C$2:$C$500=C129)*($D$2:$D$500=D129))&gt;1,"⚠ 欄位名稱重複 ","")&amp;IF(AND(B129&lt;&gt;"",NOT(ISNUMBER(SEARCH("、"&amp;B129&amp;"、","、"&amp;IFERROR(INDEX(表單!$I$2:$I$500,MATCH(A129,表單!$A$2:$A$500,0)),"")&amp;"、")))),"⚠ 單元不在適用單元內 ","")&amp;IF(AND(H129="Y",B129=""),"⚠ 排除只能用在單元列 ","")&amp;IF(AND(H129="Y",B129&lt;&gt;"",SUMPRODUCT(($A$2:$A$500=A129)*($C$2:$C$500=C129)*($D$2:$D$500=D129)*($B$2:$B$500=""))=0),"⚠ 排除需對應共用欄位 ","")&amp;IF(AND(ISNUMBER(F129),ISNUMBER(G129),F129&gt;G129),"⚠ 下限大於上限 ","")&amp;IF(SUMPRODUCT((檢查項目!$A$2:$A$500=A129)*(檢查項目!$C$2:$C$500=C129)*(檢查項目!$G$2:$G$500="數值"))=0,"⚠ 該項目不是數值類型 ",""))="","✓",TRIM(IF(SUMPRODUCT(($A$2:$A$500=A129)*($B$2:$B$500=B129)*($C$2:$C$500=C129)*($D$2:$D$500=D129))&gt;1,"⚠ 欄位名稱重複 ","")&amp;IF(AND(B129&lt;&gt;"",NOT(ISNUMBER(SEARCH("、"&amp;B129&amp;"、","、"&amp;IFERROR(INDEX(表單!$I$2:$I$500,MATCH(A129,表單!$A$2:$A$500,0)),"")&amp;"、")))),"⚠ 單元不在適用單元內 ","")&amp;IF(AND(H129="Y",B129=""),"⚠ 排除只能用在單元列 ","")&amp;IF(AND(H129="Y",B129&lt;&gt;"",SUMPRODUCT(($A$2:$A$500=A129)*($C$2:$C$500=C129)*($D$2:$D$500=D129)*($B$2:$B$500=""))=0),"⚠ 排除需對應共用欄位 ","")&amp;IF(AND(ISNUMBER(F129),ISNUMBER(G129),F129&gt;G129),"⚠ 下限大於上限 ","")&amp;IF(SUMPRODUCT((檢查項目!$A$2:$A$500=A129)*(檢查項目!$C$2:$C$500=C129)*(檢查項目!$G$2:$G$500="數值"))=0,"⚠ 該項目不是數值類型 ",""))))</f>
        <v/>
      </c>
    </row>
    <row r="130">
      <c r="I130" s="2">
        <f>IF(A130="","",IFERROR(INDEX(檢查項目!$E$2:$E$500,MATCH(1,INDEX((檢查項目!$A$2:$A$500=A130)*(檢查項目!$C$2:$C$500=C130)*(檢查項目!$B$2:$B$500=B130),0),0)),IFERROR(INDEX(檢查項目!$E$2:$E$500,MATCH(1,INDEX((檢查項目!$A$2:$A$500=A130)*(檢查項目!$C$2:$C$500=C130)*(檢查項目!$B$2:$B$500=""),0),0)),"⚠ 找不到項目")))</f>
        <v/>
      </c>
      <c r="J130" s="2">
        <f>IF(A130="","",IF(B130="","共用",IF(H130="Y","排除（"&amp;B130&amp;"）",IF(SUMPRODUCT(($A$2:$A$500=A130)*($C$2:$C$500=C130)*($D$2:$D$500=D130)*($B$2:$B$500=""))&gt;0,"覆蓋共用（"&amp;B130&amp;"）","單元新增（"&amp;B130&amp;"）"))))</f>
        <v/>
      </c>
      <c r="K130" s="2">
        <f>IF(A130="","",IF(H130="Y","—",IF(AND(F130&lt;&gt;"",G130&lt;&gt;""),F130&amp;" ~ "&amp;G130,IF(G130&lt;&gt;"","≤ "&amp;G130,IF(F130&lt;&gt;"","≥ "&amp;F130,"只記錄、不檢核")))))</f>
        <v/>
      </c>
      <c r="L130" s="2">
        <f>IF(A130="","",IF(TRIM(IF(SUMPRODUCT(($A$2:$A$500=A130)*($B$2:$B$500=B130)*($C$2:$C$500=C130)*($D$2:$D$500=D130))&gt;1,"⚠ 欄位名稱重複 ","")&amp;IF(AND(B130&lt;&gt;"",NOT(ISNUMBER(SEARCH("、"&amp;B130&amp;"、","、"&amp;IFERROR(INDEX(表單!$I$2:$I$500,MATCH(A130,表單!$A$2:$A$500,0)),"")&amp;"、")))),"⚠ 單元不在適用單元內 ","")&amp;IF(AND(H130="Y",B130=""),"⚠ 排除只能用在單元列 ","")&amp;IF(AND(H130="Y",B130&lt;&gt;"",SUMPRODUCT(($A$2:$A$500=A130)*($C$2:$C$500=C130)*($D$2:$D$500=D130)*($B$2:$B$500=""))=0),"⚠ 排除需對應共用欄位 ","")&amp;IF(AND(ISNUMBER(F130),ISNUMBER(G130),F130&gt;G130),"⚠ 下限大於上限 ","")&amp;IF(SUMPRODUCT((檢查項目!$A$2:$A$500=A130)*(檢查項目!$C$2:$C$500=C130)*(檢查項目!$G$2:$G$500="數值"))=0,"⚠ 該項目不是數值類型 ",""))="","✓",TRIM(IF(SUMPRODUCT(($A$2:$A$500=A130)*($B$2:$B$500=B130)*($C$2:$C$500=C130)*($D$2:$D$500=D130))&gt;1,"⚠ 欄位名稱重複 ","")&amp;IF(AND(B130&lt;&gt;"",NOT(ISNUMBER(SEARCH("、"&amp;B130&amp;"、","、"&amp;IFERROR(INDEX(表單!$I$2:$I$500,MATCH(A130,表單!$A$2:$A$500,0)),"")&amp;"、")))),"⚠ 單元不在適用單元內 ","")&amp;IF(AND(H130="Y",B130=""),"⚠ 排除只能用在單元列 ","")&amp;IF(AND(H130="Y",B130&lt;&gt;"",SUMPRODUCT(($A$2:$A$500=A130)*($C$2:$C$500=C130)*($D$2:$D$500=D130)*($B$2:$B$500=""))=0),"⚠ 排除需對應共用欄位 ","")&amp;IF(AND(ISNUMBER(F130),ISNUMBER(G130),F130&gt;G130),"⚠ 下限大於上限 ","")&amp;IF(SUMPRODUCT((檢查項目!$A$2:$A$500=A130)*(檢查項目!$C$2:$C$500=C130)*(檢查項目!$G$2:$G$500="數值"))=0,"⚠ 該項目不是數值類型 ",""))))</f>
        <v/>
      </c>
    </row>
    <row r="131">
      <c r="I131" s="2">
        <f>IF(A131="","",IFERROR(INDEX(檢查項目!$E$2:$E$500,MATCH(1,INDEX((檢查項目!$A$2:$A$500=A131)*(檢查項目!$C$2:$C$500=C131)*(檢查項目!$B$2:$B$500=B131),0),0)),IFERROR(INDEX(檢查項目!$E$2:$E$500,MATCH(1,INDEX((檢查項目!$A$2:$A$500=A131)*(檢查項目!$C$2:$C$500=C131)*(檢查項目!$B$2:$B$500=""),0),0)),"⚠ 找不到項目")))</f>
        <v/>
      </c>
      <c r="J131" s="2">
        <f>IF(A131="","",IF(B131="","共用",IF(H131="Y","排除（"&amp;B131&amp;"）",IF(SUMPRODUCT(($A$2:$A$500=A131)*($C$2:$C$500=C131)*($D$2:$D$500=D131)*($B$2:$B$500=""))&gt;0,"覆蓋共用（"&amp;B131&amp;"）","單元新增（"&amp;B131&amp;"）"))))</f>
        <v/>
      </c>
      <c r="K131" s="2">
        <f>IF(A131="","",IF(H131="Y","—",IF(AND(F131&lt;&gt;"",G131&lt;&gt;""),F131&amp;" ~ "&amp;G131,IF(G131&lt;&gt;"","≤ "&amp;G131,IF(F131&lt;&gt;"","≥ "&amp;F131,"只記錄、不檢核")))))</f>
        <v/>
      </c>
      <c r="L131" s="2">
        <f>IF(A131="","",IF(TRIM(IF(SUMPRODUCT(($A$2:$A$500=A131)*($B$2:$B$500=B131)*($C$2:$C$500=C131)*($D$2:$D$500=D131))&gt;1,"⚠ 欄位名稱重複 ","")&amp;IF(AND(B131&lt;&gt;"",NOT(ISNUMBER(SEARCH("、"&amp;B131&amp;"、","、"&amp;IFERROR(INDEX(表單!$I$2:$I$500,MATCH(A131,表單!$A$2:$A$500,0)),"")&amp;"、")))),"⚠ 單元不在適用單元內 ","")&amp;IF(AND(H131="Y",B131=""),"⚠ 排除只能用在單元列 ","")&amp;IF(AND(H131="Y",B131&lt;&gt;"",SUMPRODUCT(($A$2:$A$500=A131)*($C$2:$C$500=C131)*($D$2:$D$500=D131)*($B$2:$B$500=""))=0),"⚠ 排除需對應共用欄位 ","")&amp;IF(AND(ISNUMBER(F131),ISNUMBER(G131),F131&gt;G131),"⚠ 下限大於上限 ","")&amp;IF(SUMPRODUCT((檢查項目!$A$2:$A$500=A131)*(檢查項目!$C$2:$C$500=C131)*(檢查項目!$G$2:$G$500="數值"))=0,"⚠ 該項目不是數值類型 ",""))="","✓",TRIM(IF(SUMPRODUCT(($A$2:$A$500=A131)*($B$2:$B$500=B131)*($C$2:$C$500=C131)*($D$2:$D$500=D131))&gt;1,"⚠ 欄位名稱重複 ","")&amp;IF(AND(B131&lt;&gt;"",NOT(ISNUMBER(SEARCH("、"&amp;B131&amp;"、","、"&amp;IFERROR(INDEX(表單!$I$2:$I$500,MATCH(A131,表單!$A$2:$A$500,0)),"")&amp;"、")))),"⚠ 單元不在適用單元內 ","")&amp;IF(AND(H131="Y",B131=""),"⚠ 排除只能用在單元列 ","")&amp;IF(AND(H131="Y",B131&lt;&gt;"",SUMPRODUCT(($A$2:$A$500=A131)*($C$2:$C$500=C131)*($D$2:$D$500=D131)*($B$2:$B$500=""))=0),"⚠ 排除需對應共用欄位 ","")&amp;IF(AND(ISNUMBER(F131),ISNUMBER(G131),F131&gt;G131),"⚠ 下限大於上限 ","")&amp;IF(SUMPRODUCT((檢查項目!$A$2:$A$500=A131)*(檢查項目!$C$2:$C$500=C131)*(檢查項目!$G$2:$G$500="數值"))=0,"⚠ 該項目不是數值類型 ",""))))</f>
        <v/>
      </c>
    </row>
    <row r="132">
      <c r="I132" s="2">
        <f>IF(A132="","",IFERROR(INDEX(檢查項目!$E$2:$E$500,MATCH(1,INDEX((檢查項目!$A$2:$A$500=A132)*(檢查項目!$C$2:$C$500=C132)*(檢查項目!$B$2:$B$500=B132),0),0)),IFERROR(INDEX(檢查項目!$E$2:$E$500,MATCH(1,INDEX((檢查項目!$A$2:$A$500=A132)*(檢查項目!$C$2:$C$500=C132)*(檢查項目!$B$2:$B$500=""),0),0)),"⚠ 找不到項目")))</f>
        <v/>
      </c>
      <c r="J132" s="2">
        <f>IF(A132="","",IF(B132="","共用",IF(H132="Y","排除（"&amp;B132&amp;"）",IF(SUMPRODUCT(($A$2:$A$500=A132)*($C$2:$C$500=C132)*($D$2:$D$500=D132)*($B$2:$B$500=""))&gt;0,"覆蓋共用（"&amp;B132&amp;"）","單元新增（"&amp;B132&amp;"）"))))</f>
        <v/>
      </c>
      <c r="K132" s="2">
        <f>IF(A132="","",IF(H132="Y","—",IF(AND(F132&lt;&gt;"",G132&lt;&gt;""),F132&amp;" ~ "&amp;G132,IF(G132&lt;&gt;"","≤ "&amp;G132,IF(F132&lt;&gt;"","≥ "&amp;F132,"只記錄、不檢核")))))</f>
        <v/>
      </c>
      <c r="L132" s="2">
        <f>IF(A132="","",IF(TRIM(IF(SUMPRODUCT(($A$2:$A$500=A132)*($B$2:$B$500=B132)*($C$2:$C$500=C132)*($D$2:$D$500=D132))&gt;1,"⚠ 欄位名稱重複 ","")&amp;IF(AND(B132&lt;&gt;"",NOT(ISNUMBER(SEARCH("、"&amp;B132&amp;"、","、"&amp;IFERROR(INDEX(表單!$I$2:$I$500,MATCH(A132,表單!$A$2:$A$500,0)),"")&amp;"、")))),"⚠ 單元不在適用單元內 ","")&amp;IF(AND(H132="Y",B132=""),"⚠ 排除只能用在單元列 ","")&amp;IF(AND(H132="Y",B132&lt;&gt;"",SUMPRODUCT(($A$2:$A$500=A132)*($C$2:$C$500=C132)*($D$2:$D$500=D132)*($B$2:$B$500=""))=0),"⚠ 排除需對應共用欄位 ","")&amp;IF(AND(ISNUMBER(F132),ISNUMBER(G132),F132&gt;G132),"⚠ 下限大於上限 ","")&amp;IF(SUMPRODUCT((檢查項目!$A$2:$A$500=A132)*(檢查項目!$C$2:$C$500=C132)*(檢查項目!$G$2:$G$500="數值"))=0,"⚠ 該項目不是數值類型 ",""))="","✓",TRIM(IF(SUMPRODUCT(($A$2:$A$500=A132)*($B$2:$B$500=B132)*($C$2:$C$500=C132)*($D$2:$D$500=D132))&gt;1,"⚠ 欄位名稱重複 ","")&amp;IF(AND(B132&lt;&gt;"",NOT(ISNUMBER(SEARCH("、"&amp;B132&amp;"、","、"&amp;IFERROR(INDEX(表單!$I$2:$I$500,MATCH(A132,表單!$A$2:$A$500,0)),"")&amp;"、")))),"⚠ 單元不在適用單元內 ","")&amp;IF(AND(H132="Y",B132=""),"⚠ 排除只能用在單元列 ","")&amp;IF(AND(H132="Y",B132&lt;&gt;"",SUMPRODUCT(($A$2:$A$500=A132)*($C$2:$C$500=C132)*($D$2:$D$500=D132)*($B$2:$B$500=""))=0),"⚠ 排除需對應共用欄位 ","")&amp;IF(AND(ISNUMBER(F132),ISNUMBER(G132),F132&gt;G132),"⚠ 下限大於上限 ","")&amp;IF(SUMPRODUCT((檢查項目!$A$2:$A$500=A132)*(檢查項目!$C$2:$C$500=C132)*(檢查項目!$G$2:$G$500="數值"))=0,"⚠ 該項目不是數值類型 ",""))))</f>
        <v/>
      </c>
    </row>
    <row r="133">
      <c r="I133" s="2">
        <f>IF(A133="","",IFERROR(INDEX(檢查項目!$E$2:$E$500,MATCH(1,INDEX((檢查項目!$A$2:$A$500=A133)*(檢查項目!$C$2:$C$500=C133)*(檢查項目!$B$2:$B$500=B133),0),0)),IFERROR(INDEX(檢查項目!$E$2:$E$500,MATCH(1,INDEX((檢查項目!$A$2:$A$500=A133)*(檢查項目!$C$2:$C$500=C133)*(檢查項目!$B$2:$B$500=""),0),0)),"⚠ 找不到項目")))</f>
        <v/>
      </c>
      <c r="J133" s="2">
        <f>IF(A133="","",IF(B133="","共用",IF(H133="Y","排除（"&amp;B133&amp;"）",IF(SUMPRODUCT(($A$2:$A$500=A133)*($C$2:$C$500=C133)*($D$2:$D$500=D133)*($B$2:$B$500=""))&gt;0,"覆蓋共用（"&amp;B133&amp;"）","單元新增（"&amp;B133&amp;"）"))))</f>
        <v/>
      </c>
      <c r="K133" s="2">
        <f>IF(A133="","",IF(H133="Y","—",IF(AND(F133&lt;&gt;"",G133&lt;&gt;""),F133&amp;" ~ "&amp;G133,IF(G133&lt;&gt;"","≤ "&amp;G133,IF(F133&lt;&gt;"","≥ "&amp;F133,"只記錄、不檢核")))))</f>
        <v/>
      </c>
      <c r="L133" s="2">
        <f>IF(A133="","",IF(TRIM(IF(SUMPRODUCT(($A$2:$A$500=A133)*($B$2:$B$500=B133)*($C$2:$C$500=C133)*($D$2:$D$500=D133))&gt;1,"⚠ 欄位名稱重複 ","")&amp;IF(AND(B133&lt;&gt;"",NOT(ISNUMBER(SEARCH("、"&amp;B133&amp;"、","、"&amp;IFERROR(INDEX(表單!$I$2:$I$500,MATCH(A133,表單!$A$2:$A$500,0)),"")&amp;"、")))),"⚠ 單元不在適用單元內 ","")&amp;IF(AND(H133="Y",B133=""),"⚠ 排除只能用在單元列 ","")&amp;IF(AND(H133="Y",B133&lt;&gt;"",SUMPRODUCT(($A$2:$A$500=A133)*($C$2:$C$500=C133)*($D$2:$D$500=D133)*($B$2:$B$500=""))=0),"⚠ 排除需對應共用欄位 ","")&amp;IF(AND(ISNUMBER(F133),ISNUMBER(G133),F133&gt;G133),"⚠ 下限大於上限 ","")&amp;IF(SUMPRODUCT((檢查項目!$A$2:$A$500=A133)*(檢查項目!$C$2:$C$500=C133)*(檢查項目!$G$2:$G$500="數值"))=0,"⚠ 該項目不是數值類型 ",""))="","✓",TRIM(IF(SUMPRODUCT(($A$2:$A$500=A133)*($B$2:$B$500=B133)*($C$2:$C$500=C133)*($D$2:$D$500=D133))&gt;1,"⚠ 欄位名稱重複 ","")&amp;IF(AND(B133&lt;&gt;"",NOT(ISNUMBER(SEARCH("、"&amp;B133&amp;"、","、"&amp;IFERROR(INDEX(表單!$I$2:$I$500,MATCH(A133,表單!$A$2:$A$500,0)),"")&amp;"、")))),"⚠ 單元不在適用單元內 ","")&amp;IF(AND(H133="Y",B133=""),"⚠ 排除只能用在單元列 ","")&amp;IF(AND(H133="Y",B133&lt;&gt;"",SUMPRODUCT(($A$2:$A$500=A133)*($C$2:$C$500=C133)*($D$2:$D$500=D133)*($B$2:$B$500=""))=0),"⚠ 排除需對應共用欄位 ","")&amp;IF(AND(ISNUMBER(F133),ISNUMBER(G133),F133&gt;G133),"⚠ 下限大於上限 ","")&amp;IF(SUMPRODUCT((檢查項目!$A$2:$A$500=A133)*(檢查項目!$C$2:$C$500=C133)*(檢查項目!$G$2:$G$500="數值"))=0,"⚠ 該項目不是數值類型 ",""))))</f>
        <v/>
      </c>
    </row>
    <row r="134">
      <c r="I134" s="2">
        <f>IF(A134="","",IFERROR(INDEX(檢查項目!$E$2:$E$500,MATCH(1,INDEX((檢查項目!$A$2:$A$500=A134)*(檢查項目!$C$2:$C$500=C134)*(檢查項目!$B$2:$B$500=B134),0),0)),IFERROR(INDEX(檢查項目!$E$2:$E$500,MATCH(1,INDEX((檢查項目!$A$2:$A$500=A134)*(檢查項目!$C$2:$C$500=C134)*(檢查項目!$B$2:$B$500=""),0),0)),"⚠ 找不到項目")))</f>
        <v/>
      </c>
      <c r="J134" s="2">
        <f>IF(A134="","",IF(B134="","共用",IF(H134="Y","排除（"&amp;B134&amp;"）",IF(SUMPRODUCT(($A$2:$A$500=A134)*($C$2:$C$500=C134)*($D$2:$D$500=D134)*($B$2:$B$500=""))&gt;0,"覆蓋共用（"&amp;B134&amp;"）","單元新增（"&amp;B134&amp;"）"))))</f>
        <v/>
      </c>
      <c r="K134" s="2">
        <f>IF(A134="","",IF(H134="Y","—",IF(AND(F134&lt;&gt;"",G134&lt;&gt;""),F134&amp;" ~ "&amp;G134,IF(G134&lt;&gt;"","≤ "&amp;G134,IF(F134&lt;&gt;"","≥ "&amp;F134,"只記錄、不檢核")))))</f>
        <v/>
      </c>
      <c r="L134" s="2">
        <f>IF(A134="","",IF(TRIM(IF(SUMPRODUCT(($A$2:$A$500=A134)*($B$2:$B$500=B134)*($C$2:$C$500=C134)*($D$2:$D$500=D134))&gt;1,"⚠ 欄位名稱重複 ","")&amp;IF(AND(B134&lt;&gt;"",NOT(ISNUMBER(SEARCH("、"&amp;B134&amp;"、","、"&amp;IFERROR(INDEX(表單!$I$2:$I$500,MATCH(A134,表單!$A$2:$A$500,0)),"")&amp;"、")))),"⚠ 單元不在適用單元內 ","")&amp;IF(AND(H134="Y",B134=""),"⚠ 排除只能用在單元列 ","")&amp;IF(AND(H134="Y",B134&lt;&gt;"",SUMPRODUCT(($A$2:$A$500=A134)*($C$2:$C$500=C134)*($D$2:$D$500=D134)*($B$2:$B$500=""))=0),"⚠ 排除需對應共用欄位 ","")&amp;IF(AND(ISNUMBER(F134),ISNUMBER(G134),F134&gt;G134),"⚠ 下限大於上限 ","")&amp;IF(SUMPRODUCT((檢查項目!$A$2:$A$500=A134)*(檢查項目!$C$2:$C$500=C134)*(檢查項目!$G$2:$G$500="數值"))=0,"⚠ 該項目不是數值類型 ",""))="","✓",TRIM(IF(SUMPRODUCT(($A$2:$A$500=A134)*($B$2:$B$500=B134)*($C$2:$C$500=C134)*($D$2:$D$500=D134))&gt;1,"⚠ 欄位名稱重複 ","")&amp;IF(AND(B134&lt;&gt;"",NOT(ISNUMBER(SEARCH("、"&amp;B134&amp;"、","、"&amp;IFERROR(INDEX(表單!$I$2:$I$500,MATCH(A134,表單!$A$2:$A$500,0)),"")&amp;"、")))),"⚠ 單元不在適用單元內 ","")&amp;IF(AND(H134="Y",B134=""),"⚠ 排除只能用在單元列 ","")&amp;IF(AND(H134="Y",B134&lt;&gt;"",SUMPRODUCT(($A$2:$A$500=A134)*($C$2:$C$500=C134)*($D$2:$D$500=D134)*($B$2:$B$500=""))=0),"⚠ 排除需對應共用欄位 ","")&amp;IF(AND(ISNUMBER(F134),ISNUMBER(G134),F134&gt;G134),"⚠ 下限大於上限 ","")&amp;IF(SUMPRODUCT((檢查項目!$A$2:$A$500=A134)*(檢查項目!$C$2:$C$500=C134)*(檢查項目!$G$2:$G$500="數值"))=0,"⚠ 該項目不是數值類型 ",""))))</f>
        <v/>
      </c>
    </row>
    <row r="135">
      <c r="I135" s="2">
        <f>IF(A135="","",IFERROR(INDEX(檢查項目!$E$2:$E$500,MATCH(1,INDEX((檢查項目!$A$2:$A$500=A135)*(檢查項目!$C$2:$C$500=C135)*(檢查項目!$B$2:$B$500=B135),0),0)),IFERROR(INDEX(檢查項目!$E$2:$E$500,MATCH(1,INDEX((檢查項目!$A$2:$A$500=A135)*(檢查項目!$C$2:$C$500=C135)*(檢查項目!$B$2:$B$500=""),0),0)),"⚠ 找不到項目")))</f>
        <v/>
      </c>
      <c r="J135" s="2">
        <f>IF(A135="","",IF(B135="","共用",IF(H135="Y","排除（"&amp;B135&amp;"）",IF(SUMPRODUCT(($A$2:$A$500=A135)*($C$2:$C$500=C135)*($D$2:$D$500=D135)*($B$2:$B$500=""))&gt;0,"覆蓋共用（"&amp;B135&amp;"）","單元新增（"&amp;B135&amp;"）"))))</f>
        <v/>
      </c>
      <c r="K135" s="2">
        <f>IF(A135="","",IF(H135="Y","—",IF(AND(F135&lt;&gt;"",G135&lt;&gt;""),F135&amp;" ~ "&amp;G135,IF(G135&lt;&gt;"","≤ "&amp;G135,IF(F135&lt;&gt;"","≥ "&amp;F135,"只記錄、不檢核")))))</f>
        <v/>
      </c>
      <c r="L135" s="2">
        <f>IF(A135="","",IF(TRIM(IF(SUMPRODUCT(($A$2:$A$500=A135)*($B$2:$B$500=B135)*($C$2:$C$500=C135)*($D$2:$D$500=D135))&gt;1,"⚠ 欄位名稱重複 ","")&amp;IF(AND(B135&lt;&gt;"",NOT(ISNUMBER(SEARCH("、"&amp;B135&amp;"、","、"&amp;IFERROR(INDEX(表單!$I$2:$I$500,MATCH(A135,表單!$A$2:$A$500,0)),"")&amp;"、")))),"⚠ 單元不在適用單元內 ","")&amp;IF(AND(H135="Y",B135=""),"⚠ 排除只能用在單元列 ","")&amp;IF(AND(H135="Y",B135&lt;&gt;"",SUMPRODUCT(($A$2:$A$500=A135)*($C$2:$C$500=C135)*($D$2:$D$500=D135)*($B$2:$B$500=""))=0),"⚠ 排除需對應共用欄位 ","")&amp;IF(AND(ISNUMBER(F135),ISNUMBER(G135),F135&gt;G135),"⚠ 下限大於上限 ","")&amp;IF(SUMPRODUCT((檢查項目!$A$2:$A$500=A135)*(檢查項目!$C$2:$C$500=C135)*(檢查項目!$G$2:$G$500="數值"))=0,"⚠ 該項目不是數值類型 ",""))="","✓",TRIM(IF(SUMPRODUCT(($A$2:$A$500=A135)*($B$2:$B$500=B135)*($C$2:$C$500=C135)*($D$2:$D$500=D135))&gt;1,"⚠ 欄位名稱重複 ","")&amp;IF(AND(B135&lt;&gt;"",NOT(ISNUMBER(SEARCH("、"&amp;B135&amp;"、","、"&amp;IFERROR(INDEX(表單!$I$2:$I$500,MATCH(A135,表單!$A$2:$A$500,0)),"")&amp;"、")))),"⚠ 單元不在適用單元內 ","")&amp;IF(AND(H135="Y",B135=""),"⚠ 排除只能用在單元列 ","")&amp;IF(AND(H135="Y",B135&lt;&gt;"",SUMPRODUCT(($A$2:$A$500=A135)*($C$2:$C$500=C135)*($D$2:$D$500=D135)*($B$2:$B$500=""))=0),"⚠ 排除需對應共用欄位 ","")&amp;IF(AND(ISNUMBER(F135),ISNUMBER(G135),F135&gt;G135),"⚠ 下限大於上限 ","")&amp;IF(SUMPRODUCT((檢查項目!$A$2:$A$500=A135)*(檢查項目!$C$2:$C$500=C135)*(檢查項目!$G$2:$G$500="數值"))=0,"⚠ 該項目不是數值類型 ",""))))</f>
        <v/>
      </c>
    </row>
    <row r="136">
      <c r="I136" s="2">
        <f>IF(A136="","",IFERROR(INDEX(檢查項目!$E$2:$E$500,MATCH(1,INDEX((檢查項目!$A$2:$A$500=A136)*(檢查項目!$C$2:$C$500=C136)*(檢查項目!$B$2:$B$500=B136),0),0)),IFERROR(INDEX(檢查項目!$E$2:$E$500,MATCH(1,INDEX((檢查項目!$A$2:$A$500=A136)*(檢查項目!$C$2:$C$500=C136)*(檢查項目!$B$2:$B$500=""),0),0)),"⚠ 找不到項目")))</f>
        <v/>
      </c>
      <c r="J136" s="2">
        <f>IF(A136="","",IF(B136="","共用",IF(H136="Y","排除（"&amp;B136&amp;"）",IF(SUMPRODUCT(($A$2:$A$500=A136)*($C$2:$C$500=C136)*($D$2:$D$500=D136)*($B$2:$B$500=""))&gt;0,"覆蓋共用（"&amp;B136&amp;"）","單元新增（"&amp;B136&amp;"）"))))</f>
        <v/>
      </c>
      <c r="K136" s="2">
        <f>IF(A136="","",IF(H136="Y","—",IF(AND(F136&lt;&gt;"",G136&lt;&gt;""),F136&amp;" ~ "&amp;G136,IF(G136&lt;&gt;"","≤ "&amp;G136,IF(F136&lt;&gt;"","≥ "&amp;F136,"只記錄、不檢核")))))</f>
        <v/>
      </c>
      <c r="L136" s="2">
        <f>IF(A136="","",IF(TRIM(IF(SUMPRODUCT(($A$2:$A$500=A136)*($B$2:$B$500=B136)*($C$2:$C$500=C136)*($D$2:$D$500=D136))&gt;1,"⚠ 欄位名稱重複 ","")&amp;IF(AND(B136&lt;&gt;"",NOT(ISNUMBER(SEARCH("、"&amp;B136&amp;"、","、"&amp;IFERROR(INDEX(表單!$I$2:$I$500,MATCH(A136,表單!$A$2:$A$500,0)),"")&amp;"、")))),"⚠ 單元不在適用單元內 ","")&amp;IF(AND(H136="Y",B136=""),"⚠ 排除只能用在單元列 ","")&amp;IF(AND(H136="Y",B136&lt;&gt;"",SUMPRODUCT(($A$2:$A$500=A136)*($C$2:$C$500=C136)*($D$2:$D$500=D136)*($B$2:$B$500=""))=0),"⚠ 排除需對應共用欄位 ","")&amp;IF(AND(ISNUMBER(F136),ISNUMBER(G136),F136&gt;G136),"⚠ 下限大於上限 ","")&amp;IF(SUMPRODUCT((檢查項目!$A$2:$A$500=A136)*(檢查項目!$C$2:$C$500=C136)*(檢查項目!$G$2:$G$500="數值"))=0,"⚠ 該項目不是數值類型 ",""))="","✓",TRIM(IF(SUMPRODUCT(($A$2:$A$500=A136)*($B$2:$B$500=B136)*($C$2:$C$500=C136)*($D$2:$D$500=D136))&gt;1,"⚠ 欄位名稱重複 ","")&amp;IF(AND(B136&lt;&gt;"",NOT(ISNUMBER(SEARCH("、"&amp;B136&amp;"、","、"&amp;IFERROR(INDEX(表單!$I$2:$I$500,MATCH(A136,表單!$A$2:$A$500,0)),"")&amp;"、")))),"⚠ 單元不在適用單元內 ","")&amp;IF(AND(H136="Y",B136=""),"⚠ 排除只能用在單元列 ","")&amp;IF(AND(H136="Y",B136&lt;&gt;"",SUMPRODUCT(($A$2:$A$500=A136)*($C$2:$C$500=C136)*($D$2:$D$500=D136)*($B$2:$B$500=""))=0),"⚠ 排除需對應共用欄位 ","")&amp;IF(AND(ISNUMBER(F136),ISNUMBER(G136),F136&gt;G136),"⚠ 下限大於上限 ","")&amp;IF(SUMPRODUCT((檢查項目!$A$2:$A$500=A136)*(檢查項目!$C$2:$C$500=C136)*(檢查項目!$G$2:$G$500="數值"))=0,"⚠ 該項目不是數值類型 ",""))))</f>
        <v/>
      </c>
    </row>
    <row r="137">
      <c r="I137" s="2">
        <f>IF(A137="","",IFERROR(INDEX(檢查項目!$E$2:$E$500,MATCH(1,INDEX((檢查項目!$A$2:$A$500=A137)*(檢查項目!$C$2:$C$500=C137)*(檢查項目!$B$2:$B$500=B137),0),0)),IFERROR(INDEX(檢查項目!$E$2:$E$500,MATCH(1,INDEX((檢查項目!$A$2:$A$500=A137)*(檢查項目!$C$2:$C$500=C137)*(檢查項目!$B$2:$B$500=""),0),0)),"⚠ 找不到項目")))</f>
        <v/>
      </c>
      <c r="J137" s="2">
        <f>IF(A137="","",IF(B137="","共用",IF(H137="Y","排除（"&amp;B137&amp;"）",IF(SUMPRODUCT(($A$2:$A$500=A137)*($C$2:$C$500=C137)*($D$2:$D$500=D137)*($B$2:$B$500=""))&gt;0,"覆蓋共用（"&amp;B137&amp;"）","單元新增（"&amp;B137&amp;"）"))))</f>
        <v/>
      </c>
      <c r="K137" s="2">
        <f>IF(A137="","",IF(H137="Y","—",IF(AND(F137&lt;&gt;"",G137&lt;&gt;""),F137&amp;" ~ "&amp;G137,IF(G137&lt;&gt;"","≤ "&amp;G137,IF(F137&lt;&gt;"","≥ "&amp;F137,"只記錄、不檢核")))))</f>
        <v/>
      </c>
      <c r="L137" s="2">
        <f>IF(A137="","",IF(TRIM(IF(SUMPRODUCT(($A$2:$A$500=A137)*($B$2:$B$500=B137)*($C$2:$C$500=C137)*($D$2:$D$500=D137))&gt;1,"⚠ 欄位名稱重複 ","")&amp;IF(AND(B137&lt;&gt;"",NOT(ISNUMBER(SEARCH("、"&amp;B137&amp;"、","、"&amp;IFERROR(INDEX(表單!$I$2:$I$500,MATCH(A137,表單!$A$2:$A$500,0)),"")&amp;"、")))),"⚠ 單元不在適用單元內 ","")&amp;IF(AND(H137="Y",B137=""),"⚠ 排除只能用在單元列 ","")&amp;IF(AND(H137="Y",B137&lt;&gt;"",SUMPRODUCT(($A$2:$A$500=A137)*($C$2:$C$500=C137)*($D$2:$D$500=D137)*($B$2:$B$500=""))=0),"⚠ 排除需對應共用欄位 ","")&amp;IF(AND(ISNUMBER(F137),ISNUMBER(G137),F137&gt;G137),"⚠ 下限大於上限 ","")&amp;IF(SUMPRODUCT((檢查項目!$A$2:$A$500=A137)*(檢查項目!$C$2:$C$500=C137)*(檢查項目!$G$2:$G$500="數值"))=0,"⚠ 該項目不是數值類型 ",""))="","✓",TRIM(IF(SUMPRODUCT(($A$2:$A$500=A137)*($B$2:$B$500=B137)*($C$2:$C$500=C137)*($D$2:$D$500=D137))&gt;1,"⚠ 欄位名稱重複 ","")&amp;IF(AND(B137&lt;&gt;"",NOT(ISNUMBER(SEARCH("、"&amp;B137&amp;"、","、"&amp;IFERROR(INDEX(表單!$I$2:$I$500,MATCH(A137,表單!$A$2:$A$500,0)),"")&amp;"、")))),"⚠ 單元不在適用單元內 ","")&amp;IF(AND(H137="Y",B137=""),"⚠ 排除只能用在單元列 ","")&amp;IF(AND(H137="Y",B137&lt;&gt;"",SUMPRODUCT(($A$2:$A$500=A137)*($C$2:$C$500=C137)*($D$2:$D$500=D137)*($B$2:$B$500=""))=0),"⚠ 排除需對應共用欄位 ","")&amp;IF(AND(ISNUMBER(F137),ISNUMBER(G137),F137&gt;G137),"⚠ 下限大於上限 ","")&amp;IF(SUMPRODUCT((檢查項目!$A$2:$A$500=A137)*(檢查項目!$C$2:$C$500=C137)*(檢查項目!$G$2:$G$500="數值"))=0,"⚠ 該項目不是數值類型 ",""))))</f>
        <v/>
      </c>
    </row>
    <row r="138">
      <c r="I138" s="2">
        <f>IF(A138="","",IFERROR(INDEX(檢查項目!$E$2:$E$500,MATCH(1,INDEX((檢查項目!$A$2:$A$500=A138)*(檢查項目!$C$2:$C$500=C138)*(檢查項目!$B$2:$B$500=B138),0),0)),IFERROR(INDEX(檢查項目!$E$2:$E$500,MATCH(1,INDEX((檢查項目!$A$2:$A$500=A138)*(檢查項目!$C$2:$C$500=C138)*(檢查項目!$B$2:$B$500=""),0),0)),"⚠ 找不到項目")))</f>
        <v/>
      </c>
      <c r="J138" s="2">
        <f>IF(A138="","",IF(B138="","共用",IF(H138="Y","排除（"&amp;B138&amp;"）",IF(SUMPRODUCT(($A$2:$A$500=A138)*($C$2:$C$500=C138)*($D$2:$D$500=D138)*($B$2:$B$500=""))&gt;0,"覆蓋共用（"&amp;B138&amp;"）","單元新增（"&amp;B138&amp;"）"))))</f>
        <v/>
      </c>
      <c r="K138" s="2">
        <f>IF(A138="","",IF(H138="Y","—",IF(AND(F138&lt;&gt;"",G138&lt;&gt;""),F138&amp;" ~ "&amp;G138,IF(G138&lt;&gt;"","≤ "&amp;G138,IF(F138&lt;&gt;"","≥ "&amp;F138,"只記錄、不檢核")))))</f>
        <v/>
      </c>
      <c r="L138" s="2">
        <f>IF(A138="","",IF(TRIM(IF(SUMPRODUCT(($A$2:$A$500=A138)*($B$2:$B$500=B138)*($C$2:$C$500=C138)*($D$2:$D$500=D138))&gt;1,"⚠ 欄位名稱重複 ","")&amp;IF(AND(B138&lt;&gt;"",NOT(ISNUMBER(SEARCH("、"&amp;B138&amp;"、","、"&amp;IFERROR(INDEX(表單!$I$2:$I$500,MATCH(A138,表單!$A$2:$A$500,0)),"")&amp;"、")))),"⚠ 單元不在適用單元內 ","")&amp;IF(AND(H138="Y",B138=""),"⚠ 排除只能用在單元列 ","")&amp;IF(AND(H138="Y",B138&lt;&gt;"",SUMPRODUCT(($A$2:$A$500=A138)*($C$2:$C$500=C138)*($D$2:$D$500=D138)*($B$2:$B$500=""))=0),"⚠ 排除需對應共用欄位 ","")&amp;IF(AND(ISNUMBER(F138),ISNUMBER(G138),F138&gt;G138),"⚠ 下限大於上限 ","")&amp;IF(SUMPRODUCT((檢查項目!$A$2:$A$500=A138)*(檢查項目!$C$2:$C$500=C138)*(檢查項目!$G$2:$G$500="數值"))=0,"⚠ 該項目不是數值類型 ",""))="","✓",TRIM(IF(SUMPRODUCT(($A$2:$A$500=A138)*($B$2:$B$500=B138)*($C$2:$C$500=C138)*($D$2:$D$500=D138))&gt;1,"⚠ 欄位名稱重複 ","")&amp;IF(AND(B138&lt;&gt;"",NOT(ISNUMBER(SEARCH("、"&amp;B138&amp;"、","、"&amp;IFERROR(INDEX(表單!$I$2:$I$500,MATCH(A138,表單!$A$2:$A$500,0)),"")&amp;"、")))),"⚠ 單元不在適用單元內 ","")&amp;IF(AND(H138="Y",B138=""),"⚠ 排除只能用在單元列 ","")&amp;IF(AND(H138="Y",B138&lt;&gt;"",SUMPRODUCT(($A$2:$A$500=A138)*($C$2:$C$500=C138)*($D$2:$D$500=D138)*($B$2:$B$500=""))=0),"⚠ 排除需對應共用欄位 ","")&amp;IF(AND(ISNUMBER(F138),ISNUMBER(G138),F138&gt;G138),"⚠ 下限大於上限 ","")&amp;IF(SUMPRODUCT((檢查項目!$A$2:$A$500=A138)*(檢查項目!$C$2:$C$500=C138)*(檢查項目!$G$2:$G$500="數值"))=0,"⚠ 該項目不是數值類型 ",""))))</f>
        <v/>
      </c>
    </row>
    <row r="139">
      <c r="I139" s="2">
        <f>IF(A139="","",IFERROR(INDEX(檢查項目!$E$2:$E$500,MATCH(1,INDEX((檢查項目!$A$2:$A$500=A139)*(檢查項目!$C$2:$C$500=C139)*(檢查項目!$B$2:$B$500=B139),0),0)),IFERROR(INDEX(檢查項目!$E$2:$E$500,MATCH(1,INDEX((檢查項目!$A$2:$A$500=A139)*(檢查項目!$C$2:$C$500=C139)*(檢查項目!$B$2:$B$500=""),0),0)),"⚠ 找不到項目")))</f>
        <v/>
      </c>
      <c r="J139" s="2">
        <f>IF(A139="","",IF(B139="","共用",IF(H139="Y","排除（"&amp;B139&amp;"）",IF(SUMPRODUCT(($A$2:$A$500=A139)*($C$2:$C$500=C139)*($D$2:$D$500=D139)*($B$2:$B$500=""))&gt;0,"覆蓋共用（"&amp;B139&amp;"）","單元新增（"&amp;B139&amp;"）"))))</f>
        <v/>
      </c>
      <c r="K139" s="2">
        <f>IF(A139="","",IF(H139="Y","—",IF(AND(F139&lt;&gt;"",G139&lt;&gt;""),F139&amp;" ~ "&amp;G139,IF(G139&lt;&gt;"","≤ "&amp;G139,IF(F139&lt;&gt;"","≥ "&amp;F139,"只記錄、不檢核")))))</f>
        <v/>
      </c>
      <c r="L139" s="2">
        <f>IF(A139="","",IF(TRIM(IF(SUMPRODUCT(($A$2:$A$500=A139)*($B$2:$B$500=B139)*($C$2:$C$500=C139)*($D$2:$D$500=D139))&gt;1,"⚠ 欄位名稱重複 ","")&amp;IF(AND(B139&lt;&gt;"",NOT(ISNUMBER(SEARCH("、"&amp;B139&amp;"、","、"&amp;IFERROR(INDEX(表單!$I$2:$I$500,MATCH(A139,表單!$A$2:$A$500,0)),"")&amp;"、")))),"⚠ 單元不在適用單元內 ","")&amp;IF(AND(H139="Y",B139=""),"⚠ 排除只能用在單元列 ","")&amp;IF(AND(H139="Y",B139&lt;&gt;"",SUMPRODUCT(($A$2:$A$500=A139)*($C$2:$C$500=C139)*($D$2:$D$500=D139)*($B$2:$B$500=""))=0),"⚠ 排除需對應共用欄位 ","")&amp;IF(AND(ISNUMBER(F139),ISNUMBER(G139),F139&gt;G139),"⚠ 下限大於上限 ","")&amp;IF(SUMPRODUCT((檢查項目!$A$2:$A$500=A139)*(檢查項目!$C$2:$C$500=C139)*(檢查項目!$G$2:$G$500="數值"))=0,"⚠ 該項目不是數值類型 ",""))="","✓",TRIM(IF(SUMPRODUCT(($A$2:$A$500=A139)*($B$2:$B$500=B139)*($C$2:$C$500=C139)*($D$2:$D$500=D139))&gt;1,"⚠ 欄位名稱重複 ","")&amp;IF(AND(B139&lt;&gt;"",NOT(ISNUMBER(SEARCH("、"&amp;B139&amp;"、","、"&amp;IFERROR(INDEX(表單!$I$2:$I$500,MATCH(A139,表單!$A$2:$A$500,0)),"")&amp;"、")))),"⚠ 單元不在適用單元內 ","")&amp;IF(AND(H139="Y",B139=""),"⚠ 排除只能用在單元列 ","")&amp;IF(AND(H139="Y",B139&lt;&gt;"",SUMPRODUCT(($A$2:$A$500=A139)*($C$2:$C$500=C139)*($D$2:$D$500=D139)*($B$2:$B$500=""))=0),"⚠ 排除需對應共用欄位 ","")&amp;IF(AND(ISNUMBER(F139),ISNUMBER(G139),F139&gt;G139),"⚠ 下限大於上限 ","")&amp;IF(SUMPRODUCT((檢查項目!$A$2:$A$500=A139)*(檢查項目!$C$2:$C$500=C139)*(檢查項目!$G$2:$G$500="數值"))=0,"⚠ 該項目不是數值類型 ",""))))</f>
        <v/>
      </c>
    </row>
    <row r="140">
      <c r="I140" s="2">
        <f>IF(A140="","",IFERROR(INDEX(檢查項目!$E$2:$E$500,MATCH(1,INDEX((檢查項目!$A$2:$A$500=A140)*(檢查項目!$C$2:$C$500=C140)*(檢查項目!$B$2:$B$500=B140),0),0)),IFERROR(INDEX(檢查項目!$E$2:$E$500,MATCH(1,INDEX((檢查項目!$A$2:$A$500=A140)*(檢查項目!$C$2:$C$500=C140)*(檢查項目!$B$2:$B$500=""),0),0)),"⚠ 找不到項目")))</f>
        <v/>
      </c>
      <c r="J140" s="2">
        <f>IF(A140="","",IF(B140="","共用",IF(H140="Y","排除（"&amp;B140&amp;"）",IF(SUMPRODUCT(($A$2:$A$500=A140)*($C$2:$C$500=C140)*($D$2:$D$500=D140)*($B$2:$B$500=""))&gt;0,"覆蓋共用（"&amp;B140&amp;"）","單元新增（"&amp;B140&amp;"）"))))</f>
        <v/>
      </c>
      <c r="K140" s="2">
        <f>IF(A140="","",IF(H140="Y","—",IF(AND(F140&lt;&gt;"",G140&lt;&gt;""),F140&amp;" ~ "&amp;G140,IF(G140&lt;&gt;"","≤ "&amp;G140,IF(F140&lt;&gt;"","≥ "&amp;F140,"只記錄、不檢核")))))</f>
        <v/>
      </c>
      <c r="L140" s="2">
        <f>IF(A140="","",IF(TRIM(IF(SUMPRODUCT(($A$2:$A$500=A140)*($B$2:$B$500=B140)*($C$2:$C$500=C140)*($D$2:$D$500=D140))&gt;1,"⚠ 欄位名稱重複 ","")&amp;IF(AND(B140&lt;&gt;"",NOT(ISNUMBER(SEARCH("、"&amp;B140&amp;"、","、"&amp;IFERROR(INDEX(表單!$I$2:$I$500,MATCH(A140,表單!$A$2:$A$500,0)),"")&amp;"、")))),"⚠ 單元不在適用單元內 ","")&amp;IF(AND(H140="Y",B140=""),"⚠ 排除只能用在單元列 ","")&amp;IF(AND(H140="Y",B140&lt;&gt;"",SUMPRODUCT(($A$2:$A$500=A140)*($C$2:$C$500=C140)*($D$2:$D$500=D140)*($B$2:$B$500=""))=0),"⚠ 排除需對應共用欄位 ","")&amp;IF(AND(ISNUMBER(F140),ISNUMBER(G140),F140&gt;G140),"⚠ 下限大於上限 ","")&amp;IF(SUMPRODUCT((檢查項目!$A$2:$A$500=A140)*(檢查項目!$C$2:$C$500=C140)*(檢查項目!$G$2:$G$500="數值"))=0,"⚠ 該項目不是數值類型 ",""))="","✓",TRIM(IF(SUMPRODUCT(($A$2:$A$500=A140)*($B$2:$B$500=B140)*($C$2:$C$500=C140)*($D$2:$D$500=D140))&gt;1,"⚠ 欄位名稱重複 ","")&amp;IF(AND(B140&lt;&gt;"",NOT(ISNUMBER(SEARCH("、"&amp;B140&amp;"、","、"&amp;IFERROR(INDEX(表單!$I$2:$I$500,MATCH(A140,表單!$A$2:$A$500,0)),"")&amp;"、")))),"⚠ 單元不在適用單元內 ","")&amp;IF(AND(H140="Y",B140=""),"⚠ 排除只能用在單元列 ","")&amp;IF(AND(H140="Y",B140&lt;&gt;"",SUMPRODUCT(($A$2:$A$500=A140)*($C$2:$C$500=C140)*($D$2:$D$500=D140)*($B$2:$B$500=""))=0),"⚠ 排除需對應共用欄位 ","")&amp;IF(AND(ISNUMBER(F140),ISNUMBER(G140),F140&gt;G140),"⚠ 下限大於上限 ","")&amp;IF(SUMPRODUCT((檢查項目!$A$2:$A$500=A140)*(檢查項目!$C$2:$C$500=C140)*(檢查項目!$G$2:$G$500="數值"))=0,"⚠ 該項目不是數值類型 ",""))))</f>
        <v/>
      </c>
    </row>
    <row r="141">
      <c r="I141" s="2">
        <f>IF(A141="","",IFERROR(INDEX(檢查項目!$E$2:$E$500,MATCH(1,INDEX((檢查項目!$A$2:$A$500=A141)*(檢查項目!$C$2:$C$500=C141)*(檢查項目!$B$2:$B$500=B141),0),0)),IFERROR(INDEX(檢查項目!$E$2:$E$500,MATCH(1,INDEX((檢查項目!$A$2:$A$500=A141)*(檢查項目!$C$2:$C$500=C141)*(檢查項目!$B$2:$B$500=""),0),0)),"⚠ 找不到項目")))</f>
        <v/>
      </c>
      <c r="J141" s="2">
        <f>IF(A141="","",IF(B141="","共用",IF(H141="Y","排除（"&amp;B141&amp;"）",IF(SUMPRODUCT(($A$2:$A$500=A141)*($C$2:$C$500=C141)*($D$2:$D$500=D141)*($B$2:$B$500=""))&gt;0,"覆蓋共用（"&amp;B141&amp;"）","單元新增（"&amp;B141&amp;"）"))))</f>
        <v/>
      </c>
      <c r="K141" s="2">
        <f>IF(A141="","",IF(H141="Y","—",IF(AND(F141&lt;&gt;"",G141&lt;&gt;""),F141&amp;" ~ "&amp;G141,IF(G141&lt;&gt;"","≤ "&amp;G141,IF(F141&lt;&gt;"","≥ "&amp;F141,"只記錄、不檢核")))))</f>
        <v/>
      </c>
      <c r="L141" s="2">
        <f>IF(A141="","",IF(TRIM(IF(SUMPRODUCT(($A$2:$A$500=A141)*($B$2:$B$500=B141)*($C$2:$C$500=C141)*($D$2:$D$500=D141))&gt;1,"⚠ 欄位名稱重複 ","")&amp;IF(AND(B141&lt;&gt;"",NOT(ISNUMBER(SEARCH("、"&amp;B141&amp;"、","、"&amp;IFERROR(INDEX(表單!$I$2:$I$500,MATCH(A141,表單!$A$2:$A$500,0)),"")&amp;"、")))),"⚠ 單元不在適用單元內 ","")&amp;IF(AND(H141="Y",B141=""),"⚠ 排除只能用在單元列 ","")&amp;IF(AND(H141="Y",B141&lt;&gt;"",SUMPRODUCT(($A$2:$A$500=A141)*($C$2:$C$500=C141)*($D$2:$D$500=D141)*($B$2:$B$500=""))=0),"⚠ 排除需對應共用欄位 ","")&amp;IF(AND(ISNUMBER(F141),ISNUMBER(G141),F141&gt;G141),"⚠ 下限大於上限 ","")&amp;IF(SUMPRODUCT((檢查項目!$A$2:$A$500=A141)*(檢查項目!$C$2:$C$500=C141)*(檢查項目!$G$2:$G$500="數值"))=0,"⚠ 該項目不是數值類型 ",""))="","✓",TRIM(IF(SUMPRODUCT(($A$2:$A$500=A141)*($B$2:$B$500=B141)*($C$2:$C$500=C141)*($D$2:$D$500=D141))&gt;1,"⚠ 欄位名稱重複 ","")&amp;IF(AND(B141&lt;&gt;"",NOT(ISNUMBER(SEARCH("、"&amp;B141&amp;"、","、"&amp;IFERROR(INDEX(表單!$I$2:$I$500,MATCH(A141,表單!$A$2:$A$500,0)),"")&amp;"、")))),"⚠ 單元不在適用單元內 ","")&amp;IF(AND(H141="Y",B141=""),"⚠ 排除只能用在單元列 ","")&amp;IF(AND(H141="Y",B141&lt;&gt;"",SUMPRODUCT(($A$2:$A$500=A141)*($C$2:$C$500=C141)*($D$2:$D$500=D141)*($B$2:$B$500=""))=0),"⚠ 排除需對應共用欄位 ","")&amp;IF(AND(ISNUMBER(F141),ISNUMBER(G141),F141&gt;G141),"⚠ 下限大於上限 ","")&amp;IF(SUMPRODUCT((檢查項目!$A$2:$A$500=A141)*(檢查項目!$C$2:$C$500=C141)*(檢查項目!$G$2:$G$500="數值"))=0,"⚠ 該項目不是數值類型 ",""))))</f>
        <v/>
      </c>
    </row>
    <row r="142">
      <c r="I142" s="2">
        <f>IF(A142="","",IFERROR(INDEX(檢查項目!$E$2:$E$500,MATCH(1,INDEX((檢查項目!$A$2:$A$500=A142)*(檢查項目!$C$2:$C$500=C142)*(檢查項目!$B$2:$B$500=B142),0),0)),IFERROR(INDEX(檢查項目!$E$2:$E$500,MATCH(1,INDEX((檢查項目!$A$2:$A$500=A142)*(檢查項目!$C$2:$C$500=C142)*(檢查項目!$B$2:$B$500=""),0),0)),"⚠ 找不到項目")))</f>
        <v/>
      </c>
      <c r="J142" s="2">
        <f>IF(A142="","",IF(B142="","共用",IF(H142="Y","排除（"&amp;B142&amp;"）",IF(SUMPRODUCT(($A$2:$A$500=A142)*($C$2:$C$500=C142)*($D$2:$D$500=D142)*($B$2:$B$500=""))&gt;0,"覆蓋共用（"&amp;B142&amp;"）","單元新增（"&amp;B142&amp;"）"))))</f>
        <v/>
      </c>
      <c r="K142" s="2">
        <f>IF(A142="","",IF(H142="Y","—",IF(AND(F142&lt;&gt;"",G142&lt;&gt;""),F142&amp;" ~ "&amp;G142,IF(G142&lt;&gt;"","≤ "&amp;G142,IF(F142&lt;&gt;"","≥ "&amp;F142,"只記錄、不檢核")))))</f>
        <v/>
      </c>
      <c r="L142" s="2">
        <f>IF(A142="","",IF(TRIM(IF(SUMPRODUCT(($A$2:$A$500=A142)*($B$2:$B$500=B142)*($C$2:$C$500=C142)*($D$2:$D$500=D142))&gt;1,"⚠ 欄位名稱重複 ","")&amp;IF(AND(B142&lt;&gt;"",NOT(ISNUMBER(SEARCH("、"&amp;B142&amp;"、","、"&amp;IFERROR(INDEX(表單!$I$2:$I$500,MATCH(A142,表單!$A$2:$A$500,0)),"")&amp;"、")))),"⚠ 單元不在適用單元內 ","")&amp;IF(AND(H142="Y",B142=""),"⚠ 排除只能用在單元列 ","")&amp;IF(AND(H142="Y",B142&lt;&gt;"",SUMPRODUCT(($A$2:$A$500=A142)*($C$2:$C$500=C142)*($D$2:$D$500=D142)*($B$2:$B$500=""))=0),"⚠ 排除需對應共用欄位 ","")&amp;IF(AND(ISNUMBER(F142),ISNUMBER(G142),F142&gt;G142),"⚠ 下限大於上限 ","")&amp;IF(SUMPRODUCT((檢查項目!$A$2:$A$500=A142)*(檢查項目!$C$2:$C$500=C142)*(檢查項目!$G$2:$G$500="數值"))=0,"⚠ 該項目不是數值類型 ",""))="","✓",TRIM(IF(SUMPRODUCT(($A$2:$A$500=A142)*($B$2:$B$500=B142)*($C$2:$C$500=C142)*($D$2:$D$500=D142))&gt;1,"⚠ 欄位名稱重複 ","")&amp;IF(AND(B142&lt;&gt;"",NOT(ISNUMBER(SEARCH("、"&amp;B142&amp;"、","、"&amp;IFERROR(INDEX(表單!$I$2:$I$500,MATCH(A142,表單!$A$2:$A$500,0)),"")&amp;"、")))),"⚠ 單元不在適用單元內 ","")&amp;IF(AND(H142="Y",B142=""),"⚠ 排除只能用在單元列 ","")&amp;IF(AND(H142="Y",B142&lt;&gt;"",SUMPRODUCT(($A$2:$A$500=A142)*($C$2:$C$500=C142)*($D$2:$D$500=D142)*($B$2:$B$500=""))=0),"⚠ 排除需對應共用欄位 ","")&amp;IF(AND(ISNUMBER(F142),ISNUMBER(G142),F142&gt;G142),"⚠ 下限大於上限 ","")&amp;IF(SUMPRODUCT((檢查項目!$A$2:$A$500=A142)*(檢查項目!$C$2:$C$500=C142)*(檢查項目!$G$2:$G$500="數值"))=0,"⚠ 該項目不是數值類型 ",""))))</f>
        <v/>
      </c>
    </row>
    <row r="143">
      <c r="I143" s="2">
        <f>IF(A143="","",IFERROR(INDEX(檢查項目!$E$2:$E$500,MATCH(1,INDEX((檢查項目!$A$2:$A$500=A143)*(檢查項目!$C$2:$C$500=C143)*(檢查項目!$B$2:$B$500=B143),0),0)),IFERROR(INDEX(檢查項目!$E$2:$E$500,MATCH(1,INDEX((檢查項目!$A$2:$A$500=A143)*(檢查項目!$C$2:$C$500=C143)*(檢查項目!$B$2:$B$500=""),0),0)),"⚠ 找不到項目")))</f>
        <v/>
      </c>
      <c r="J143" s="2">
        <f>IF(A143="","",IF(B143="","共用",IF(H143="Y","排除（"&amp;B143&amp;"）",IF(SUMPRODUCT(($A$2:$A$500=A143)*($C$2:$C$500=C143)*($D$2:$D$500=D143)*($B$2:$B$500=""))&gt;0,"覆蓋共用（"&amp;B143&amp;"）","單元新增（"&amp;B143&amp;"）"))))</f>
        <v/>
      </c>
      <c r="K143" s="2">
        <f>IF(A143="","",IF(H143="Y","—",IF(AND(F143&lt;&gt;"",G143&lt;&gt;""),F143&amp;" ~ "&amp;G143,IF(G143&lt;&gt;"","≤ "&amp;G143,IF(F143&lt;&gt;"","≥ "&amp;F143,"只記錄、不檢核")))))</f>
        <v/>
      </c>
      <c r="L143" s="2">
        <f>IF(A143="","",IF(TRIM(IF(SUMPRODUCT(($A$2:$A$500=A143)*($B$2:$B$500=B143)*($C$2:$C$500=C143)*($D$2:$D$500=D143))&gt;1,"⚠ 欄位名稱重複 ","")&amp;IF(AND(B143&lt;&gt;"",NOT(ISNUMBER(SEARCH("、"&amp;B143&amp;"、","、"&amp;IFERROR(INDEX(表單!$I$2:$I$500,MATCH(A143,表單!$A$2:$A$500,0)),"")&amp;"、")))),"⚠ 單元不在適用單元內 ","")&amp;IF(AND(H143="Y",B143=""),"⚠ 排除只能用在單元列 ","")&amp;IF(AND(H143="Y",B143&lt;&gt;"",SUMPRODUCT(($A$2:$A$500=A143)*($C$2:$C$500=C143)*($D$2:$D$500=D143)*($B$2:$B$500=""))=0),"⚠ 排除需對應共用欄位 ","")&amp;IF(AND(ISNUMBER(F143),ISNUMBER(G143),F143&gt;G143),"⚠ 下限大於上限 ","")&amp;IF(SUMPRODUCT((檢查項目!$A$2:$A$500=A143)*(檢查項目!$C$2:$C$500=C143)*(檢查項目!$G$2:$G$500="數值"))=0,"⚠ 該項目不是數值類型 ",""))="","✓",TRIM(IF(SUMPRODUCT(($A$2:$A$500=A143)*($B$2:$B$500=B143)*($C$2:$C$500=C143)*($D$2:$D$500=D143))&gt;1,"⚠ 欄位名稱重複 ","")&amp;IF(AND(B143&lt;&gt;"",NOT(ISNUMBER(SEARCH("、"&amp;B143&amp;"、","、"&amp;IFERROR(INDEX(表單!$I$2:$I$500,MATCH(A143,表單!$A$2:$A$500,0)),"")&amp;"、")))),"⚠ 單元不在適用單元內 ","")&amp;IF(AND(H143="Y",B143=""),"⚠ 排除只能用在單元列 ","")&amp;IF(AND(H143="Y",B143&lt;&gt;"",SUMPRODUCT(($A$2:$A$500=A143)*($C$2:$C$500=C143)*($D$2:$D$500=D143)*($B$2:$B$500=""))=0),"⚠ 排除需對應共用欄位 ","")&amp;IF(AND(ISNUMBER(F143),ISNUMBER(G143),F143&gt;G143),"⚠ 下限大於上限 ","")&amp;IF(SUMPRODUCT((檢查項目!$A$2:$A$500=A143)*(檢查項目!$C$2:$C$500=C143)*(檢查項目!$G$2:$G$500="數值"))=0,"⚠ 該項目不是數值類型 ",""))))</f>
        <v/>
      </c>
    </row>
    <row r="144">
      <c r="I144" s="2">
        <f>IF(A144="","",IFERROR(INDEX(檢查項目!$E$2:$E$500,MATCH(1,INDEX((檢查項目!$A$2:$A$500=A144)*(檢查項目!$C$2:$C$500=C144)*(檢查項目!$B$2:$B$500=B144),0),0)),IFERROR(INDEX(檢查項目!$E$2:$E$500,MATCH(1,INDEX((檢查項目!$A$2:$A$500=A144)*(檢查項目!$C$2:$C$500=C144)*(檢查項目!$B$2:$B$500=""),0),0)),"⚠ 找不到項目")))</f>
        <v/>
      </c>
      <c r="J144" s="2">
        <f>IF(A144="","",IF(B144="","共用",IF(H144="Y","排除（"&amp;B144&amp;"）",IF(SUMPRODUCT(($A$2:$A$500=A144)*($C$2:$C$500=C144)*($D$2:$D$500=D144)*($B$2:$B$500=""))&gt;0,"覆蓋共用（"&amp;B144&amp;"）","單元新增（"&amp;B144&amp;"）"))))</f>
        <v/>
      </c>
      <c r="K144" s="2">
        <f>IF(A144="","",IF(H144="Y","—",IF(AND(F144&lt;&gt;"",G144&lt;&gt;""),F144&amp;" ~ "&amp;G144,IF(G144&lt;&gt;"","≤ "&amp;G144,IF(F144&lt;&gt;"","≥ "&amp;F144,"只記錄、不檢核")))))</f>
        <v/>
      </c>
      <c r="L144" s="2">
        <f>IF(A144="","",IF(TRIM(IF(SUMPRODUCT(($A$2:$A$500=A144)*($B$2:$B$500=B144)*($C$2:$C$500=C144)*($D$2:$D$500=D144))&gt;1,"⚠ 欄位名稱重複 ","")&amp;IF(AND(B144&lt;&gt;"",NOT(ISNUMBER(SEARCH("、"&amp;B144&amp;"、","、"&amp;IFERROR(INDEX(表單!$I$2:$I$500,MATCH(A144,表單!$A$2:$A$500,0)),"")&amp;"、")))),"⚠ 單元不在適用單元內 ","")&amp;IF(AND(H144="Y",B144=""),"⚠ 排除只能用在單元列 ","")&amp;IF(AND(H144="Y",B144&lt;&gt;"",SUMPRODUCT(($A$2:$A$500=A144)*($C$2:$C$500=C144)*($D$2:$D$500=D144)*($B$2:$B$500=""))=0),"⚠ 排除需對應共用欄位 ","")&amp;IF(AND(ISNUMBER(F144),ISNUMBER(G144),F144&gt;G144),"⚠ 下限大於上限 ","")&amp;IF(SUMPRODUCT((檢查項目!$A$2:$A$500=A144)*(檢查項目!$C$2:$C$500=C144)*(檢查項目!$G$2:$G$500="數值"))=0,"⚠ 該項目不是數值類型 ",""))="","✓",TRIM(IF(SUMPRODUCT(($A$2:$A$500=A144)*($B$2:$B$500=B144)*($C$2:$C$500=C144)*($D$2:$D$500=D144))&gt;1,"⚠ 欄位名稱重複 ","")&amp;IF(AND(B144&lt;&gt;"",NOT(ISNUMBER(SEARCH("、"&amp;B144&amp;"、","、"&amp;IFERROR(INDEX(表單!$I$2:$I$500,MATCH(A144,表單!$A$2:$A$500,0)),"")&amp;"、")))),"⚠ 單元不在適用單元內 ","")&amp;IF(AND(H144="Y",B144=""),"⚠ 排除只能用在單元列 ","")&amp;IF(AND(H144="Y",B144&lt;&gt;"",SUMPRODUCT(($A$2:$A$500=A144)*($C$2:$C$500=C144)*($D$2:$D$500=D144)*($B$2:$B$500=""))=0),"⚠ 排除需對應共用欄位 ","")&amp;IF(AND(ISNUMBER(F144),ISNUMBER(G144),F144&gt;G144),"⚠ 下限大於上限 ","")&amp;IF(SUMPRODUCT((檢查項目!$A$2:$A$500=A144)*(檢查項目!$C$2:$C$500=C144)*(檢查項目!$G$2:$G$500="數值"))=0,"⚠ 該項目不是數值類型 ",""))))</f>
        <v/>
      </c>
    </row>
    <row r="145">
      <c r="I145" s="2">
        <f>IF(A145="","",IFERROR(INDEX(檢查項目!$E$2:$E$500,MATCH(1,INDEX((檢查項目!$A$2:$A$500=A145)*(檢查項目!$C$2:$C$500=C145)*(檢查項目!$B$2:$B$500=B145),0),0)),IFERROR(INDEX(檢查項目!$E$2:$E$500,MATCH(1,INDEX((檢查項目!$A$2:$A$500=A145)*(檢查項目!$C$2:$C$500=C145)*(檢查項目!$B$2:$B$500=""),0),0)),"⚠ 找不到項目")))</f>
        <v/>
      </c>
      <c r="J145" s="2">
        <f>IF(A145="","",IF(B145="","共用",IF(H145="Y","排除（"&amp;B145&amp;"）",IF(SUMPRODUCT(($A$2:$A$500=A145)*($C$2:$C$500=C145)*($D$2:$D$500=D145)*($B$2:$B$500=""))&gt;0,"覆蓋共用（"&amp;B145&amp;"）","單元新增（"&amp;B145&amp;"）"))))</f>
        <v/>
      </c>
      <c r="K145" s="2">
        <f>IF(A145="","",IF(H145="Y","—",IF(AND(F145&lt;&gt;"",G145&lt;&gt;""),F145&amp;" ~ "&amp;G145,IF(G145&lt;&gt;"","≤ "&amp;G145,IF(F145&lt;&gt;"","≥ "&amp;F145,"只記錄、不檢核")))))</f>
        <v/>
      </c>
      <c r="L145" s="2">
        <f>IF(A145="","",IF(TRIM(IF(SUMPRODUCT(($A$2:$A$500=A145)*($B$2:$B$500=B145)*($C$2:$C$500=C145)*($D$2:$D$500=D145))&gt;1,"⚠ 欄位名稱重複 ","")&amp;IF(AND(B145&lt;&gt;"",NOT(ISNUMBER(SEARCH("、"&amp;B145&amp;"、","、"&amp;IFERROR(INDEX(表單!$I$2:$I$500,MATCH(A145,表單!$A$2:$A$500,0)),"")&amp;"、")))),"⚠ 單元不在適用單元內 ","")&amp;IF(AND(H145="Y",B145=""),"⚠ 排除只能用在單元列 ","")&amp;IF(AND(H145="Y",B145&lt;&gt;"",SUMPRODUCT(($A$2:$A$500=A145)*($C$2:$C$500=C145)*($D$2:$D$500=D145)*($B$2:$B$500=""))=0),"⚠ 排除需對應共用欄位 ","")&amp;IF(AND(ISNUMBER(F145),ISNUMBER(G145),F145&gt;G145),"⚠ 下限大於上限 ","")&amp;IF(SUMPRODUCT((檢查項目!$A$2:$A$500=A145)*(檢查項目!$C$2:$C$500=C145)*(檢查項目!$G$2:$G$500="數值"))=0,"⚠ 該項目不是數值類型 ",""))="","✓",TRIM(IF(SUMPRODUCT(($A$2:$A$500=A145)*($B$2:$B$500=B145)*($C$2:$C$500=C145)*($D$2:$D$500=D145))&gt;1,"⚠ 欄位名稱重複 ","")&amp;IF(AND(B145&lt;&gt;"",NOT(ISNUMBER(SEARCH("、"&amp;B145&amp;"、","、"&amp;IFERROR(INDEX(表單!$I$2:$I$500,MATCH(A145,表單!$A$2:$A$500,0)),"")&amp;"、")))),"⚠ 單元不在適用單元內 ","")&amp;IF(AND(H145="Y",B145=""),"⚠ 排除只能用在單元列 ","")&amp;IF(AND(H145="Y",B145&lt;&gt;"",SUMPRODUCT(($A$2:$A$500=A145)*($C$2:$C$500=C145)*($D$2:$D$500=D145)*($B$2:$B$500=""))=0),"⚠ 排除需對應共用欄位 ","")&amp;IF(AND(ISNUMBER(F145),ISNUMBER(G145),F145&gt;G145),"⚠ 下限大於上限 ","")&amp;IF(SUMPRODUCT((檢查項目!$A$2:$A$500=A145)*(檢查項目!$C$2:$C$500=C145)*(檢查項目!$G$2:$G$500="數值"))=0,"⚠ 該項目不是數值類型 ",""))))</f>
        <v/>
      </c>
    </row>
    <row r="146">
      <c r="I146" s="2">
        <f>IF(A146="","",IFERROR(INDEX(檢查項目!$E$2:$E$500,MATCH(1,INDEX((檢查項目!$A$2:$A$500=A146)*(檢查項目!$C$2:$C$500=C146)*(檢查項目!$B$2:$B$500=B146),0),0)),IFERROR(INDEX(檢查項目!$E$2:$E$500,MATCH(1,INDEX((檢查項目!$A$2:$A$500=A146)*(檢查項目!$C$2:$C$500=C146)*(檢查項目!$B$2:$B$500=""),0),0)),"⚠ 找不到項目")))</f>
        <v/>
      </c>
      <c r="J146" s="2">
        <f>IF(A146="","",IF(B146="","共用",IF(H146="Y","排除（"&amp;B146&amp;"）",IF(SUMPRODUCT(($A$2:$A$500=A146)*($C$2:$C$500=C146)*($D$2:$D$500=D146)*($B$2:$B$500=""))&gt;0,"覆蓋共用（"&amp;B146&amp;"）","單元新增（"&amp;B146&amp;"）"))))</f>
        <v/>
      </c>
      <c r="K146" s="2">
        <f>IF(A146="","",IF(H146="Y","—",IF(AND(F146&lt;&gt;"",G146&lt;&gt;""),F146&amp;" ~ "&amp;G146,IF(G146&lt;&gt;"","≤ "&amp;G146,IF(F146&lt;&gt;"","≥ "&amp;F146,"只記錄、不檢核")))))</f>
        <v/>
      </c>
      <c r="L146" s="2">
        <f>IF(A146="","",IF(TRIM(IF(SUMPRODUCT(($A$2:$A$500=A146)*($B$2:$B$500=B146)*($C$2:$C$500=C146)*($D$2:$D$500=D146))&gt;1,"⚠ 欄位名稱重複 ","")&amp;IF(AND(B146&lt;&gt;"",NOT(ISNUMBER(SEARCH("、"&amp;B146&amp;"、","、"&amp;IFERROR(INDEX(表單!$I$2:$I$500,MATCH(A146,表單!$A$2:$A$500,0)),"")&amp;"、")))),"⚠ 單元不在適用單元內 ","")&amp;IF(AND(H146="Y",B146=""),"⚠ 排除只能用在單元列 ","")&amp;IF(AND(H146="Y",B146&lt;&gt;"",SUMPRODUCT(($A$2:$A$500=A146)*($C$2:$C$500=C146)*($D$2:$D$500=D146)*($B$2:$B$500=""))=0),"⚠ 排除需對應共用欄位 ","")&amp;IF(AND(ISNUMBER(F146),ISNUMBER(G146),F146&gt;G146),"⚠ 下限大於上限 ","")&amp;IF(SUMPRODUCT((檢查項目!$A$2:$A$500=A146)*(檢查項目!$C$2:$C$500=C146)*(檢查項目!$G$2:$G$500="數值"))=0,"⚠ 該項目不是數值類型 ",""))="","✓",TRIM(IF(SUMPRODUCT(($A$2:$A$500=A146)*($B$2:$B$500=B146)*($C$2:$C$500=C146)*($D$2:$D$500=D146))&gt;1,"⚠ 欄位名稱重複 ","")&amp;IF(AND(B146&lt;&gt;"",NOT(ISNUMBER(SEARCH("、"&amp;B146&amp;"、","、"&amp;IFERROR(INDEX(表單!$I$2:$I$500,MATCH(A146,表單!$A$2:$A$500,0)),"")&amp;"、")))),"⚠ 單元不在適用單元內 ","")&amp;IF(AND(H146="Y",B146=""),"⚠ 排除只能用在單元列 ","")&amp;IF(AND(H146="Y",B146&lt;&gt;"",SUMPRODUCT(($A$2:$A$500=A146)*($C$2:$C$500=C146)*($D$2:$D$500=D146)*($B$2:$B$500=""))=0),"⚠ 排除需對應共用欄位 ","")&amp;IF(AND(ISNUMBER(F146),ISNUMBER(G146),F146&gt;G146),"⚠ 下限大於上限 ","")&amp;IF(SUMPRODUCT((檢查項目!$A$2:$A$500=A146)*(檢查項目!$C$2:$C$500=C146)*(檢查項目!$G$2:$G$500="數值"))=0,"⚠ 該項目不是數值類型 ",""))))</f>
        <v/>
      </c>
    </row>
    <row r="147">
      <c r="I147" s="2">
        <f>IF(A147="","",IFERROR(INDEX(檢查項目!$E$2:$E$500,MATCH(1,INDEX((檢查項目!$A$2:$A$500=A147)*(檢查項目!$C$2:$C$500=C147)*(檢查項目!$B$2:$B$500=B147),0),0)),IFERROR(INDEX(檢查項目!$E$2:$E$500,MATCH(1,INDEX((檢查項目!$A$2:$A$500=A147)*(檢查項目!$C$2:$C$500=C147)*(檢查項目!$B$2:$B$500=""),0),0)),"⚠ 找不到項目")))</f>
        <v/>
      </c>
      <c r="J147" s="2">
        <f>IF(A147="","",IF(B147="","共用",IF(H147="Y","排除（"&amp;B147&amp;"）",IF(SUMPRODUCT(($A$2:$A$500=A147)*($C$2:$C$500=C147)*($D$2:$D$500=D147)*($B$2:$B$500=""))&gt;0,"覆蓋共用（"&amp;B147&amp;"）","單元新增（"&amp;B147&amp;"）"))))</f>
        <v/>
      </c>
      <c r="K147" s="2">
        <f>IF(A147="","",IF(H147="Y","—",IF(AND(F147&lt;&gt;"",G147&lt;&gt;""),F147&amp;" ~ "&amp;G147,IF(G147&lt;&gt;"","≤ "&amp;G147,IF(F147&lt;&gt;"","≥ "&amp;F147,"只記錄、不檢核")))))</f>
        <v/>
      </c>
      <c r="L147" s="2">
        <f>IF(A147="","",IF(TRIM(IF(SUMPRODUCT(($A$2:$A$500=A147)*($B$2:$B$500=B147)*($C$2:$C$500=C147)*($D$2:$D$500=D147))&gt;1,"⚠ 欄位名稱重複 ","")&amp;IF(AND(B147&lt;&gt;"",NOT(ISNUMBER(SEARCH("、"&amp;B147&amp;"、","、"&amp;IFERROR(INDEX(表單!$I$2:$I$500,MATCH(A147,表單!$A$2:$A$500,0)),"")&amp;"、")))),"⚠ 單元不在適用單元內 ","")&amp;IF(AND(H147="Y",B147=""),"⚠ 排除只能用在單元列 ","")&amp;IF(AND(H147="Y",B147&lt;&gt;"",SUMPRODUCT(($A$2:$A$500=A147)*($C$2:$C$500=C147)*($D$2:$D$500=D147)*($B$2:$B$500=""))=0),"⚠ 排除需對應共用欄位 ","")&amp;IF(AND(ISNUMBER(F147),ISNUMBER(G147),F147&gt;G147),"⚠ 下限大於上限 ","")&amp;IF(SUMPRODUCT((檢查項目!$A$2:$A$500=A147)*(檢查項目!$C$2:$C$500=C147)*(檢查項目!$G$2:$G$500="數值"))=0,"⚠ 該項目不是數值類型 ",""))="","✓",TRIM(IF(SUMPRODUCT(($A$2:$A$500=A147)*($B$2:$B$500=B147)*($C$2:$C$500=C147)*($D$2:$D$500=D147))&gt;1,"⚠ 欄位名稱重複 ","")&amp;IF(AND(B147&lt;&gt;"",NOT(ISNUMBER(SEARCH("、"&amp;B147&amp;"、","、"&amp;IFERROR(INDEX(表單!$I$2:$I$500,MATCH(A147,表單!$A$2:$A$500,0)),"")&amp;"、")))),"⚠ 單元不在適用單元內 ","")&amp;IF(AND(H147="Y",B147=""),"⚠ 排除只能用在單元列 ","")&amp;IF(AND(H147="Y",B147&lt;&gt;"",SUMPRODUCT(($A$2:$A$500=A147)*($C$2:$C$500=C147)*($D$2:$D$500=D147)*($B$2:$B$500=""))=0),"⚠ 排除需對應共用欄位 ","")&amp;IF(AND(ISNUMBER(F147),ISNUMBER(G147),F147&gt;G147),"⚠ 下限大於上限 ","")&amp;IF(SUMPRODUCT((檢查項目!$A$2:$A$500=A147)*(檢查項目!$C$2:$C$500=C147)*(檢查項目!$G$2:$G$500="數值"))=0,"⚠ 該項目不是數值類型 ",""))))</f>
        <v/>
      </c>
    </row>
    <row r="148">
      <c r="I148" s="2">
        <f>IF(A148="","",IFERROR(INDEX(檢查項目!$E$2:$E$500,MATCH(1,INDEX((檢查項目!$A$2:$A$500=A148)*(檢查項目!$C$2:$C$500=C148)*(檢查項目!$B$2:$B$500=B148),0),0)),IFERROR(INDEX(檢查項目!$E$2:$E$500,MATCH(1,INDEX((檢查項目!$A$2:$A$500=A148)*(檢查項目!$C$2:$C$500=C148)*(檢查項目!$B$2:$B$500=""),0),0)),"⚠ 找不到項目")))</f>
        <v/>
      </c>
      <c r="J148" s="2">
        <f>IF(A148="","",IF(B148="","共用",IF(H148="Y","排除（"&amp;B148&amp;"）",IF(SUMPRODUCT(($A$2:$A$500=A148)*($C$2:$C$500=C148)*($D$2:$D$500=D148)*($B$2:$B$500=""))&gt;0,"覆蓋共用（"&amp;B148&amp;"）","單元新增（"&amp;B148&amp;"）"))))</f>
        <v/>
      </c>
      <c r="K148" s="2">
        <f>IF(A148="","",IF(H148="Y","—",IF(AND(F148&lt;&gt;"",G148&lt;&gt;""),F148&amp;" ~ "&amp;G148,IF(G148&lt;&gt;"","≤ "&amp;G148,IF(F148&lt;&gt;"","≥ "&amp;F148,"只記錄、不檢核")))))</f>
        <v/>
      </c>
      <c r="L148" s="2">
        <f>IF(A148="","",IF(TRIM(IF(SUMPRODUCT(($A$2:$A$500=A148)*($B$2:$B$500=B148)*($C$2:$C$500=C148)*($D$2:$D$500=D148))&gt;1,"⚠ 欄位名稱重複 ","")&amp;IF(AND(B148&lt;&gt;"",NOT(ISNUMBER(SEARCH("、"&amp;B148&amp;"、","、"&amp;IFERROR(INDEX(表單!$I$2:$I$500,MATCH(A148,表單!$A$2:$A$500,0)),"")&amp;"、")))),"⚠ 單元不在適用單元內 ","")&amp;IF(AND(H148="Y",B148=""),"⚠ 排除只能用在單元列 ","")&amp;IF(AND(H148="Y",B148&lt;&gt;"",SUMPRODUCT(($A$2:$A$500=A148)*($C$2:$C$500=C148)*($D$2:$D$500=D148)*($B$2:$B$500=""))=0),"⚠ 排除需對應共用欄位 ","")&amp;IF(AND(ISNUMBER(F148),ISNUMBER(G148),F148&gt;G148),"⚠ 下限大於上限 ","")&amp;IF(SUMPRODUCT((檢查項目!$A$2:$A$500=A148)*(檢查項目!$C$2:$C$500=C148)*(檢查項目!$G$2:$G$500="數值"))=0,"⚠ 該項目不是數值類型 ",""))="","✓",TRIM(IF(SUMPRODUCT(($A$2:$A$500=A148)*($B$2:$B$500=B148)*($C$2:$C$500=C148)*($D$2:$D$500=D148))&gt;1,"⚠ 欄位名稱重複 ","")&amp;IF(AND(B148&lt;&gt;"",NOT(ISNUMBER(SEARCH("、"&amp;B148&amp;"、","、"&amp;IFERROR(INDEX(表單!$I$2:$I$500,MATCH(A148,表單!$A$2:$A$500,0)),"")&amp;"、")))),"⚠ 單元不在適用單元內 ","")&amp;IF(AND(H148="Y",B148=""),"⚠ 排除只能用在單元列 ","")&amp;IF(AND(H148="Y",B148&lt;&gt;"",SUMPRODUCT(($A$2:$A$500=A148)*($C$2:$C$500=C148)*($D$2:$D$500=D148)*($B$2:$B$500=""))=0),"⚠ 排除需對應共用欄位 ","")&amp;IF(AND(ISNUMBER(F148),ISNUMBER(G148),F148&gt;G148),"⚠ 下限大於上限 ","")&amp;IF(SUMPRODUCT((檢查項目!$A$2:$A$500=A148)*(檢查項目!$C$2:$C$500=C148)*(檢查項目!$G$2:$G$500="數值"))=0,"⚠ 該項目不是數值類型 ",""))))</f>
        <v/>
      </c>
    </row>
    <row r="149">
      <c r="I149" s="2">
        <f>IF(A149="","",IFERROR(INDEX(檢查項目!$E$2:$E$500,MATCH(1,INDEX((檢查項目!$A$2:$A$500=A149)*(檢查項目!$C$2:$C$500=C149)*(檢查項目!$B$2:$B$500=B149),0),0)),IFERROR(INDEX(檢查項目!$E$2:$E$500,MATCH(1,INDEX((檢查項目!$A$2:$A$500=A149)*(檢查項目!$C$2:$C$500=C149)*(檢查項目!$B$2:$B$500=""),0),0)),"⚠ 找不到項目")))</f>
        <v/>
      </c>
      <c r="J149" s="2">
        <f>IF(A149="","",IF(B149="","共用",IF(H149="Y","排除（"&amp;B149&amp;"）",IF(SUMPRODUCT(($A$2:$A$500=A149)*($C$2:$C$500=C149)*($D$2:$D$500=D149)*($B$2:$B$500=""))&gt;0,"覆蓋共用（"&amp;B149&amp;"）","單元新增（"&amp;B149&amp;"）"))))</f>
        <v/>
      </c>
      <c r="K149" s="2">
        <f>IF(A149="","",IF(H149="Y","—",IF(AND(F149&lt;&gt;"",G149&lt;&gt;""),F149&amp;" ~ "&amp;G149,IF(G149&lt;&gt;"","≤ "&amp;G149,IF(F149&lt;&gt;"","≥ "&amp;F149,"只記錄、不檢核")))))</f>
        <v/>
      </c>
      <c r="L149" s="2">
        <f>IF(A149="","",IF(TRIM(IF(SUMPRODUCT(($A$2:$A$500=A149)*($B$2:$B$500=B149)*($C$2:$C$500=C149)*($D$2:$D$500=D149))&gt;1,"⚠ 欄位名稱重複 ","")&amp;IF(AND(B149&lt;&gt;"",NOT(ISNUMBER(SEARCH("、"&amp;B149&amp;"、","、"&amp;IFERROR(INDEX(表單!$I$2:$I$500,MATCH(A149,表單!$A$2:$A$500,0)),"")&amp;"、")))),"⚠ 單元不在適用單元內 ","")&amp;IF(AND(H149="Y",B149=""),"⚠ 排除只能用在單元列 ","")&amp;IF(AND(H149="Y",B149&lt;&gt;"",SUMPRODUCT(($A$2:$A$500=A149)*($C$2:$C$500=C149)*($D$2:$D$500=D149)*($B$2:$B$500=""))=0),"⚠ 排除需對應共用欄位 ","")&amp;IF(AND(ISNUMBER(F149),ISNUMBER(G149),F149&gt;G149),"⚠ 下限大於上限 ","")&amp;IF(SUMPRODUCT((檢查項目!$A$2:$A$500=A149)*(檢查項目!$C$2:$C$500=C149)*(檢查項目!$G$2:$G$500="數值"))=0,"⚠ 該項目不是數值類型 ",""))="","✓",TRIM(IF(SUMPRODUCT(($A$2:$A$500=A149)*($B$2:$B$500=B149)*($C$2:$C$500=C149)*($D$2:$D$500=D149))&gt;1,"⚠ 欄位名稱重複 ","")&amp;IF(AND(B149&lt;&gt;"",NOT(ISNUMBER(SEARCH("、"&amp;B149&amp;"、","、"&amp;IFERROR(INDEX(表單!$I$2:$I$500,MATCH(A149,表單!$A$2:$A$500,0)),"")&amp;"、")))),"⚠ 單元不在適用單元內 ","")&amp;IF(AND(H149="Y",B149=""),"⚠ 排除只能用在單元列 ","")&amp;IF(AND(H149="Y",B149&lt;&gt;"",SUMPRODUCT(($A$2:$A$500=A149)*($C$2:$C$500=C149)*($D$2:$D$500=D149)*($B$2:$B$500=""))=0),"⚠ 排除需對應共用欄位 ","")&amp;IF(AND(ISNUMBER(F149),ISNUMBER(G149),F149&gt;G149),"⚠ 下限大於上限 ","")&amp;IF(SUMPRODUCT((檢查項目!$A$2:$A$500=A149)*(檢查項目!$C$2:$C$500=C149)*(檢查項目!$G$2:$G$500="數值"))=0,"⚠ 該項目不是數值類型 ",""))))</f>
        <v/>
      </c>
    </row>
    <row r="150">
      <c r="I150" s="2">
        <f>IF(A150="","",IFERROR(INDEX(檢查項目!$E$2:$E$500,MATCH(1,INDEX((檢查項目!$A$2:$A$500=A150)*(檢查項目!$C$2:$C$500=C150)*(檢查項目!$B$2:$B$500=B150),0),0)),IFERROR(INDEX(檢查項目!$E$2:$E$500,MATCH(1,INDEX((檢查項目!$A$2:$A$500=A150)*(檢查項目!$C$2:$C$500=C150)*(檢查項目!$B$2:$B$500=""),0),0)),"⚠ 找不到項目")))</f>
        <v/>
      </c>
      <c r="J150" s="2">
        <f>IF(A150="","",IF(B150="","共用",IF(H150="Y","排除（"&amp;B150&amp;"）",IF(SUMPRODUCT(($A$2:$A$500=A150)*($C$2:$C$500=C150)*($D$2:$D$500=D150)*($B$2:$B$500=""))&gt;0,"覆蓋共用（"&amp;B150&amp;"）","單元新增（"&amp;B150&amp;"）"))))</f>
        <v/>
      </c>
      <c r="K150" s="2">
        <f>IF(A150="","",IF(H150="Y","—",IF(AND(F150&lt;&gt;"",G150&lt;&gt;""),F150&amp;" ~ "&amp;G150,IF(G150&lt;&gt;"","≤ "&amp;G150,IF(F150&lt;&gt;"","≥ "&amp;F150,"只記錄、不檢核")))))</f>
        <v/>
      </c>
      <c r="L150" s="2">
        <f>IF(A150="","",IF(TRIM(IF(SUMPRODUCT(($A$2:$A$500=A150)*($B$2:$B$500=B150)*($C$2:$C$500=C150)*($D$2:$D$500=D150))&gt;1,"⚠ 欄位名稱重複 ","")&amp;IF(AND(B150&lt;&gt;"",NOT(ISNUMBER(SEARCH("、"&amp;B150&amp;"、","、"&amp;IFERROR(INDEX(表單!$I$2:$I$500,MATCH(A150,表單!$A$2:$A$500,0)),"")&amp;"、")))),"⚠ 單元不在適用單元內 ","")&amp;IF(AND(H150="Y",B150=""),"⚠ 排除只能用在單元列 ","")&amp;IF(AND(H150="Y",B150&lt;&gt;"",SUMPRODUCT(($A$2:$A$500=A150)*($C$2:$C$500=C150)*($D$2:$D$500=D150)*($B$2:$B$500=""))=0),"⚠ 排除需對應共用欄位 ","")&amp;IF(AND(ISNUMBER(F150),ISNUMBER(G150),F150&gt;G150),"⚠ 下限大於上限 ","")&amp;IF(SUMPRODUCT((檢查項目!$A$2:$A$500=A150)*(檢查項目!$C$2:$C$500=C150)*(檢查項目!$G$2:$G$500="數值"))=0,"⚠ 該項目不是數值類型 ",""))="","✓",TRIM(IF(SUMPRODUCT(($A$2:$A$500=A150)*($B$2:$B$500=B150)*($C$2:$C$500=C150)*($D$2:$D$500=D150))&gt;1,"⚠ 欄位名稱重複 ","")&amp;IF(AND(B150&lt;&gt;"",NOT(ISNUMBER(SEARCH("、"&amp;B150&amp;"、","、"&amp;IFERROR(INDEX(表單!$I$2:$I$500,MATCH(A150,表單!$A$2:$A$500,0)),"")&amp;"、")))),"⚠ 單元不在適用單元內 ","")&amp;IF(AND(H150="Y",B150=""),"⚠ 排除只能用在單元列 ","")&amp;IF(AND(H150="Y",B150&lt;&gt;"",SUMPRODUCT(($A$2:$A$500=A150)*($C$2:$C$500=C150)*($D$2:$D$500=D150)*($B$2:$B$500=""))=0),"⚠ 排除需對應共用欄位 ","")&amp;IF(AND(ISNUMBER(F150),ISNUMBER(G150),F150&gt;G150),"⚠ 下限大於上限 ","")&amp;IF(SUMPRODUCT((檢查項目!$A$2:$A$500=A150)*(檢查項目!$C$2:$C$500=C150)*(檢查項目!$G$2:$G$500="數值"))=0,"⚠ 該項目不是數值類型 ",""))))</f>
        <v/>
      </c>
    </row>
    <row r="151">
      <c r="I151" s="2">
        <f>IF(A151="","",IFERROR(INDEX(檢查項目!$E$2:$E$500,MATCH(1,INDEX((檢查項目!$A$2:$A$500=A151)*(檢查項目!$C$2:$C$500=C151)*(檢查項目!$B$2:$B$500=B151),0),0)),IFERROR(INDEX(檢查項目!$E$2:$E$500,MATCH(1,INDEX((檢查項目!$A$2:$A$500=A151)*(檢查項目!$C$2:$C$500=C151)*(檢查項目!$B$2:$B$500=""),0),0)),"⚠ 找不到項目")))</f>
        <v/>
      </c>
      <c r="J151" s="2">
        <f>IF(A151="","",IF(B151="","共用",IF(H151="Y","排除（"&amp;B151&amp;"）",IF(SUMPRODUCT(($A$2:$A$500=A151)*($C$2:$C$500=C151)*($D$2:$D$500=D151)*($B$2:$B$500=""))&gt;0,"覆蓋共用（"&amp;B151&amp;"）","單元新增（"&amp;B151&amp;"）"))))</f>
        <v/>
      </c>
      <c r="K151" s="2">
        <f>IF(A151="","",IF(H151="Y","—",IF(AND(F151&lt;&gt;"",G151&lt;&gt;""),F151&amp;" ~ "&amp;G151,IF(G151&lt;&gt;"","≤ "&amp;G151,IF(F151&lt;&gt;"","≥ "&amp;F151,"只記錄、不檢核")))))</f>
        <v/>
      </c>
      <c r="L151" s="2">
        <f>IF(A151="","",IF(TRIM(IF(SUMPRODUCT(($A$2:$A$500=A151)*($B$2:$B$500=B151)*($C$2:$C$500=C151)*($D$2:$D$500=D151))&gt;1,"⚠ 欄位名稱重複 ","")&amp;IF(AND(B151&lt;&gt;"",NOT(ISNUMBER(SEARCH("、"&amp;B151&amp;"、","、"&amp;IFERROR(INDEX(表單!$I$2:$I$500,MATCH(A151,表單!$A$2:$A$500,0)),"")&amp;"、")))),"⚠ 單元不在適用單元內 ","")&amp;IF(AND(H151="Y",B151=""),"⚠ 排除只能用在單元列 ","")&amp;IF(AND(H151="Y",B151&lt;&gt;"",SUMPRODUCT(($A$2:$A$500=A151)*($C$2:$C$500=C151)*($D$2:$D$500=D151)*($B$2:$B$500=""))=0),"⚠ 排除需對應共用欄位 ","")&amp;IF(AND(ISNUMBER(F151),ISNUMBER(G151),F151&gt;G151),"⚠ 下限大於上限 ","")&amp;IF(SUMPRODUCT((檢查項目!$A$2:$A$500=A151)*(檢查項目!$C$2:$C$500=C151)*(檢查項目!$G$2:$G$500="數值"))=0,"⚠ 該項目不是數值類型 ",""))="","✓",TRIM(IF(SUMPRODUCT(($A$2:$A$500=A151)*($B$2:$B$500=B151)*($C$2:$C$500=C151)*($D$2:$D$500=D151))&gt;1,"⚠ 欄位名稱重複 ","")&amp;IF(AND(B151&lt;&gt;"",NOT(ISNUMBER(SEARCH("、"&amp;B151&amp;"、","、"&amp;IFERROR(INDEX(表單!$I$2:$I$500,MATCH(A151,表單!$A$2:$A$500,0)),"")&amp;"、")))),"⚠ 單元不在適用單元內 ","")&amp;IF(AND(H151="Y",B151=""),"⚠ 排除只能用在單元列 ","")&amp;IF(AND(H151="Y",B151&lt;&gt;"",SUMPRODUCT(($A$2:$A$500=A151)*($C$2:$C$500=C151)*($D$2:$D$500=D151)*($B$2:$B$500=""))=0),"⚠ 排除需對應共用欄位 ","")&amp;IF(AND(ISNUMBER(F151),ISNUMBER(G151),F151&gt;G151),"⚠ 下限大於上限 ","")&amp;IF(SUMPRODUCT((檢查項目!$A$2:$A$500=A151)*(檢查項目!$C$2:$C$500=C151)*(檢查項目!$G$2:$G$500="數值"))=0,"⚠ 該項目不是數值類型 ",""))))</f>
        <v/>
      </c>
    </row>
    <row r="152">
      <c r="I152" s="2">
        <f>IF(A152="","",IFERROR(INDEX(檢查項目!$E$2:$E$500,MATCH(1,INDEX((檢查項目!$A$2:$A$500=A152)*(檢查項目!$C$2:$C$500=C152)*(檢查項目!$B$2:$B$500=B152),0),0)),IFERROR(INDEX(檢查項目!$E$2:$E$500,MATCH(1,INDEX((檢查項目!$A$2:$A$500=A152)*(檢查項目!$C$2:$C$500=C152)*(檢查項目!$B$2:$B$500=""),0),0)),"⚠ 找不到項目")))</f>
        <v/>
      </c>
      <c r="J152" s="2">
        <f>IF(A152="","",IF(B152="","共用",IF(H152="Y","排除（"&amp;B152&amp;"）",IF(SUMPRODUCT(($A$2:$A$500=A152)*($C$2:$C$500=C152)*($D$2:$D$500=D152)*($B$2:$B$500=""))&gt;0,"覆蓋共用（"&amp;B152&amp;"）","單元新增（"&amp;B152&amp;"）"))))</f>
        <v/>
      </c>
      <c r="K152" s="2">
        <f>IF(A152="","",IF(H152="Y","—",IF(AND(F152&lt;&gt;"",G152&lt;&gt;""),F152&amp;" ~ "&amp;G152,IF(G152&lt;&gt;"","≤ "&amp;G152,IF(F152&lt;&gt;"","≥ "&amp;F152,"只記錄、不檢核")))))</f>
        <v/>
      </c>
      <c r="L152" s="2">
        <f>IF(A152="","",IF(TRIM(IF(SUMPRODUCT(($A$2:$A$500=A152)*($B$2:$B$500=B152)*($C$2:$C$500=C152)*($D$2:$D$500=D152))&gt;1,"⚠ 欄位名稱重複 ","")&amp;IF(AND(B152&lt;&gt;"",NOT(ISNUMBER(SEARCH("、"&amp;B152&amp;"、","、"&amp;IFERROR(INDEX(表單!$I$2:$I$500,MATCH(A152,表單!$A$2:$A$500,0)),"")&amp;"、")))),"⚠ 單元不在適用單元內 ","")&amp;IF(AND(H152="Y",B152=""),"⚠ 排除只能用在單元列 ","")&amp;IF(AND(H152="Y",B152&lt;&gt;"",SUMPRODUCT(($A$2:$A$500=A152)*($C$2:$C$500=C152)*($D$2:$D$500=D152)*($B$2:$B$500=""))=0),"⚠ 排除需對應共用欄位 ","")&amp;IF(AND(ISNUMBER(F152),ISNUMBER(G152),F152&gt;G152),"⚠ 下限大於上限 ","")&amp;IF(SUMPRODUCT((檢查項目!$A$2:$A$500=A152)*(檢查項目!$C$2:$C$500=C152)*(檢查項目!$G$2:$G$500="數值"))=0,"⚠ 該項目不是數值類型 ",""))="","✓",TRIM(IF(SUMPRODUCT(($A$2:$A$500=A152)*($B$2:$B$500=B152)*($C$2:$C$500=C152)*($D$2:$D$500=D152))&gt;1,"⚠ 欄位名稱重複 ","")&amp;IF(AND(B152&lt;&gt;"",NOT(ISNUMBER(SEARCH("、"&amp;B152&amp;"、","、"&amp;IFERROR(INDEX(表單!$I$2:$I$500,MATCH(A152,表單!$A$2:$A$500,0)),"")&amp;"、")))),"⚠ 單元不在適用單元內 ","")&amp;IF(AND(H152="Y",B152=""),"⚠ 排除只能用在單元列 ","")&amp;IF(AND(H152="Y",B152&lt;&gt;"",SUMPRODUCT(($A$2:$A$500=A152)*($C$2:$C$500=C152)*($D$2:$D$500=D152)*($B$2:$B$500=""))=0),"⚠ 排除需對應共用欄位 ","")&amp;IF(AND(ISNUMBER(F152),ISNUMBER(G152),F152&gt;G152),"⚠ 下限大於上限 ","")&amp;IF(SUMPRODUCT((檢查項目!$A$2:$A$500=A152)*(檢查項目!$C$2:$C$500=C152)*(檢查項目!$G$2:$G$500="數值"))=0,"⚠ 該項目不是數值類型 ",""))))</f>
        <v/>
      </c>
    </row>
    <row r="153">
      <c r="I153" s="2">
        <f>IF(A153="","",IFERROR(INDEX(檢查項目!$E$2:$E$500,MATCH(1,INDEX((檢查項目!$A$2:$A$500=A153)*(檢查項目!$C$2:$C$500=C153)*(檢查項目!$B$2:$B$500=B153),0),0)),IFERROR(INDEX(檢查項目!$E$2:$E$500,MATCH(1,INDEX((檢查項目!$A$2:$A$500=A153)*(檢查項目!$C$2:$C$500=C153)*(檢查項目!$B$2:$B$500=""),0),0)),"⚠ 找不到項目")))</f>
        <v/>
      </c>
      <c r="J153" s="2">
        <f>IF(A153="","",IF(B153="","共用",IF(H153="Y","排除（"&amp;B153&amp;"）",IF(SUMPRODUCT(($A$2:$A$500=A153)*($C$2:$C$500=C153)*($D$2:$D$500=D153)*($B$2:$B$500=""))&gt;0,"覆蓋共用（"&amp;B153&amp;"）","單元新增（"&amp;B153&amp;"）"))))</f>
        <v/>
      </c>
      <c r="K153" s="2">
        <f>IF(A153="","",IF(H153="Y","—",IF(AND(F153&lt;&gt;"",G153&lt;&gt;""),F153&amp;" ~ "&amp;G153,IF(G153&lt;&gt;"","≤ "&amp;G153,IF(F153&lt;&gt;"","≥ "&amp;F153,"只記錄、不檢核")))))</f>
        <v/>
      </c>
      <c r="L153" s="2">
        <f>IF(A153="","",IF(TRIM(IF(SUMPRODUCT(($A$2:$A$500=A153)*($B$2:$B$500=B153)*($C$2:$C$500=C153)*($D$2:$D$500=D153))&gt;1,"⚠ 欄位名稱重複 ","")&amp;IF(AND(B153&lt;&gt;"",NOT(ISNUMBER(SEARCH("、"&amp;B153&amp;"、","、"&amp;IFERROR(INDEX(表單!$I$2:$I$500,MATCH(A153,表單!$A$2:$A$500,0)),"")&amp;"、")))),"⚠ 單元不在適用單元內 ","")&amp;IF(AND(H153="Y",B153=""),"⚠ 排除只能用在單元列 ","")&amp;IF(AND(H153="Y",B153&lt;&gt;"",SUMPRODUCT(($A$2:$A$500=A153)*($C$2:$C$500=C153)*($D$2:$D$500=D153)*($B$2:$B$500=""))=0),"⚠ 排除需對應共用欄位 ","")&amp;IF(AND(ISNUMBER(F153),ISNUMBER(G153),F153&gt;G153),"⚠ 下限大於上限 ","")&amp;IF(SUMPRODUCT((檢查項目!$A$2:$A$500=A153)*(檢查項目!$C$2:$C$500=C153)*(檢查項目!$G$2:$G$500="數值"))=0,"⚠ 該項目不是數值類型 ",""))="","✓",TRIM(IF(SUMPRODUCT(($A$2:$A$500=A153)*($B$2:$B$500=B153)*($C$2:$C$500=C153)*($D$2:$D$500=D153))&gt;1,"⚠ 欄位名稱重複 ","")&amp;IF(AND(B153&lt;&gt;"",NOT(ISNUMBER(SEARCH("、"&amp;B153&amp;"、","、"&amp;IFERROR(INDEX(表單!$I$2:$I$500,MATCH(A153,表單!$A$2:$A$500,0)),"")&amp;"、")))),"⚠ 單元不在適用單元內 ","")&amp;IF(AND(H153="Y",B153=""),"⚠ 排除只能用在單元列 ","")&amp;IF(AND(H153="Y",B153&lt;&gt;"",SUMPRODUCT(($A$2:$A$500=A153)*($C$2:$C$500=C153)*($D$2:$D$500=D153)*($B$2:$B$500=""))=0),"⚠ 排除需對應共用欄位 ","")&amp;IF(AND(ISNUMBER(F153),ISNUMBER(G153),F153&gt;G153),"⚠ 下限大於上限 ","")&amp;IF(SUMPRODUCT((檢查項目!$A$2:$A$500=A153)*(檢查項目!$C$2:$C$500=C153)*(檢查項目!$G$2:$G$500="數值"))=0,"⚠ 該項目不是數值類型 ",""))))</f>
        <v/>
      </c>
    </row>
    <row r="154">
      <c r="I154" s="2">
        <f>IF(A154="","",IFERROR(INDEX(檢查項目!$E$2:$E$500,MATCH(1,INDEX((檢查項目!$A$2:$A$500=A154)*(檢查項目!$C$2:$C$500=C154)*(檢查項目!$B$2:$B$500=B154),0),0)),IFERROR(INDEX(檢查項目!$E$2:$E$500,MATCH(1,INDEX((檢查項目!$A$2:$A$500=A154)*(檢查項目!$C$2:$C$500=C154)*(檢查項目!$B$2:$B$500=""),0),0)),"⚠ 找不到項目")))</f>
        <v/>
      </c>
      <c r="J154" s="2">
        <f>IF(A154="","",IF(B154="","共用",IF(H154="Y","排除（"&amp;B154&amp;"）",IF(SUMPRODUCT(($A$2:$A$500=A154)*($C$2:$C$500=C154)*($D$2:$D$500=D154)*($B$2:$B$500=""))&gt;0,"覆蓋共用（"&amp;B154&amp;"）","單元新增（"&amp;B154&amp;"）"))))</f>
        <v/>
      </c>
      <c r="K154" s="2">
        <f>IF(A154="","",IF(H154="Y","—",IF(AND(F154&lt;&gt;"",G154&lt;&gt;""),F154&amp;" ~ "&amp;G154,IF(G154&lt;&gt;"","≤ "&amp;G154,IF(F154&lt;&gt;"","≥ "&amp;F154,"只記錄、不檢核")))))</f>
        <v/>
      </c>
      <c r="L154" s="2">
        <f>IF(A154="","",IF(TRIM(IF(SUMPRODUCT(($A$2:$A$500=A154)*($B$2:$B$500=B154)*($C$2:$C$500=C154)*($D$2:$D$500=D154))&gt;1,"⚠ 欄位名稱重複 ","")&amp;IF(AND(B154&lt;&gt;"",NOT(ISNUMBER(SEARCH("、"&amp;B154&amp;"、","、"&amp;IFERROR(INDEX(表單!$I$2:$I$500,MATCH(A154,表單!$A$2:$A$500,0)),"")&amp;"、")))),"⚠ 單元不在適用單元內 ","")&amp;IF(AND(H154="Y",B154=""),"⚠ 排除只能用在單元列 ","")&amp;IF(AND(H154="Y",B154&lt;&gt;"",SUMPRODUCT(($A$2:$A$500=A154)*($C$2:$C$500=C154)*($D$2:$D$500=D154)*($B$2:$B$500=""))=0),"⚠ 排除需對應共用欄位 ","")&amp;IF(AND(ISNUMBER(F154),ISNUMBER(G154),F154&gt;G154),"⚠ 下限大於上限 ","")&amp;IF(SUMPRODUCT((檢查項目!$A$2:$A$500=A154)*(檢查項目!$C$2:$C$500=C154)*(檢查項目!$G$2:$G$500="數值"))=0,"⚠ 該項目不是數值類型 ",""))="","✓",TRIM(IF(SUMPRODUCT(($A$2:$A$500=A154)*($B$2:$B$500=B154)*($C$2:$C$500=C154)*($D$2:$D$500=D154))&gt;1,"⚠ 欄位名稱重複 ","")&amp;IF(AND(B154&lt;&gt;"",NOT(ISNUMBER(SEARCH("、"&amp;B154&amp;"、","、"&amp;IFERROR(INDEX(表單!$I$2:$I$500,MATCH(A154,表單!$A$2:$A$500,0)),"")&amp;"、")))),"⚠ 單元不在適用單元內 ","")&amp;IF(AND(H154="Y",B154=""),"⚠ 排除只能用在單元列 ","")&amp;IF(AND(H154="Y",B154&lt;&gt;"",SUMPRODUCT(($A$2:$A$500=A154)*($C$2:$C$500=C154)*($D$2:$D$500=D154)*($B$2:$B$500=""))=0),"⚠ 排除需對應共用欄位 ","")&amp;IF(AND(ISNUMBER(F154),ISNUMBER(G154),F154&gt;G154),"⚠ 下限大於上限 ","")&amp;IF(SUMPRODUCT((檢查項目!$A$2:$A$500=A154)*(檢查項目!$C$2:$C$500=C154)*(檢查項目!$G$2:$G$500="數值"))=0,"⚠ 該項目不是數值類型 ",""))))</f>
        <v/>
      </c>
    </row>
    <row r="155">
      <c r="I155" s="2">
        <f>IF(A155="","",IFERROR(INDEX(檢查項目!$E$2:$E$500,MATCH(1,INDEX((檢查項目!$A$2:$A$500=A155)*(檢查項目!$C$2:$C$500=C155)*(檢查項目!$B$2:$B$500=B155),0),0)),IFERROR(INDEX(檢查項目!$E$2:$E$500,MATCH(1,INDEX((檢查項目!$A$2:$A$500=A155)*(檢查項目!$C$2:$C$500=C155)*(檢查項目!$B$2:$B$500=""),0),0)),"⚠ 找不到項目")))</f>
        <v/>
      </c>
      <c r="J155" s="2">
        <f>IF(A155="","",IF(B155="","共用",IF(H155="Y","排除（"&amp;B155&amp;"）",IF(SUMPRODUCT(($A$2:$A$500=A155)*($C$2:$C$500=C155)*($D$2:$D$500=D155)*($B$2:$B$500=""))&gt;0,"覆蓋共用（"&amp;B155&amp;"）","單元新增（"&amp;B155&amp;"）"))))</f>
        <v/>
      </c>
      <c r="K155" s="2">
        <f>IF(A155="","",IF(H155="Y","—",IF(AND(F155&lt;&gt;"",G155&lt;&gt;""),F155&amp;" ~ "&amp;G155,IF(G155&lt;&gt;"","≤ "&amp;G155,IF(F155&lt;&gt;"","≥ "&amp;F155,"只記錄、不檢核")))))</f>
        <v/>
      </c>
      <c r="L155" s="2">
        <f>IF(A155="","",IF(TRIM(IF(SUMPRODUCT(($A$2:$A$500=A155)*($B$2:$B$500=B155)*($C$2:$C$500=C155)*($D$2:$D$500=D155))&gt;1,"⚠ 欄位名稱重複 ","")&amp;IF(AND(B155&lt;&gt;"",NOT(ISNUMBER(SEARCH("、"&amp;B155&amp;"、","、"&amp;IFERROR(INDEX(表單!$I$2:$I$500,MATCH(A155,表單!$A$2:$A$500,0)),"")&amp;"、")))),"⚠ 單元不在適用單元內 ","")&amp;IF(AND(H155="Y",B155=""),"⚠ 排除只能用在單元列 ","")&amp;IF(AND(H155="Y",B155&lt;&gt;"",SUMPRODUCT(($A$2:$A$500=A155)*($C$2:$C$500=C155)*($D$2:$D$500=D155)*($B$2:$B$500=""))=0),"⚠ 排除需對應共用欄位 ","")&amp;IF(AND(ISNUMBER(F155),ISNUMBER(G155),F155&gt;G155),"⚠ 下限大於上限 ","")&amp;IF(SUMPRODUCT((檢查項目!$A$2:$A$500=A155)*(檢查項目!$C$2:$C$500=C155)*(檢查項目!$G$2:$G$500="數值"))=0,"⚠ 該項目不是數值類型 ",""))="","✓",TRIM(IF(SUMPRODUCT(($A$2:$A$500=A155)*($B$2:$B$500=B155)*($C$2:$C$500=C155)*($D$2:$D$500=D155))&gt;1,"⚠ 欄位名稱重複 ","")&amp;IF(AND(B155&lt;&gt;"",NOT(ISNUMBER(SEARCH("、"&amp;B155&amp;"、","、"&amp;IFERROR(INDEX(表單!$I$2:$I$500,MATCH(A155,表單!$A$2:$A$500,0)),"")&amp;"、")))),"⚠ 單元不在適用單元內 ","")&amp;IF(AND(H155="Y",B155=""),"⚠ 排除只能用在單元列 ","")&amp;IF(AND(H155="Y",B155&lt;&gt;"",SUMPRODUCT(($A$2:$A$500=A155)*($C$2:$C$500=C155)*($D$2:$D$500=D155)*($B$2:$B$500=""))=0),"⚠ 排除需對應共用欄位 ","")&amp;IF(AND(ISNUMBER(F155),ISNUMBER(G155),F155&gt;G155),"⚠ 下限大於上限 ","")&amp;IF(SUMPRODUCT((檢查項目!$A$2:$A$500=A155)*(檢查項目!$C$2:$C$500=C155)*(檢查項目!$G$2:$G$500="數值"))=0,"⚠ 該項目不是數值類型 ",""))))</f>
        <v/>
      </c>
    </row>
    <row r="156">
      <c r="I156" s="2">
        <f>IF(A156="","",IFERROR(INDEX(檢查項目!$E$2:$E$500,MATCH(1,INDEX((檢查項目!$A$2:$A$500=A156)*(檢查項目!$C$2:$C$500=C156)*(檢查項目!$B$2:$B$500=B156),0),0)),IFERROR(INDEX(檢查項目!$E$2:$E$500,MATCH(1,INDEX((檢查項目!$A$2:$A$500=A156)*(檢查項目!$C$2:$C$500=C156)*(檢查項目!$B$2:$B$500=""),0),0)),"⚠ 找不到項目")))</f>
        <v/>
      </c>
      <c r="J156" s="2">
        <f>IF(A156="","",IF(B156="","共用",IF(H156="Y","排除（"&amp;B156&amp;"）",IF(SUMPRODUCT(($A$2:$A$500=A156)*($C$2:$C$500=C156)*($D$2:$D$500=D156)*($B$2:$B$500=""))&gt;0,"覆蓋共用（"&amp;B156&amp;"）","單元新增（"&amp;B156&amp;"）"))))</f>
        <v/>
      </c>
      <c r="K156" s="2">
        <f>IF(A156="","",IF(H156="Y","—",IF(AND(F156&lt;&gt;"",G156&lt;&gt;""),F156&amp;" ~ "&amp;G156,IF(G156&lt;&gt;"","≤ "&amp;G156,IF(F156&lt;&gt;"","≥ "&amp;F156,"只記錄、不檢核")))))</f>
        <v/>
      </c>
      <c r="L156" s="2">
        <f>IF(A156="","",IF(TRIM(IF(SUMPRODUCT(($A$2:$A$500=A156)*($B$2:$B$500=B156)*($C$2:$C$500=C156)*($D$2:$D$500=D156))&gt;1,"⚠ 欄位名稱重複 ","")&amp;IF(AND(B156&lt;&gt;"",NOT(ISNUMBER(SEARCH("、"&amp;B156&amp;"、","、"&amp;IFERROR(INDEX(表單!$I$2:$I$500,MATCH(A156,表單!$A$2:$A$500,0)),"")&amp;"、")))),"⚠ 單元不在適用單元內 ","")&amp;IF(AND(H156="Y",B156=""),"⚠ 排除只能用在單元列 ","")&amp;IF(AND(H156="Y",B156&lt;&gt;"",SUMPRODUCT(($A$2:$A$500=A156)*($C$2:$C$500=C156)*($D$2:$D$500=D156)*($B$2:$B$500=""))=0),"⚠ 排除需對應共用欄位 ","")&amp;IF(AND(ISNUMBER(F156),ISNUMBER(G156),F156&gt;G156),"⚠ 下限大於上限 ","")&amp;IF(SUMPRODUCT((檢查項目!$A$2:$A$500=A156)*(檢查項目!$C$2:$C$500=C156)*(檢查項目!$G$2:$G$500="數值"))=0,"⚠ 該項目不是數值類型 ",""))="","✓",TRIM(IF(SUMPRODUCT(($A$2:$A$500=A156)*($B$2:$B$500=B156)*($C$2:$C$500=C156)*($D$2:$D$500=D156))&gt;1,"⚠ 欄位名稱重複 ","")&amp;IF(AND(B156&lt;&gt;"",NOT(ISNUMBER(SEARCH("、"&amp;B156&amp;"、","、"&amp;IFERROR(INDEX(表單!$I$2:$I$500,MATCH(A156,表單!$A$2:$A$500,0)),"")&amp;"、")))),"⚠ 單元不在適用單元內 ","")&amp;IF(AND(H156="Y",B156=""),"⚠ 排除只能用在單元列 ","")&amp;IF(AND(H156="Y",B156&lt;&gt;"",SUMPRODUCT(($A$2:$A$500=A156)*($C$2:$C$500=C156)*($D$2:$D$500=D156)*($B$2:$B$500=""))=0),"⚠ 排除需對應共用欄位 ","")&amp;IF(AND(ISNUMBER(F156),ISNUMBER(G156),F156&gt;G156),"⚠ 下限大於上限 ","")&amp;IF(SUMPRODUCT((檢查項目!$A$2:$A$500=A156)*(檢查項目!$C$2:$C$500=C156)*(檢查項目!$G$2:$G$500="數值"))=0,"⚠ 該項目不是數值類型 ",""))))</f>
        <v/>
      </c>
    </row>
    <row r="157">
      <c r="I157" s="2">
        <f>IF(A157="","",IFERROR(INDEX(檢查項目!$E$2:$E$500,MATCH(1,INDEX((檢查項目!$A$2:$A$500=A157)*(檢查項目!$C$2:$C$500=C157)*(檢查項目!$B$2:$B$500=B157),0),0)),IFERROR(INDEX(檢查項目!$E$2:$E$500,MATCH(1,INDEX((檢查項目!$A$2:$A$500=A157)*(檢查項目!$C$2:$C$500=C157)*(檢查項目!$B$2:$B$500=""),0),0)),"⚠ 找不到項目")))</f>
        <v/>
      </c>
      <c r="J157" s="2">
        <f>IF(A157="","",IF(B157="","共用",IF(H157="Y","排除（"&amp;B157&amp;"）",IF(SUMPRODUCT(($A$2:$A$500=A157)*($C$2:$C$500=C157)*($D$2:$D$500=D157)*($B$2:$B$500=""))&gt;0,"覆蓋共用（"&amp;B157&amp;"）","單元新增（"&amp;B157&amp;"）"))))</f>
        <v/>
      </c>
      <c r="K157" s="2">
        <f>IF(A157="","",IF(H157="Y","—",IF(AND(F157&lt;&gt;"",G157&lt;&gt;""),F157&amp;" ~ "&amp;G157,IF(G157&lt;&gt;"","≤ "&amp;G157,IF(F157&lt;&gt;"","≥ "&amp;F157,"只記錄、不檢核")))))</f>
        <v/>
      </c>
      <c r="L157" s="2">
        <f>IF(A157="","",IF(TRIM(IF(SUMPRODUCT(($A$2:$A$500=A157)*($B$2:$B$500=B157)*($C$2:$C$500=C157)*($D$2:$D$500=D157))&gt;1,"⚠ 欄位名稱重複 ","")&amp;IF(AND(B157&lt;&gt;"",NOT(ISNUMBER(SEARCH("、"&amp;B157&amp;"、","、"&amp;IFERROR(INDEX(表單!$I$2:$I$500,MATCH(A157,表單!$A$2:$A$500,0)),"")&amp;"、")))),"⚠ 單元不在適用單元內 ","")&amp;IF(AND(H157="Y",B157=""),"⚠ 排除只能用在單元列 ","")&amp;IF(AND(H157="Y",B157&lt;&gt;"",SUMPRODUCT(($A$2:$A$500=A157)*($C$2:$C$500=C157)*($D$2:$D$500=D157)*($B$2:$B$500=""))=0),"⚠ 排除需對應共用欄位 ","")&amp;IF(AND(ISNUMBER(F157),ISNUMBER(G157),F157&gt;G157),"⚠ 下限大於上限 ","")&amp;IF(SUMPRODUCT((檢查項目!$A$2:$A$500=A157)*(檢查項目!$C$2:$C$500=C157)*(檢查項目!$G$2:$G$500="數值"))=0,"⚠ 該項目不是數值類型 ",""))="","✓",TRIM(IF(SUMPRODUCT(($A$2:$A$500=A157)*($B$2:$B$500=B157)*($C$2:$C$500=C157)*($D$2:$D$500=D157))&gt;1,"⚠ 欄位名稱重複 ","")&amp;IF(AND(B157&lt;&gt;"",NOT(ISNUMBER(SEARCH("、"&amp;B157&amp;"、","、"&amp;IFERROR(INDEX(表單!$I$2:$I$500,MATCH(A157,表單!$A$2:$A$500,0)),"")&amp;"、")))),"⚠ 單元不在適用單元內 ","")&amp;IF(AND(H157="Y",B157=""),"⚠ 排除只能用在單元列 ","")&amp;IF(AND(H157="Y",B157&lt;&gt;"",SUMPRODUCT(($A$2:$A$500=A157)*($C$2:$C$500=C157)*($D$2:$D$500=D157)*($B$2:$B$500=""))=0),"⚠ 排除需對應共用欄位 ","")&amp;IF(AND(ISNUMBER(F157),ISNUMBER(G157),F157&gt;G157),"⚠ 下限大於上限 ","")&amp;IF(SUMPRODUCT((檢查項目!$A$2:$A$500=A157)*(檢查項目!$C$2:$C$500=C157)*(檢查項目!$G$2:$G$500="數值"))=0,"⚠ 該項目不是數值類型 ",""))))</f>
        <v/>
      </c>
    </row>
    <row r="158">
      <c r="I158" s="2">
        <f>IF(A158="","",IFERROR(INDEX(檢查項目!$E$2:$E$500,MATCH(1,INDEX((檢查項目!$A$2:$A$500=A158)*(檢查項目!$C$2:$C$500=C158)*(檢查項目!$B$2:$B$500=B158),0),0)),IFERROR(INDEX(檢查項目!$E$2:$E$500,MATCH(1,INDEX((檢查項目!$A$2:$A$500=A158)*(檢查項目!$C$2:$C$500=C158)*(檢查項目!$B$2:$B$500=""),0),0)),"⚠ 找不到項目")))</f>
        <v/>
      </c>
      <c r="J158" s="2">
        <f>IF(A158="","",IF(B158="","共用",IF(H158="Y","排除（"&amp;B158&amp;"）",IF(SUMPRODUCT(($A$2:$A$500=A158)*($C$2:$C$500=C158)*($D$2:$D$500=D158)*($B$2:$B$500=""))&gt;0,"覆蓋共用（"&amp;B158&amp;"）","單元新增（"&amp;B158&amp;"）"))))</f>
        <v/>
      </c>
      <c r="K158" s="2">
        <f>IF(A158="","",IF(H158="Y","—",IF(AND(F158&lt;&gt;"",G158&lt;&gt;""),F158&amp;" ~ "&amp;G158,IF(G158&lt;&gt;"","≤ "&amp;G158,IF(F158&lt;&gt;"","≥ "&amp;F158,"只記錄、不檢核")))))</f>
        <v/>
      </c>
      <c r="L158" s="2">
        <f>IF(A158="","",IF(TRIM(IF(SUMPRODUCT(($A$2:$A$500=A158)*($B$2:$B$500=B158)*($C$2:$C$500=C158)*($D$2:$D$500=D158))&gt;1,"⚠ 欄位名稱重複 ","")&amp;IF(AND(B158&lt;&gt;"",NOT(ISNUMBER(SEARCH("、"&amp;B158&amp;"、","、"&amp;IFERROR(INDEX(表單!$I$2:$I$500,MATCH(A158,表單!$A$2:$A$500,0)),"")&amp;"、")))),"⚠ 單元不在適用單元內 ","")&amp;IF(AND(H158="Y",B158=""),"⚠ 排除只能用在單元列 ","")&amp;IF(AND(H158="Y",B158&lt;&gt;"",SUMPRODUCT(($A$2:$A$500=A158)*($C$2:$C$500=C158)*($D$2:$D$500=D158)*($B$2:$B$500=""))=0),"⚠ 排除需對應共用欄位 ","")&amp;IF(AND(ISNUMBER(F158),ISNUMBER(G158),F158&gt;G158),"⚠ 下限大於上限 ","")&amp;IF(SUMPRODUCT((檢查項目!$A$2:$A$500=A158)*(檢查項目!$C$2:$C$500=C158)*(檢查項目!$G$2:$G$500="數值"))=0,"⚠ 該項目不是數值類型 ",""))="","✓",TRIM(IF(SUMPRODUCT(($A$2:$A$500=A158)*($B$2:$B$500=B158)*($C$2:$C$500=C158)*($D$2:$D$500=D158))&gt;1,"⚠ 欄位名稱重複 ","")&amp;IF(AND(B158&lt;&gt;"",NOT(ISNUMBER(SEARCH("、"&amp;B158&amp;"、","、"&amp;IFERROR(INDEX(表單!$I$2:$I$500,MATCH(A158,表單!$A$2:$A$500,0)),"")&amp;"、")))),"⚠ 單元不在適用單元內 ","")&amp;IF(AND(H158="Y",B158=""),"⚠ 排除只能用在單元列 ","")&amp;IF(AND(H158="Y",B158&lt;&gt;"",SUMPRODUCT(($A$2:$A$500=A158)*($C$2:$C$500=C158)*($D$2:$D$500=D158)*($B$2:$B$500=""))=0),"⚠ 排除需對應共用欄位 ","")&amp;IF(AND(ISNUMBER(F158),ISNUMBER(G158),F158&gt;G158),"⚠ 下限大於上限 ","")&amp;IF(SUMPRODUCT((檢查項目!$A$2:$A$500=A158)*(檢查項目!$C$2:$C$500=C158)*(檢查項目!$G$2:$G$500="數值"))=0,"⚠ 該項目不是數值類型 ",""))))</f>
        <v/>
      </c>
    </row>
    <row r="159">
      <c r="I159" s="2">
        <f>IF(A159="","",IFERROR(INDEX(檢查項目!$E$2:$E$500,MATCH(1,INDEX((檢查項目!$A$2:$A$500=A159)*(檢查項目!$C$2:$C$500=C159)*(檢查項目!$B$2:$B$500=B159),0),0)),IFERROR(INDEX(檢查項目!$E$2:$E$500,MATCH(1,INDEX((檢查項目!$A$2:$A$500=A159)*(檢查項目!$C$2:$C$500=C159)*(檢查項目!$B$2:$B$500=""),0),0)),"⚠ 找不到項目")))</f>
        <v/>
      </c>
      <c r="J159" s="2">
        <f>IF(A159="","",IF(B159="","共用",IF(H159="Y","排除（"&amp;B159&amp;"）",IF(SUMPRODUCT(($A$2:$A$500=A159)*($C$2:$C$500=C159)*($D$2:$D$500=D159)*($B$2:$B$500=""))&gt;0,"覆蓋共用（"&amp;B159&amp;"）","單元新增（"&amp;B159&amp;"）"))))</f>
        <v/>
      </c>
      <c r="K159" s="2">
        <f>IF(A159="","",IF(H159="Y","—",IF(AND(F159&lt;&gt;"",G159&lt;&gt;""),F159&amp;" ~ "&amp;G159,IF(G159&lt;&gt;"","≤ "&amp;G159,IF(F159&lt;&gt;"","≥ "&amp;F159,"只記錄、不檢核")))))</f>
        <v/>
      </c>
      <c r="L159" s="2">
        <f>IF(A159="","",IF(TRIM(IF(SUMPRODUCT(($A$2:$A$500=A159)*($B$2:$B$500=B159)*($C$2:$C$500=C159)*($D$2:$D$500=D159))&gt;1,"⚠ 欄位名稱重複 ","")&amp;IF(AND(B159&lt;&gt;"",NOT(ISNUMBER(SEARCH("、"&amp;B159&amp;"、","、"&amp;IFERROR(INDEX(表單!$I$2:$I$500,MATCH(A159,表單!$A$2:$A$500,0)),"")&amp;"、")))),"⚠ 單元不在適用單元內 ","")&amp;IF(AND(H159="Y",B159=""),"⚠ 排除只能用在單元列 ","")&amp;IF(AND(H159="Y",B159&lt;&gt;"",SUMPRODUCT(($A$2:$A$500=A159)*($C$2:$C$500=C159)*($D$2:$D$500=D159)*($B$2:$B$500=""))=0),"⚠ 排除需對應共用欄位 ","")&amp;IF(AND(ISNUMBER(F159),ISNUMBER(G159),F159&gt;G159),"⚠ 下限大於上限 ","")&amp;IF(SUMPRODUCT((檢查項目!$A$2:$A$500=A159)*(檢查項目!$C$2:$C$500=C159)*(檢查項目!$G$2:$G$500="數值"))=0,"⚠ 該項目不是數值類型 ",""))="","✓",TRIM(IF(SUMPRODUCT(($A$2:$A$500=A159)*($B$2:$B$500=B159)*($C$2:$C$500=C159)*($D$2:$D$500=D159))&gt;1,"⚠ 欄位名稱重複 ","")&amp;IF(AND(B159&lt;&gt;"",NOT(ISNUMBER(SEARCH("、"&amp;B159&amp;"、","、"&amp;IFERROR(INDEX(表單!$I$2:$I$500,MATCH(A159,表單!$A$2:$A$500,0)),"")&amp;"、")))),"⚠ 單元不在適用單元內 ","")&amp;IF(AND(H159="Y",B159=""),"⚠ 排除只能用在單元列 ","")&amp;IF(AND(H159="Y",B159&lt;&gt;"",SUMPRODUCT(($A$2:$A$500=A159)*($C$2:$C$500=C159)*($D$2:$D$500=D159)*($B$2:$B$500=""))=0),"⚠ 排除需對應共用欄位 ","")&amp;IF(AND(ISNUMBER(F159),ISNUMBER(G159),F159&gt;G159),"⚠ 下限大於上限 ","")&amp;IF(SUMPRODUCT((檢查項目!$A$2:$A$500=A159)*(檢查項目!$C$2:$C$500=C159)*(檢查項目!$G$2:$G$500="數值"))=0,"⚠ 該項目不是數值類型 ",""))))</f>
        <v/>
      </c>
    </row>
    <row r="160">
      <c r="I160" s="2">
        <f>IF(A160="","",IFERROR(INDEX(檢查項目!$E$2:$E$500,MATCH(1,INDEX((檢查項目!$A$2:$A$500=A160)*(檢查項目!$C$2:$C$500=C160)*(檢查項目!$B$2:$B$500=B160),0),0)),IFERROR(INDEX(檢查項目!$E$2:$E$500,MATCH(1,INDEX((檢查項目!$A$2:$A$500=A160)*(檢查項目!$C$2:$C$500=C160)*(檢查項目!$B$2:$B$500=""),0),0)),"⚠ 找不到項目")))</f>
        <v/>
      </c>
      <c r="J160" s="2">
        <f>IF(A160="","",IF(B160="","共用",IF(H160="Y","排除（"&amp;B160&amp;"）",IF(SUMPRODUCT(($A$2:$A$500=A160)*($C$2:$C$500=C160)*($D$2:$D$500=D160)*($B$2:$B$500=""))&gt;0,"覆蓋共用（"&amp;B160&amp;"）","單元新增（"&amp;B160&amp;"）"))))</f>
        <v/>
      </c>
      <c r="K160" s="2">
        <f>IF(A160="","",IF(H160="Y","—",IF(AND(F160&lt;&gt;"",G160&lt;&gt;""),F160&amp;" ~ "&amp;G160,IF(G160&lt;&gt;"","≤ "&amp;G160,IF(F160&lt;&gt;"","≥ "&amp;F160,"只記錄、不檢核")))))</f>
        <v/>
      </c>
      <c r="L160" s="2">
        <f>IF(A160="","",IF(TRIM(IF(SUMPRODUCT(($A$2:$A$500=A160)*($B$2:$B$500=B160)*($C$2:$C$500=C160)*($D$2:$D$500=D160))&gt;1,"⚠ 欄位名稱重複 ","")&amp;IF(AND(B160&lt;&gt;"",NOT(ISNUMBER(SEARCH("、"&amp;B160&amp;"、","、"&amp;IFERROR(INDEX(表單!$I$2:$I$500,MATCH(A160,表單!$A$2:$A$500,0)),"")&amp;"、")))),"⚠ 單元不在適用單元內 ","")&amp;IF(AND(H160="Y",B160=""),"⚠ 排除只能用在單元列 ","")&amp;IF(AND(H160="Y",B160&lt;&gt;"",SUMPRODUCT(($A$2:$A$500=A160)*($C$2:$C$500=C160)*($D$2:$D$500=D160)*($B$2:$B$500=""))=0),"⚠ 排除需對應共用欄位 ","")&amp;IF(AND(ISNUMBER(F160),ISNUMBER(G160),F160&gt;G160),"⚠ 下限大於上限 ","")&amp;IF(SUMPRODUCT((檢查項目!$A$2:$A$500=A160)*(檢查項目!$C$2:$C$500=C160)*(檢查項目!$G$2:$G$500="數值"))=0,"⚠ 該項目不是數值類型 ",""))="","✓",TRIM(IF(SUMPRODUCT(($A$2:$A$500=A160)*($B$2:$B$500=B160)*($C$2:$C$500=C160)*($D$2:$D$500=D160))&gt;1,"⚠ 欄位名稱重複 ","")&amp;IF(AND(B160&lt;&gt;"",NOT(ISNUMBER(SEARCH("、"&amp;B160&amp;"、","、"&amp;IFERROR(INDEX(表單!$I$2:$I$500,MATCH(A160,表單!$A$2:$A$500,0)),"")&amp;"、")))),"⚠ 單元不在適用單元內 ","")&amp;IF(AND(H160="Y",B160=""),"⚠ 排除只能用在單元列 ","")&amp;IF(AND(H160="Y",B160&lt;&gt;"",SUMPRODUCT(($A$2:$A$500=A160)*($C$2:$C$500=C160)*($D$2:$D$500=D160)*($B$2:$B$500=""))=0),"⚠ 排除需對應共用欄位 ","")&amp;IF(AND(ISNUMBER(F160),ISNUMBER(G160),F160&gt;G160),"⚠ 下限大於上限 ","")&amp;IF(SUMPRODUCT((檢查項目!$A$2:$A$500=A160)*(檢查項目!$C$2:$C$500=C160)*(檢查項目!$G$2:$G$500="數值"))=0,"⚠ 該項目不是數值類型 ",""))))</f>
        <v/>
      </c>
    </row>
    <row r="161">
      <c r="I161" s="2">
        <f>IF(A161="","",IFERROR(INDEX(檢查項目!$E$2:$E$500,MATCH(1,INDEX((檢查項目!$A$2:$A$500=A161)*(檢查項目!$C$2:$C$500=C161)*(檢查項目!$B$2:$B$500=B161),0),0)),IFERROR(INDEX(檢查項目!$E$2:$E$500,MATCH(1,INDEX((檢查項目!$A$2:$A$500=A161)*(檢查項目!$C$2:$C$500=C161)*(檢查項目!$B$2:$B$500=""),0),0)),"⚠ 找不到項目")))</f>
        <v/>
      </c>
      <c r="J161" s="2">
        <f>IF(A161="","",IF(B161="","共用",IF(H161="Y","排除（"&amp;B161&amp;"）",IF(SUMPRODUCT(($A$2:$A$500=A161)*($C$2:$C$500=C161)*($D$2:$D$500=D161)*($B$2:$B$500=""))&gt;0,"覆蓋共用（"&amp;B161&amp;"）","單元新增（"&amp;B161&amp;"）"))))</f>
        <v/>
      </c>
      <c r="K161" s="2">
        <f>IF(A161="","",IF(H161="Y","—",IF(AND(F161&lt;&gt;"",G161&lt;&gt;""),F161&amp;" ~ "&amp;G161,IF(G161&lt;&gt;"","≤ "&amp;G161,IF(F161&lt;&gt;"","≥ "&amp;F161,"只記錄、不檢核")))))</f>
        <v/>
      </c>
      <c r="L161" s="2">
        <f>IF(A161="","",IF(TRIM(IF(SUMPRODUCT(($A$2:$A$500=A161)*($B$2:$B$500=B161)*($C$2:$C$500=C161)*($D$2:$D$500=D161))&gt;1,"⚠ 欄位名稱重複 ","")&amp;IF(AND(B161&lt;&gt;"",NOT(ISNUMBER(SEARCH("、"&amp;B161&amp;"、","、"&amp;IFERROR(INDEX(表單!$I$2:$I$500,MATCH(A161,表單!$A$2:$A$500,0)),"")&amp;"、")))),"⚠ 單元不在適用單元內 ","")&amp;IF(AND(H161="Y",B161=""),"⚠ 排除只能用在單元列 ","")&amp;IF(AND(H161="Y",B161&lt;&gt;"",SUMPRODUCT(($A$2:$A$500=A161)*($C$2:$C$500=C161)*($D$2:$D$500=D161)*($B$2:$B$500=""))=0),"⚠ 排除需對應共用欄位 ","")&amp;IF(AND(ISNUMBER(F161),ISNUMBER(G161),F161&gt;G161),"⚠ 下限大於上限 ","")&amp;IF(SUMPRODUCT((檢查項目!$A$2:$A$500=A161)*(檢查項目!$C$2:$C$500=C161)*(檢查項目!$G$2:$G$500="數值"))=0,"⚠ 該項目不是數值類型 ",""))="","✓",TRIM(IF(SUMPRODUCT(($A$2:$A$500=A161)*($B$2:$B$500=B161)*($C$2:$C$500=C161)*($D$2:$D$500=D161))&gt;1,"⚠ 欄位名稱重複 ","")&amp;IF(AND(B161&lt;&gt;"",NOT(ISNUMBER(SEARCH("、"&amp;B161&amp;"、","、"&amp;IFERROR(INDEX(表單!$I$2:$I$500,MATCH(A161,表單!$A$2:$A$500,0)),"")&amp;"、")))),"⚠ 單元不在適用單元內 ","")&amp;IF(AND(H161="Y",B161=""),"⚠ 排除只能用在單元列 ","")&amp;IF(AND(H161="Y",B161&lt;&gt;"",SUMPRODUCT(($A$2:$A$500=A161)*($C$2:$C$500=C161)*($D$2:$D$500=D161)*($B$2:$B$500=""))=0),"⚠ 排除需對應共用欄位 ","")&amp;IF(AND(ISNUMBER(F161),ISNUMBER(G161),F161&gt;G161),"⚠ 下限大於上限 ","")&amp;IF(SUMPRODUCT((檢查項目!$A$2:$A$500=A161)*(檢查項目!$C$2:$C$500=C161)*(檢查項目!$G$2:$G$500="數值"))=0,"⚠ 該項目不是數值類型 ",""))))</f>
        <v/>
      </c>
    </row>
    <row r="162">
      <c r="I162" s="2">
        <f>IF(A162="","",IFERROR(INDEX(檢查項目!$E$2:$E$500,MATCH(1,INDEX((檢查項目!$A$2:$A$500=A162)*(檢查項目!$C$2:$C$500=C162)*(檢查項目!$B$2:$B$500=B162),0),0)),IFERROR(INDEX(檢查項目!$E$2:$E$500,MATCH(1,INDEX((檢查項目!$A$2:$A$500=A162)*(檢查項目!$C$2:$C$500=C162)*(檢查項目!$B$2:$B$500=""),0),0)),"⚠ 找不到項目")))</f>
        <v/>
      </c>
      <c r="J162" s="2">
        <f>IF(A162="","",IF(B162="","共用",IF(H162="Y","排除（"&amp;B162&amp;"）",IF(SUMPRODUCT(($A$2:$A$500=A162)*($C$2:$C$500=C162)*($D$2:$D$500=D162)*($B$2:$B$500=""))&gt;0,"覆蓋共用（"&amp;B162&amp;"）","單元新增（"&amp;B162&amp;"）"))))</f>
        <v/>
      </c>
      <c r="K162" s="2">
        <f>IF(A162="","",IF(H162="Y","—",IF(AND(F162&lt;&gt;"",G162&lt;&gt;""),F162&amp;" ~ "&amp;G162,IF(G162&lt;&gt;"","≤ "&amp;G162,IF(F162&lt;&gt;"","≥ "&amp;F162,"只記錄、不檢核")))))</f>
        <v/>
      </c>
      <c r="L162" s="2">
        <f>IF(A162="","",IF(TRIM(IF(SUMPRODUCT(($A$2:$A$500=A162)*($B$2:$B$500=B162)*($C$2:$C$500=C162)*($D$2:$D$500=D162))&gt;1,"⚠ 欄位名稱重複 ","")&amp;IF(AND(B162&lt;&gt;"",NOT(ISNUMBER(SEARCH("、"&amp;B162&amp;"、","、"&amp;IFERROR(INDEX(表單!$I$2:$I$500,MATCH(A162,表單!$A$2:$A$500,0)),"")&amp;"、")))),"⚠ 單元不在適用單元內 ","")&amp;IF(AND(H162="Y",B162=""),"⚠ 排除只能用在單元列 ","")&amp;IF(AND(H162="Y",B162&lt;&gt;"",SUMPRODUCT(($A$2:$A$500=A162)*($C$2:$C$500=C162)*($D$2:$D$500=D162)*($B$2:$B$500=""))=0),"⚠ 排除需對應共用欄位 ","")&amp;IF(AND(ISNUMBER(F162),ISNUMBER(G162),F162&gt;G162),"⚠ 下限大於上限 ","")&amp;IF(SUMPRODUCT((檢查項目!$A$2:$A$500=A162)*(檢查項目!$C$2:$C$500=C162)*(檢查項目!$G$2:$G$500="數值"))=0,"⚠ 該項目不是數值類型 ",""))="","✓",TRIM(IF(SUMPRODUCT(($A$2:$A$500=A162)*($B$2:$B$500=B162)*($C$2:$C$500=C162)*($D$2:$D$500=D162))&gt;1,"⚠ 欄位名稱重複 ","")&amp;IF(AND(B162&lt;&gt;"",NOT(ISNUMBER(SEARCH("、"&amp;B162&amp;"、","、"&amp;IFERROR(INDEX(表單!$I$2:$I$500,MATCH(A162,表單!$A$2:$A$500,0)),"")&amp;"、")))),"⚠ 單元不在適用單元內 ","")&amp;IF(AND(H162="Y",B162=""),"⚠ 排除只能用在單元列 ","")&amp;IF(AND(H162="Y",B162&lt;&gt;"",SUMPRODUCT(($A$2:$A$500=A162)*($C$2:$C$500=C162)*($D$2:$D$500=D162)*($B$2:$B$500=""))=0),"⚠ 排除需對應共用欄位 ","")&amp;IF(AND(ISNUMBER(F162),ISNUMBER(G162),F162&gt;G162),"⚠ 下限大於上限 ","")&amp;IF(SUMPRODUCT((檢查項目!$A$2:$A$500=A162)*(檢查項目!$C$2:$C$500=C162)*(檢查項目!$G$2:$G$500="數值"))=0,"⚠ 該項目不是數值類型 ",""))))</f>
        <v/>
      </c>
    </row>
    <row r="163">
      <c r="I163" s="2">
        <f>IF(A163="","",IFERROR(INDEX(檢查項目!$E$2:$E$500,MATCH(1,INDEX((檢查項目!$A$2:$A$500=A163)*(檢查項目!$C$2:$C$500=C163)*(檢查項目!$B$2:$B$500=B163),0),0)),IFERROR(INDEX(檢查項目!$E$2:$E$500,MATCH(1,INDEX((檢查項目!$A$2:$A$500=A163)*(檢查項目!$C$2:$C$500=C163)*(檢查項目!$B$2:$B$500=""),0),0)),"⚠ 找不到項目")))</f>
        <v/>
      </c>
      <c r="J163" s="2">
        <f>IF(A163="","",IF(B163="","共用",IF(H163="Y","排除（"&amp;B163&amp;"）",IF(SUMPRODUCT(($A$2:$A$500=A163)*($C$2:$C$500=C163)*($D$2:$D$500=D163)*($B$2:$B$500=""))&gt;0,"覆蓋共用（"&amp;B163&amp;"）","單元新增（"&amp;B163&amp;"）"))))</f>
        <v/>
      </c>
      <c r="K163" s="2">
        <f>IF(A163="","",IF(H163="Y","—",IF(AND(F163&lt;&gt;"",G163&lt;&gt;""),F163&amp;" ~ "&amp;G163,IF(G163&lt;&gt;"","≤ "&amp;G163,IF(F163&lt;&gt;"","≥ "&amp;F163,"只記錄、不檢核")))))</f>
        <v/>
      </c>
      <c r="L163" s="2">
        <f>IF(A163="","",IF(TRIM(IF(SUMPRODUCT(($A$2:$A$500=A163)*($B$2:$B$500=B163)*($C$2:$C$500=C163)*($D$2:$D$500=D163))&gt;1,"⚠ 欄位名稱重複 ","")&amp;IF(AND(B163&lt;&gt;"",NOT(ISNUMBER(SEARCH("、"&amp;B163&amp;"、","、"&amp;IFERROR(INDEX(表單!$I$2:$I$500,MATCH(A163,表單!$A$2:$A$500,0)),"")&amp;"、")))),"⚠ 單元不在適用單元內 ","")&amp;IF(AND(H163="Y",B163=""),"⚠ 排除只能用在單元列 ","")&amp;IF(AND(H163="Y",B163&lt;&gt;"",SUMPRODUCT(($A$2:$A$500=A163)*($C$2:$C$500=C163)*($D$2:$D$500=D163)*($B$2:$B$500=""))=0),"⚠ 排除需對應共用欄位 ","")&amp;IF(AND(ISNUMBER(F163),ISNUMBER(G163),F163&gt;G163),"⚠ 下限大於上限 ","")&amp;IF(SUMPRODUCT((檢查項目!$A$2:$A$500=A163)*(檢查項目!$C$2:$C$500=C163)*(檢查項目!$G$2:$G$500="數值"))=0,"⚠ 該項目不是數值類型 ",""))="","✓",TRIM(IF(SUMPRODUCT(($A$2:$A$500=A163)*($B$2:$B$500=B163)*($C$2:$C$500=C163)*($D$2:$D$500=D163))&gt;1,"⚠ 欄位名稱重複 ","")&amp;IF(AND(B163&lt;&gt;"",NOT(ISNUMBER(SEARCH("、"&amp;B163&amp;"、","、"&amp;IFERROR(INDEX(表單!$I$2:$I$500,MATCH(A163,表單!$A$2:$A$500,0)),"")&amp;"、")))),"⚠ 單元不在適用單元內 ","")&amp;IF(AND(H163="Y",B163=""),"⚠ 排除只能用在單元列 ","")&amp;IF(AND(H163="Y",B163&lt;&gt;"",SUMPRODUCT(($A$2:$A$500=A163)*($C$2:$C$500=C163)*($D$2:$D$500=D163)*($B$2:$B$500=""))=0),"⚠ 排除需對應共用欄位 ","")&amp;IF(AND(ISNUMBER(F163),ISNUMBER(G163),F163&gt;G163),"⚠ 下限大於上限 ","")&amp;IF(SUMPRODUCT((檢查項目!$A$2:$A$500=A163)*(檢查項目!$C$2:$C$500=C163)*(檢查項目!$G$2:$G$500="數值"))=0,"⚠ 該項目不是數值類型 ",""))))</f>
        <v/>
      </c>
    </row>
    <row r="164">
      <c r="I164" s="2">
        <f>IF(A164="","",IFERROR(INDEX(檢查項目!$E$2:$E$500,MATCH(1,INDEX((檢查項目!$A$2:$A$500=A164)*(檢查項目!$C$2:$C$500=C164)*(檢查項目!$B$2:$B$500=B164),0),0)),IFERROR(INDEX(檢查項目!$E$2:$E$500,MATCH(1,INDEX((檢查項目!$A$2:$A$500=A164)*(檢查項目!$C$2:$C$500=C164)*(檢查項目!$B$2:$B$500=""),0),0)),"⚠ 找不到項目")))</f>
        <v/>
      </c>
      <c r="J164" s="2">
        <f>IF(A164="","",IF(B164="","共用",IF(H164="Y","排除（"&amp;B164&amp;"）",IF(SUMPRODUCT(($A$2:$A$500=A164)*($C$2:$C$500=C164)*($D$2:$D$500=D164)*($B$2:$B$500=""))&gt;0,"覆蓋共用（"&amp;B164&amp;"）","單元新增（"&amp;B164&amp;"）"))))</f>
        <v/>
      </c>
      <c r="K164" s="2">
        <f>IF(A164="","",IF(H164="Y","—",IF(AND(F164&lt;&gt;"",G164&lt;&gt;""),F164&amp;" ~ "&amp;G164,IF(G164&lt;&gt;"","≤ "&amp;G164,IF(F164&lt;&gt;"","≥ "&amp;F164,"只記錄、不檢核")))))</f>
        <v/>
      </c>
      <c r="L164" s="2">
        <f>IF(A164="","",IF(TRIM(IF(SUMPRODUCT(($A$2:$A$500=A164)*($B$2:$B$500=B164)*($C$2:$C$500=C164)*($D$2:$D$500=D164))&gt;1,"⚠ 欄位名稱重複 ","")&amp;IF(AND(B164&lt;&gt;"",NOT(ISNUMBER(SEARCH("、"&amp;B164&amp;"、","、"&amp;IFERROR(INDEX(表單!$I$2:$I$500,MATCH(A164,表單!$A$2:$A$500,0)),"")&amp;"、")))),"⚠ 單元不在適用單元內 ","")&amp;IF(AND(H164="Y",B164=""),"⚠ 排除只能用在單元列 ","")&amp;IF(AND(H164="Y",B164&lt;&gt;"",SUMPRODUCT(($A$2:$A$500=A164)*($C$2:$C$500=C164)*($D$2:$D$500=D164)*($B$2:$B$500=""))=0),"⚠ 排除需對應共用欄位 ","")&amp;IF(AND(ISNUMBER(F164),ISNUMBER(G164),F164&gt;G164),"⚠ 下限大於上限 ","")&amp;IF(SUMPRODUCT((檢查項目!$A$2:$A$500=A164)*(檢查項目!$C$2:$C$500=C164)*(檢查項目!$G$2:$G$500="數值"))=0,"⚠ 該項目不是數值類型 ",""))="","✓",TRIM(IF(SUMPRODUCT(($A$2:$A$500=A164)*($B$2:$B$500=B164)*($C$2:$C$500=C164)*($D$2:$D$500=D164))&gt;1,"⚠ 欄位名稱重複 ","")&amp;IF(AND(B164&lt;&gt;"",NOT(ISNUMBER(SEARCH("、"&amp;B164&amp;"、","、"&amp;IFERROR(INDEX(表單!$I$2:$I$500,MATCH(A164,表單!$A$2:$A$500,0)),"")&amp;"、")))),"⚠ 單元不在適用單元內 ","")&amp;IF(AND(H164="Y",B164=""),"⚠ 排除只能用在單元列 ","")&amp;IF(AND(H164="Y",B164&lt;&gt;"",SUMPRODUCT(($A$2:$A$500=A164)*($C$2:$C$500=C164)*($D$2:$D$500=D164)*($B$2:$B$500=""))=0),"⚠ 排除需對應共用欄位 ","")&amp;IF(AND(ISNUMBER(F164),ISNUMBER(G164),F164&gt;G164),"⚠ 下限大於上限 ","")&amp;IF(SUMPRODUCT((檢查項目!$A$2:$A$500=A164)*(檢查項目!$C$2:$C$500=C164)*(檢查項目!$G$2:$G$500="數值"))=0,"⚠ 該項目不是數值類型 ",""))))</f>
        <v/>
      </c>
    </row>
    <row r="165">
      <c r="I165" s="2">
        <f>IF(A165="","",IFERROR(INDEX(檢查項目!$E$2:$E$500,MATCH(1,INDEX((檢查項目!$A$2:$A$500=A165)*(檢查項目!$C$2:$C$500=C165)*(檢查項目!$B$2:$B$500=B165),0),0)),IFERROR(INDEX(檢查項目!$E$2:$E$500,MATCH(1,INDEX((檢查項目!$A$2:$A$500=A165)*(檢查項目!$C$2:$C$500=C165)*(檢查項目!$B$2:$B$500=""),0),0)),"⚠ 找不到項目")))</f>
        <v/>
      </c>
      <c r="J165" s="2">
        <f>IF(A165="","",IF(B165="","共用",IF(H165="Y","排除（"&amp;B165&amp;"）",IF(SUMPRODUCT(($A$2:$A$500=A165)*($C$2:$C$500=C165)*($D$2:$D$500=D165)*($B$2:$B$500=""))&gt;0,"覆蓋共用（"&amp;B165&amp;"）","單元新增（"&amp;B165&amp;"）"))))</f>
        <v/>
      </c>
      <c r="K165" s="2">
        <f>IF(A165="","",IF(H165="Y","—",IF(AND(F165&lt;&gt;"",G165&lt;&gt;""),F165&amp;" ~ "&amp;G165,IF(G165&lt;&gt;"","≤ "&amp;G165,IF(F165&lt;&gt;"","≥ "&amp;F165,"只記錄、不檢核")))))</f>
        <v/>
      </c>
      <c r="L165" s="2">
        <f>IF(A165="","",IF(TRIM(IF(SUMPRODUCT(($A$2:$A$500=A165)*($B$2:$B$500=B165)*($C$2:$C$500=C165)*($D$2:$D$500=D165))&gt;1,"⚠ 欄位名稱重複 ","")&amp;IF(AND(B165&lt;&gt;"",NOT(ISNUMBER(SEARCH("、"&amp;B165&amp;"、","、"&amp;IFERROR(INDEX(表單!$I$2:$I$500,MATCH(A165,表單!$A$2:$A$500,0)),"")&amp;"、")))),"⚠ 單元不在適用單元內 ","")&amp;IF(AND(H165="Y",B165=""),"⚠ 排除只能用在單元列 ","")&amp;IF(AND(H165="Y",B165&lt;&gt;"",SUMPRODUCT(($A$2:$A$500=A165)*($C$2:$C$500=C165)*($D$2:$D$500=D165)*($B$2:$B$500=""))=0),"⚠ 排除需對應共用欄位 ","")&amp;IF(AND(ISNUMBER(F165),ISNUMBER(G165),F165&gt;G165),"⚠ 下限大於上限 ","")&amp;IF(SUMPRODUCT((檢查項目!$A$2:$A$500=A165)*(檢查項目!$C$2:$C$500=C165)*(檢查項目!$G$2:$G$500="數值"))=0,"⚠ 該項目不是數值類型 ",""))="","✓",TRIM(IF(SUMPRODUCT(($A$2:$A$500=A165)*($B$2:$B$500=B165)*($C$2:$C$500=C165)*($D$2:$D$500=D165))&gt;1,"⚠ 欄位名稱重複 ","")&amp;IF(AND(B165&lt;&gt;"",NOT(ISNUMBER(SEARCH("、"&amp;B165&amp;"、","、"&amp;IFERROR(INDEX(表單!$I$2:$I$500,MATCH(A165,表單!$A$2:$A$500,0)),"")&amp;"、")))),"⚠ 單元不在適用單元內 ","")&amp;IF(AND(H165="Y",B165=""),"⚠ 排除只能用在單元列 ","")&amp;IF(AND(H165="Y",B165&lt;&gt;"",SUMPRODUCT(($A$2:$A$500=A165)*($C$2:$C$500=C165)*($D$2:$D$500=D165)*($B$2:$B$500=""))=0),"⚠ 排除需對應共用欄位 ","")&amp;IF(AND(ISNUMBER(F165),ISNUMBER(G165),F165&gt;G165),"⚠ 下限大於上限 ","")&amp;IF(SUMPRODUCT((檢查項目!$A$2:$A$500=A165)*(檢查項目!$C$2:$C$500=C165)*(檢查項目!$G$2:$G$500="數值"))=0,"⚠ 該項目不是數值類型 ",""))))</f>
        <v/>
      </c>
    </row>
    <row r="166">
      <c r="I166" s="2">
        <f>IF(A166="","",IFERROR(INDEX(檢查項目!$E$2:$E$500,MATCH(1,INDEX((檢查項目!$A$2:$A$500=A166)*(檢查項目!$C$2:$C$500=C166)*(檢查項目!$B$2:$B$500=B166),0),0)),IFERROR(INDEX(檢查項目!$E$2:$E$500,MATCH(1,INDEX((檢查項目!$A$2:$A$500=A166)*(檢查項目!$C$2:$C$500=C166)*(檢查項目!$B$2:$B$500=""),0),0)),"⚠ 找不到項目")))</f>
        <v/>
      </c>
      <c r="J166" s="2">
        <f>IF(A166="","",IF(B166="","共用",IF(H166="Y","排除（"&amp;B166&amp;"）",IF(SUMPRODUCT(($A$2:$A$500=A166)*($C$2:$C$500=C166)*($D$2:$D$500=D166)*($B$2:$B$500=""))&gt;0,"覆蓋共用（"&amp;B166&amp;"）","單元新增（"&amp;B166&amp;"）"))))</f>
        <v/>
      </c>
      <c r="K166" s="2">
        <f>IF(A166="","",IF(H166="Y","—",IF(AND(F166&lt;&gt;"",G166&lt;&gt;""),F166&amp;" ~ "&amp;G166,IF(G166&lt;&gt;"","≤ "&amp;G166,IF(F166&lt;&gt;"","≥ "&amp;F166,"只記錄、不檢核")))))</f>
        <v/>
      </c>
      <c r="L166" s="2">
        <f>IF(A166="","",IF(TRIM(IF(SUMPRODUCT(($A$2:$A$500=A166)*($B$2:$B$500=B166)*($C$2:$C$500=C166)*($D$2:$D$500=D166))&gt;1,"⚠ 欄位名稱重複 ","")&amp;IF(AND(B166&lt;&gt;"",NOT(ISNUMBER(SEARCH("、"&amp;B166&amp;"、","、"&amp;IFERROR(INDEX(表單!$I$2:$I$500,MATCH(A166,表單!$A$2:$A$500,0)),"")&amp;"、")))),"⚠ 單元不在適用單元內 ","")&amp;IF(AND(H166="Y",B166=""),"⚠ 排除只能用在單元列 ","")&amp;IF(AND(H166="Y",B166&lt;&gt;"",SUMPRODUCT(($A$2:$A$500=A166)*($C$2:$C$500=C166)*($D$2:$D$500=D166)*($B$2:$B$500=""))=0),"⚠ 排除需對應共用欄位 ","")&amp;IF(AND(ISNUMBER(F166),ISNUMBER(G166),F166&gt;G166),"⚠ 下限大於上限 ","")&amp;IF(SUMPRODUCT((檢查項目!$A$2:$A$500=A166)*(檢查項目!$C$2:$C$500=C166)*(檢查項目!$G$2:$G$500="數值"))=0,"⚠ 該項目不是數值類型 ",""))="","✓",TRIM(IF(SUMPRODUCT(($A$2:$A$500=A166)*($B$2:$B$500=B166)*($C$2:$C$500=C166)*($D$2:$D$500=D166))&gt;1,"⚠ 欄位名稱重複 ","")&amp;IF(AND(B166&lt;&gt;"",NOT(ISNUMBER(SEARCH("、"&amp;B166&amp;"、","、"&amp;IFERROR(INDEX(表單!$I$2:$I$500,MATCH(A166,表單!$A$2:$A$500,0)),"")&amp;"、")))),"⚠ 單元不在適用單元內 ","")&amp;IF(AND(H166="Y",B166=""),"⚠ 排除只能用在單元列 ","")&amp;IF(AND(H166="Y",B166&lt;&gt;"",SUMPRODUCT(($A$2:$A$500=A166)*($C$2:$C$500=C166)*($D$2:$D$500=D166)*($B$2:$B$500=""))=0),"⚠ 排除需對應共用欄位 ","")&amp;IF(AND(ISNUMBER(F166),ISNUMBER(G166),F166&gt;G166),"⚠ 下限大於上限 ","")&amp;IF(SUMPRODUCT((檢查項目!$A$2:$A$500=A166)*(檢查項目!$C$2:$C$500=C166)*(檢查項目!$G$2:$G$500="數值"))=0,"⚠ 該項目不是數值類型 ",""))))</f>
        <v/>
      </c>
    </row>
    <row r="167">
      <c r="I167" s="2">
        <f>IF(A167="","",IFERROR(INDEX(檢查項目!$E$2:$E$500,MATCH(1,INDEX((檢查項目!$A$2:$A$500=A167)*(檢查項目!$C$2:$C$500=C167)*(檢查項目!$B$2:$B$500=B167),0),0)),IFERROR(INDEX(檢查項目!$E$2:$E$500,MATCH(1,INDEX((檢查項目!$A$2:$A$500=A167)*(檢查項目!$C$2:$C$500=C167)*(檢查項目!$B$2:$B$500=""),0),0)),"⚠ 找不到項目")))</f>
        <v/>
      </c>
      <c r="J167" s="2">
        <f>IF(A167="","",IF(B167="","共用",IF(H167="Y","排除（"&amp;B167&amp;"）",IF(SUMPRODUCT(($A$2:$A$500=A167)*($C$2:$C$500=C167)*($D$2:$D$500=D167)*($B$2:$B$500=""))&gt;0,"覆蓋共用（"&amp;B167&amp;"）","單元新增（"&amp;B167&amp;"）"))))</f>
        <v/>
      </c>
      <c r="K167" s="2">
        <f>IF(A167="","",IF(H167="Y","—",IF(AND(F167&lt;&gt;"",G167&lt;&gt;""),F167&amp;" ~ "&amp;G167,IF(G167&lt;&gt;"","≤ "&amp;G167,IF(F167&lt;&gt;"","≥ "&amp;F167,"只記錄、不檢核")))))</f>
        <v/>
      </c>
      <c r="L167" s="2">
        <f>IF(A167="","",IF(TRIM(IF(SUMPRODUCT(($A$2:$A$500=A167)*($B$2:$B$500=B167)*($C$2:$C$500=C167)*($D$2:$D$500=D167))&gt;1,"⚠ 欄位名稱重複 ","")&amp;IF(AND(B167&lt;&gt;"",NOT(ISNUMBER(SEARCH("、"&amp;B167&amp;"、","、"&amp;IFERROR(INDEX(表單!$I$2:$I$500,MATCH(A167,表單!$A$2:$A$500,0)),"")&amp;"、")))),"⚠ 單元不在適用單元內 ","")&amp;IF(AND(H167="Y",B167=""),"⚠ 排除只能用在單元列 ","")&amp;IF(AND(H167="Y",B167&lt;&gt;"",SUMPRODUCT(($A$2:$A$500=A167)*($C$2:$C$500=C167)*($D$2:$D$500=D167)*($B$2:$B$500=""))=0),"⚠ 排除需對應共用欄位 ","")&amp;IF(AND(ISNUMBER(F167),ISNUMBER(G167),F167&gt;G167),"⚠ 下限大於上限 ","")&amp;IF(SUMPRODUCT((檢查項目!$A$2:$A$500=A167)*(檢查項目!$C$2:$C$500=C167)*(檢查項目!$G$2:$G$500="數值"))=0,"⚠ 該項目不是數值類型 ",""))="","✓",TRIM(IF(SUMPRODUCT(($A$2:$A$500=A167)*($B$2:$B$500=B167)*($C$2:$C$500=C167)*($D$2:$D$500=D167))&gt;1,"⚠ 欄位名稱重複 ","")&amp;IF(AND(B167&lt;&gt;"",NOT(ISNUMBER(SEARCH("、"&amp;B167&amp;"、","、"&amp;IFERROR(INDEX(表單!$I$2:$I$500,MATCH(A167,表單!$A$2:$A$500,0)),"")&amp;"、")))),"⚠ 單元不在適用單元內 ","")&amp;IF(AND(H167="Y",B167=""),"⚠ 排除只能用在單元列 ","")&amp;IF(AND(H167="Y",B167&lt;&gt;"",SUMPRODUCT(($A$2:$A$500=A167)*($C$2:$C$500=C167)*($D$2:$D$500=D167)*($B$2:$B$500=""))=0),"⚠ 排除需對應共用欄位 ","")&amp;IF(AND(ISNUMBER(F167),ISNUMBER(G167),F167&gt;G167),"⚠ 下限大於上限 ","")&amp;IF(SUMPRODUCT((檢查項目!$A$2:$A$500=A167)*(檢查項目!$C$2:$C$500=C167)*(檢查項目!$G$2:$G$500="數值"))=0,"⚠ 該項目不是數值類型 ",""))))</f>
        <v/>
      </c>
    </row>
    <row r="168">
      <c r="I168" s="2">
        <f>IF(A168="","",IFERROR(INDEX(檢查項目!$E$2:$E$500,MATCH(1,INDEX((檢查項目!$A$2:$A$500=A168)*(檢查項目!$C$2:$C$500=C168)*(檢查項目!$B$2:$B$500=B168),0),0)),IFERROR(INDEX(檢查項目!$E$2:$E$500,MATCH(1,INDEX((檢查項目!$A$2:$A$500=A168)*(檢查項目!$C$2:$C$500=C168)*(檢查項目!$B$2:$B$500=""),0),0)),"⚠ 找不到項目")))</f>
        <v/>
      </c>
      <c r="J168" s="2">
        <f>IF(A168="","",IF(B168="","共用",IF(H168="Y","排除（"&amp;B168&amp;"）",IF(SUMPRODUCT(($A$2:$A$500=A168)*($C$2:$C$500=C168)*($D$2:$D$500=D168)*($B$2:$B$500=""))&gt;0,"覆蓋共用（"&amp;B168&amp;"）","單元新增（"&amp;B168&amp;"）"))))</f>
        <v/>
      </c>
      <c r="K168" s="2">
        <f>IF(A168="","",IF(H168="Y","—",IF(AND(F168&lt;&gt;"",G168&lt;&gt;""),F168&amp;" ~ "&amp;G168,IF(G168&lt;&gt;"","≤ "&amp;G168,IF(F168&lt;&gt;"","≥ "&amp;F168,"只記錄、不檢核")))))</f>
        <v/>
      </c>
      <c r="L168" s="2">
        <f>IF(A168="","",IF(TRIM(IF(SUMPRODUCT(($A$2:$A$500=A168)*($B$2:$B$500=B168)*($C$2:$C$500=C168)*($D$2:$D$500=D168))&gt;1,"⚠ 欄位名稱重複 ","")&amp;IF(AND(B168&lt;&gt;"",NOT(ISNUMBER(SEARCH("、"&amp;B168&amp;"、","、"&amp;IFERROR(INDEX(表單!$I$2:$I$500,MATCH(A168,表單!$A$2:$A$500,0)),"")&amp;"、")))),"⚠ 單元不在適用單元內 ","")&amp;IF(AND(H168="Y",B168=""),"⚠ 排除只能用在單元列 ","")&amp;IF(AND(H168="Y",B168&lt;&gt;"",SUMPRODUCT(($A$2:$A$500=A168)*($C$2:$C$500=C168)*($D$2:$D$500=D168)*($B$2:$B$500=""))=0),"⚠ 排除需對應共用欄位 ","")&amp;IF(AND(ISNUMBER(F168),ISNUMBER(G168),F168&gt;G168),"⚠ 下限大於上限 ","")&amp;IF(SUMPRODUCT((檢查項目!$A$2:$A$500=A168)*(檢查項目!$C$2:$C$500=C168)*(檢查項目!$G$2:$G$500="數值"))=0,"⚠ 該項目不是數值類型 ",""))="","✓",TRIM(IF(SUMPRODUCT(($A$2:$A$500=A168)*($B$2:$B$500=B168)*($C$2:$C$500=C168)*($D$2:$D$500=D168))&gt;1,"⚠ 欄位名稱重複 ","")&amp;IF(AND(B168&lt;&gt;"",NOT(ISNUMBER(SEARCH("、"&amp;B168&amp;"、","、"&amp;IFERROR(INDEX(表單!$I$2:$I$500,MATCH(A168,表單!$A$2:$A$500,0)),"")&amp;"、")))),"⚠ 單元不在適用單元內 ","")&amp;IF(AND(H168="Y",B168=""),"⚠ 排除只能用在單元列 ","")&amp;IF(AND(H168="Y",B168&lt;&gt;"",SUMPRODUCT(($A$2:$A$500=A168)*($C$2:$C$500=C168)*($D$2:$D$500=D168)*($B$2:$B$500=""))=0),"⚠ 排除需對應共用欄位 ","")&amp;IF(AND(ISNUMBER(F168),ISNUMBER(G168),F168&gt;G168),"⚠ 下限大於上限 ","")&amp;IF(SUMPRODUCT((檢查項目!$A$2:$A$500=A168)*(檢查項目!$C$2:$C$500=C168)*(檢查項目!$G$2:$G$500="數值"))=0,"⚠ 該項目不是數值類型 ",""))))</f>
        <v/>
      </c>
    </row>
    <row r="169">
      <c r="I169" s="2">
        <f>IF(A169="","",IFERROR(INDEX(檢查項目!$E$2:$E$500,MATCH(1,INDEX((檢查項目!$A$2:$A$500=A169)*(檢查項目!$C$2:$C$500=C169)*(檢查項目!$B$2:$B$500=B169),0),0)),IFERROR(INDEX(檢查項目!$E$2:$E$500,MATCH(1,INDEX((檢查項目!$A$2:$A$500=A169)*(檢查項目!$C$2:$C$500=C169)*(檢查項目!$B$2:$B$500=""),0),0)),"⚠ 找不到項目")))</f>
        <v/>
      </c>
      <c r="J169" s="2">
        <f>IF(A169="","",IF(B169="","共用",IF(H169="Y","排除（"&amp;B169&amp;"）",IF(SUMPRODUCT(($A$2:$A$500=A169)*($C$2:$C$500=C169)*($D$2:$D$500=D169)*($B$2:$B$500=""))&gt;0,"覆蓋共用（"&amp;B169&amp;"）","單元新增（"&amp;B169&amp;"）"))))</f>
        <v/>
      </c>
      <c r="K169" s="2">
        <f>IF(A169="","",IF(H169="Y","—",IF(AND(F169&lt;&gt;"",G169&lt;&gt;""),F169&amp;" ~ "&amp;G169,IF(G169&lt;&gt;"","≤ "&amp;G169,IF(F169&lt;&gt;"","≥ "&amp;F169,"只記錄、不檢核")))))</f>
        <v/>
      </c>
      <c r="L169" s="2">
        <f>IF(A169="","",IF(TRIM(IF(SUMPRODUCT(($A$2:$A$500=A169)*($B$2:$B$500=B169)*($C$2:$C$500=C169)*($D$2:$D$500=D169))&gt;1,"⚠ 欄位名稱重複 ","")&amp;IF(AND(B169&lt;&gt;"",NOT(ISNUMBER(SEARCH("、"&amp;B169&amp;"、","、"&amp;IFERROR(INDEX(表單!$I$2:$I$500,MATCH(A169,表單!$A$2:$A$500,0)),"")&amp;"、")))),"⚠ 單元不在適用單元內 ","")&amp;IF(AND(H169="Y",B169=""),"⚠ 排除只能用在單元列 ","")&amp;IF(AND(H169="Y",B169&lt;&gt;"",SUMPRODUCT(($A$2:$A$500=A169)*($C$2:$C$500=C169)*($D$2:$D$500=D169)*($B$2:$B$500=""))=0),"⚠ 排除需對應共用欄位 ","")&amp;IF(AND(ISNUMBER(F169),ISNUMBER(G169),F169&gt;G169),"⚠ 下限大於上限 ","")&amp;IF(SUMPRODUCT((檢查項目!$A$2:$A$500=A169)*(檢查項目!$C$2:$C$500=C169)*(檢查項目!$G$2:$G$500="數值"))=0,"⚠ 該項目不是數值類型 ",""))="","✓",TRIM(IF(SUMPRODUCT(($A$2:$A$500=A169)*($B$2:$B$500=B169)*($C$2:$C$500=C169)*($D$2:$D$500=D169))&gt;1,"⚠ 欄位名稱重複 ","")&amp;IF(AND(B169&lt;&gt;"",NOT(ISNUMBER(SEARCH("、"&amp;B169&amp;"、","、"&amp;IFERROR(INDEX(表單!$I$2:$I$500,MATCH(A169,表單!$A$2:$A$500,0)),"")&amp;"、")))),"⚠ 單元不在適用單元內 ","")&amp;IF(AND(H169="Y",B169=""),"⚠ 排除只能用在單元列 ","")&amp;IF(AND(H169="Y",B169&lt;&gt;"",SUMPRODUCT(($A$2:$A$500=A169)*($C$2:$C$500=C169)*($D$2:$D$500=D169)*($B$2:$B$500=""))=0),"⚠ 排除需對應共用欄位 ","")&amp;IF(AND(ISNUMBER(F169),ISNUMBER(G169),F169&gt;G169),"⚠ 下限大於上限 ","")&amp;IF(SUMPRODUCT((檢查項目!$A$2:$A$500=A169)*(檢查項目!$C$2:$C$500=C169)*(檢查項目!$G$2:$G$500="數值"))=0,"⚠ 該項目不是數值類型 ",""))))</f>
        <v/>
      </c>
    </row>
    <row r="170">
      <c r="I170" s="2">
        <f>IF(A170="","",IFERROR(INDEX(檢查項目!$E$2:$E$500,MATCH(1,INDEX((檢查項目!$A$2:$A$500=A170)*(檢查項目!$C$2:$C$500=C170)*(檢查項目!$B$2:$B$500=B170),0),0)),IFERROR(INDEX(檢查項目!$E$2:$E$500,MATCH(1,INDEX((檢查項目!$A$2:$A$500=A170)*(檢查項目!$C$2:$C$500=C170)*(檢查項目!$B$2:$B$500=""),0),0)),"⚠ 找不到項目")))</f>
        <v/>
      </c>
      <c r="J170" s="2">
        <f>IF(A170="","",IF(B170="","共用",IF(H170="Y","排除（"&amp;B170&amp;"）",IF(SUMPRODUCT(($A$2:$A$500=A170)*($C$2:$C$500=C170)*($D$2:$D$500=D170)*($B$2:$B$500=""))&gt;0,"覆蓋共用（"&amp;B170&amp;"）","單元新增（"&amp;B170&amp;"）"))))</f>
        <v/>
      </c>
      <c r="K170" s="2">
        <f>IF(A170="","",IF(H170="Y","—",IF(AND(F170&lt;&gt;"",G170&lt;&gt;""),F170&amp;" ~ "&amp;G170,IF(G170&lt;&gt;"","≤ "&amp;G170,IF(F170&lt;&gt;"","≥ "&amp;F170,"只記錄、不檢核")))))</f>
        <v/>
      </c>
      <c r="L170" s="2">
        <f>IF(A170="","",IF(TRIM(IF(SUMPRODUCT(($A$2:$A$500=A170)*($B$2:$B$500=B170)*($C$2:$C$500=C170)*($D$2:$D$500=D170))&gt;1,"⚠ 欄位名稱重複 ","")&amp;IF(AND(B170&lt;&gt;"",NOT(ISNUMBER(SEARCH("、"&amp;B170&amp;"、","、"&amp;IFERROR(INDEX(表單!$I$2:$I$500,MATCH(A170,表單!$A$2:$A$500,0)),"")&amp;"、")))),"⚠ 單元不在適用單元內 ","")&amp;IF(AND(H170="Y",B170=""),"⚠ 排除只能用在單元列 ","")&amp;IF(AND(H170="Y",B170&lt;&gt;"",SUMPRODUCT(($A$2:$A$500=A170)*($C$2:$C$500=C170)*($D$2:$D$500=D170)*($B$2:$B$500=""))=0),"⚠ 排除需對應共用欄位 ","")&amp;IF(AND(ISNUMBER(F170),ISNUMBER(G170),F170&gt;G170),"⚠ 下限大於上限 ","")&amp;IF(SUMPRODUCT((檢查項目!$A$2:$A$500=A170)*(檢查項目!$C$2:$C$500=C170)*(檢查項目!$G$2:$G$500="數值"))=0,"⚠ 該項目不是數值類型 ",""))="","✓",TRIM(IF(SUMPRODUCT(($A$2:$A$500=A170)*($B$2:$B$500=B170)*($C$2:$C$500=C170)*($D$2:$D$500=D170))&gt;1,"⚠ 欄位名稱重複 ","")&amp;IF(AND(B170&lt;&gt;"",NOT(ISNUMBER(SEARCH("、"&amp;B170&amp;"、","、"&amp;IFERROR(INDEX(表單!$I$2:$I$500,MATCH(A170,表單!$A$2:$A$500,0)),"")&amp;"、")))),"⚠ 單元不在適用單元內 ","")&amp;IF(AND(H170="Y",B170=""),"⚠ 排除只能用在單元列 ","")&amp;IF(AND(H170="Y",B170&lt;&gt;"",SUMPRODUCT(($A$2:$A$500=A170)*($C$2:$C$500=C170)*($D$2:$D$500=D170)*($B$2:$B$500=""))=0),"⚠ 排除需對應共用欄位 ","")&amp;IF(AND(ISNUMBER(F170),ISNUMBER(G170),F170&gt;G170),"⚠ 下限大於上限 ","")&amp;IF(SUMPRODUCT((檢查項目!$A$2:$A$500=A170)*(檢查項目!$C$2:$C$500=C170)*(檢查項目!$G$2:$G$500="數值"))=0,"⚠ 該項目不是數值類型 ",""))))</f>
        <v/>
      </c>
    </row>
    <row r="171">
      <c r="I171" s="2">
        <f>IF(A171="","",IFERROR(INDEX(檢查項目!$E$2:$E$500,MATCH(1,INDEX((檢查項目!$A$2:$A$500=A171)*(檢查項目!$C$2:$C$500=C171)*(檢查項目!$B$2:$B$500=B171),0),0)),IFERROR(INDEX(檢查項目!$E$2:$E$500,MATCH(1,INDEX((檢查項目!$A$2:$A$500=A171)*(檢查項目!$C$2:$C$500=C171)*(檢查項目!$B$2:$B$500=""),0),0)),"⚠ 找不到項目")))</f>
        <v/>
      </c>
      <c r="J171" s="2">
        <f>IF(A171="","",IF(B171="","共用",IF(H171="Y","排除（"&amp;B171&amp;"）",IF(SUMPRODUCT(($A$2:$A$500=A171)*($C$2:$C$500=C171)*($D$2:$D$500=D171)*($B$2:$B$500=""))&gt;0,"覆蓋共用（"&amp;B171&amp;"）","單元新增（"&amp;B171&amp;"）"))))</f>
        <v/>
      </c>
      <c r="K171" s="2">
        <f>IF(A171="","",IF(H171="Y","—",IF(AND(F171&lt;&gt;"",G171&lt;&gt;""),F171&amp;" ~ "&amp;G171,IF(G171&lt;&gt;"","≤ "&amp;G171,IF(F171&lt;&gt;"","≥ "&amp;F171,"只記錄、不檢核")))))</f>
        <v/>
      </c>
      <c r="L171" s="2">
        <f>IF(A171="","",IF(TRIM(IF(SUMPRODUCT(($A$2:$A$500=A171)*($B$2:$B$500=B171)*($C$2:$C$500=C171)*($D$2:$D$500=D171))&gt;1,"⚠ 欄位名稱重複 ","")&amp;IF(AND(B171&lt;&gt;"",NOT(ISNUMBER(SEARCH("、"&amp;B171&amp;"、","、"&amp;IFERROR(INDEX(表單!$I$2:$I$500,MATCH(A171,表單!$A$2:$A$500,0)),"")&amp;"、")))),"⚠ 單元不在適用單元內 ","")&amp;IF(AND(H171="Y",B171=""),"⚠ 排除只能用在單元列 ","")&amp;IF(AND(H171="Y",B171&lt;&gt;"",SUMPRODUCT(($A$2:$A$500=A171)*($C$2:$C$500=C171)*($D$2:$D$500=D171)*($B$2:$B$500=""))=0),"⚠ 排除需對應共用欄位 ","")&amp;IF(AND(ISNUMBER(F171),ISNUMBER(G171),F171&gt;G171),"⚠ 下限大於上限 ","")&amp;IF(SUMPRODUCT((檢查項目!$A$2:$A$500=A171)*(檢查項目!$C$2:$C$500=C171)*(檢查項目!$G$2:$G$500="數值"))=0,"⚠ 該項目不是數值類型 ",""))="","✓",TRIM(IF(SUMPRODUCT(($A$2:$A$500=A171)*($B$2:$B$500=B171)*($C$2:$C$500=C171)*($D$2:$D$500=D171))&gt;1,"⚠ 欄位名稱重複 ","")&amp;IF(AND(B171&lt;&gt;"",NOT(ISNUMBER(SEARCH("、"&amp;B171&amp;"、","、"&amp;IFERROR(INDEX(表單!$I$2:$I$500,MATCH(A171,表單!$A$2:$A$500,0)),"")&amp;"、")))),"⚠ 單元不在適用單元內 ","")&amp;IF(AND(H171="Y",B171=""),"⚠ 排除只能用在單元列 ","")&amp;IF(AND(H171="Y",B171&lt;&gt;"",SUMPRODUCT(($A$2:$A$500=A171)*($C$2:$C$500=C171)*($D$2:$D$500=D171)*($B$2:$B$500=""))=0),"⚠ 排除需對應共用欄位 ","")&amp;IF(AND(ISNUMBER(F171),ISNUMBER(G171),F171&gt;G171),"⚠ 下限大於上限 ","")&amp;IF(SUMPRODUCT((檢查項目!$A$2:$A$500=A171)*(檢查項目!$C$2:$C$500=C171)*(檢查項目!$G$2:$G$500="數值"))=0,"⚠ 該項目不是數值類型 ",""))))</f>
        <v/>
      </c>
    </row>
    <row r="172">
      <c r="I172" s="2">
        <f>IF(A172="","",IFERROR(INDEX(檢查項目!$E$2:$E$500,MATCH(1,INDEX((檢查項目!$A$2:$A$500=A172)*(檢查項目!$C$2:$C$500=C172)*(檢查項目!$B$2:$B$500=B172),0),0)),IFERROR(INDEX(檢查項目!$E$2:$E$500,MATCH(1,INDEX((檢查項目!$A$2:$A$500=A172)*(檢查項目!$C$2:$C$500=C172)*(檢查項目!$B$2:$B$500=""),0),0)),"⚠ 找不到項目")))</f>
        <v/>
      </c>
      <c r="J172" s="2">
        <f>IF(A172="","",IF(B172="","共用",IF(H172="Y","排除（"&amp;B172&amp;"）",IF(SUMPRODUCT(($A$2:$A$500=A172)*($C$2:$C$500=C172)*($D$2:$D$500=D172)*($B$2:$B$500=""))&gt;0,"覆蓋共用（"&amp;B172&amp;"）","單元新增（"&amp;B172&amp;"）"))))</f>
        <v/>
      </c>
      <c r="K172" s="2">
        <f>IF(A172="","",IF(H172="Y","—",IF(AND(F172&lt;&gt;"",G172&lt;&gt;""),F172&amp;" ~ "&amp;G172,IF(G172&lt;&gt;"","≤ "&amp;G172,IF(F172&lt;&gt;"","≥ "&amp;F172,"只記錄、不檢核")))))</f>
        <v/>
      </c>
      <c r="L172" s="2">
        <f>IF(A172="","",IF(TRIM(IF(SUMPRODUCT(($A$2:$A$500=A172)*($B$2:$B$500=B172)*($C$2:$C$500=C172)*($D$2:$D$500=D172))&gt;1,"⚠ 欄位名稱重複 ","")&amp;IF(AND(B172&lt;&gt;"",NOT(ISNUMBER(SEARCH("、"&amp;B172&amp;"、","、"&amp;IFERROR(INDEX(表單!$I$2:$I$500,MATCH(A172,表單!$A$2:$A$500,0)),"")&amp;"、")))),"⚠ 單元不在適用單元內 ","")&amp;IF(AND(H172="Y",B172=""),"⚠ 排除只能用在單元列 ","")&amp;IF(AND(H172="Y",B172&lt;&gt;"",SUMPRODUCT(($A$2:$A$500=A172)*($C$2:$C$500=C172)*($D$2:$D$500=D172)*($B$2:$B$500=""))=0),"⚠ 排除需對應共用欄位 ","")&amp;IF(AND(ISNUMBER(F172),ISNUMBER(G172),F172&gt;G172),"⚠ 下限大於上限 ","")&amp;IF(SUMPRODUCT((檢查項目!$A$2:$A$500=A172)*(檢查項目!$C$2:$C$500=C172)*(檢查項目!$G$2:$G$500="數值"))=0,"⚠ 該項目不是數值類型 ",""))="","✓",TRIM(IF(SUMPRODUCT(($A$2:$A$500=A172)*($B$2:$B$500=B172)*($C$2:$C$500=C172)*($D$2:$D$500=D172))&gt;1,"⚠ 欄位名稱重複 ","")&amp;IF(AND(B172&lt;&gt;"",NOT(ISNUMBER(SEARCH("、"&amp;B172&amp;"、","、"&amp;IFERROR(INDEX(表單!$I$2:$I$500,MATCH(A172,表單!$A$2:$A$500,0)),"")&amp;"、")))),"⚠ 單元不在適用單元內 ","")&amp;IF(AND(H172="Y",B172=""),"⚠ 排除只能用在單元列 ","")&amp;IF(AND(H172="Y",B172&lt;&gt;"",SUMPRODUCT(($A$2:$A$500=A172)*($C$2:$C$500=C172)*($D$2:$D$500=D172)*($B$2:$B$500=""))=0),"⚠ 排除需對應共用欄位 ","")&amp;IF(AND(ISNUMBER(F172),ISNUMBER(G172),F172&gt;G172),"⚠ 下限大於上限 ","")&amp;IF(SUMPRODUCT((檢查項目!$A$2:$A$500=A172)*(檢查項目!$C$2:$C$500=C172)*(檢查項目!$G$2:$G$500="數值"))=0,"⚠ 該項目不是數值類型 ",""))))</f>
        <v/>
      </c>
    </row>
    <row r="173">
      <c r="I173" s="2">
        <f>IF(A173="","",IFERROR(INDEX(檢查項目!$E$2:$E$500,MATCH(1,INDEX((檢查項目!$A$2:$A$500=A173)*(檢查項目!$C$2:$C$500=C173)*(檢查項目!$B$2:$B$500=B173),0),0)),IFERROR(INDEX(檢查項目!$E$2:$E$500,MATCH(1,INDEX((檢查項目!$A$2:$A$500=A173)*(檢查項目!$C$2:$C$500=C173)*(檢查項目!$B$2:$B$500=""),0),0)),"⚠ 找不到項目")))</f>
        <v/>
      </c>
      <c r="J173" s="2">
        <f>IF(A173="","",IF(B173="","共用",IF(H173="Y","排除（"&amp;B173&amp;"）",IF(SUMPRODUCT(($A$2:$A$500=A173)*($C$2:$C$500=C173)*($D$2:$D$500=D173)*($B$2:$B$500=""))&gt;0,"覆蓋共用（"&amp;B173&amp;"）","單元新增（"&amp;B173&amp;"）"))))</f>
        <v/>
      </c>
      <c r="K173" s="2">
        <f>IF(A173="","",IF(H173="Y","—",IF(AND(F173&lt;&gt;"",G173&lt;&gt;""),F173&amp;" ~ "&amp;G173,IF(G173&lt;&gt;"","≤ "&amp;G173,IF(F173&lt;&gt;"","≥ "&amp;F173,"只記錄、不檢核")))))</f>
        <v/>
      </c>
      <c r="L173" s="2">
        <f>IF(A173="","",IF(TRIM(IF(SUMPRODUCT(($A$2:$A$500=A173)*($B$2:$B$500=B173)*($C$2:$C$500=C173)*($D$2:$D$500=D173))&gt;1,"⚠ 欄位名稱重複 ","")&amp;IF(AND(B173&lt;&gt;"",NOT(ISNUMBER(SEARCH("、"&amp;B173&amp;"、","、"&amp;IFERROR(INDEX(表單!$I$2:$I$500,MATCH(A173,表單!$A$2:$A$500,0)),"")&amp;"、")))),"⚠ 單元不在適用單元內 ","")&amp;IF(AND(H173="Y",B173=""),"⚠ 排除只能用在單元列 ","")&amp;IF(AND(H173="Y",B173&lt;&gt;"",SUMPRODUCT(($A$2:$A$500=A173)*($C$2:$C$500=C173)*($D$2:$D$500=D173)*($B$2:$B$500=""))=0),"⚠ 排除需對應共用欄位 ","")&amp;IF(AND(ISNUMBER(F173),ISNUMBER(G173),F173&gt;G173),"⚠ 下限大於上限 ","")&amp;IF(SUMPRODUCT((檢查項目!$A$2:$A$500=A173)*(檢查項目!$C$2:$C$500=C173)*(檢查項目!$G$2:$G$500="數值"))=0,"⚠ 該項目不是數值類型 ",""))="","✓",TRIM(IF(SUMPRODUCT(($A$2:$A$500=A173)*($B$2:$B$500=B173)*($C$2:$C$500=C173)*($D$2:$D$500=D173))&gt;1,"⚠ 欄位名稱重複 ","")&amp;IF(AND(B173&lt;&gt;"",NOT(ISNUMBER(SEARCH("、"&amp;B173&amp;"、","、"&amp;IFERROR(INDEX(表單!$I$2:$I$500,MATCH(A173,表單!$A$2:$A$500,0)),"")&amp;"、")))),"⚠ 單元不在適用單元內 ","")&amp;IF(AND(H173="Y",B173=""),"⚠ 排除只能用在單元列 ","")&amp;IF(AND(H173="Y",B173&lt;&gt;"",SUMPRODUCT(($A$2:$A$500=A173)*($C$2:$C$500=C173)*($D$2:$D$500=D173)*($B$2:$B$500=""))=0),"⚠ 排除需對應共用欄位 ","")&amp;IF(AND(ISNUMBER(F173),ISNUMBER(G173),F173&gt;G173),"⚠ 下限大於上限 ","")&amp;IF(SUMPRODUCT((檢查項目!$A$2:$A$500=A173)*(檢查項目!$C$2:$C$500=C173)*(檢查項目!$G$2:$G$500="數值"))=0,"⚠ 該項目不是數值類型 ",""))))</f>
        <v/>
      </c>
    </row>
    <row r="174">
      <c r="I174" s="2">
        <f>IF(A174="","",IFERROR(INDEX(檢查項目!$E$2:$E$500,MATCH(1,INDEX((檢查項目!$A$2:$A$500=A174)*(檢查項目!$C$2:$C$500=C174)*(檢查項目!$B$2:$B$500=B174),0),0)),IFERROR(INDEX(檢查項目!$E$2:$E$500,MATCH(1,INDEX((檢查項目!$A$2:$A$500=A174)*(檢查項目!$C$2:$C$500=C174)*(檢查項目!$B$2:$B$500=""),0),0)),"⚠ 找不到項目")))</f>
        <v/>
      </c>
      <c r="J174" s="2">
        <f>IF(A174="","",IF(B174="","共用",IF(H174="Y","排除（"&amp;B174&amp;"）",IF(SUMPRODUCT(($A$2:$A$500=A174)*($C$2:$C$500=C174)*($D$2:$D$500=D174)*($B$2:$B$500=""))&gt;0,"覆蓋共用（"&amp;B174&amp;"）","單元新增（"&amp;B174&amp;"）"))))</f>
        <v/>
      </c>
      <c r="K174" s="2">
        <f>IF(A174="","",IF(H174="Y","—",IF(AND(F174&lt;&gt;"",G174&lt;&gt;""),F174&amp;" ~ "&amp;G174,IF(G174&lt;&gt;"","≤ "&amp;G174,IF(F174&lt;&gt;"","≥ "&amp;F174,"只記錄、不檢核")))))</f>
        <v/>
      </c>
      <c r="L174" s="2">
        <f>IF(A174="","",IF(TRIM(IF(SUMPRODUCT(($A$2:$A$500=A174)*($B$2:$B$500=B174)*($C$2:$C$500=C174)*($D$2:$D$500=D174))&gt;1,"⚠ 欄位名稱重複 ","")&amp;IF(AND(B174&lt;&gt;"",NOT(ISNUMBER(SEARCH("、"&amp;B174&amp;"、","、"&amp;IFERROR(INDEX(表單!$I$2:$I$500,MATCH(A174,表單!$A$2:$A$500,0)),"")&amp;"、")))),"⚠ 單元不在適用單元內 ","")&amp;IF(AND(H174="Y",B174=""),"⚠ 排除只能用在單元列 ","")&amp;IF(AND(H174="Y",B174&lt;&gt;"",SUMPRODUCT(($A$2:$A$500=A174)*($C$2:$C$500=C174)*($D$2:$D$500=D174)*($B$2:$B$500=""))=0),"⚠ 排除需對應共用欄位 ","")&amp;IF(AND(ISNUMBER(F174),ISNUMBER(G174),F174&gt;G174),"⚠ 下限大於上限 ","")&amp;IF(SUMPRODUCT((檢查項目!$A$2:$A$500=A174)*(檢查項目!$C$2:$C$500=C174)*(檢查項目!$G$2:$G$500="數值"))=0,"⚠ 該項目不是數值類型 ",""))="","✓",TRIM(IF(SUMPRODUCT(($A$2:$A$500=A174)*($B$2:$B$500=B174)*($C$2:$C$500=C174)*($D$2:$D$500=D174))&gt;1,"⚠ 欄位名稱重複 ","")&amp;IF(AND(B174&lt;&gt;"",NOT(ISNUMBER(SEARCH("、"&amp;B174&amp;"、","、"&amp;IFERROR(INDEX(表單!$I$2:$I$500,MATCH(A174,表單!$A$2:$A$500,0)),"")&amp;"、")))),"⚠ 單元不在適用單元內 ","")&amp;IF(AND(H174="Y",B174=""),"⚠ 排除只能用在單元列 ","")&amp;IF(AND(H174="Y",B174&lt;&gt;"",SUMPRODUCT(($A$2:$A$500=A174)*($C$2:$C$500=C174)*($D$2:$D$500=D174)*($B$2:$B$500=""))=0),"⚠ 排除需對應共用欄位 ","")&amp;IF(AND(ISNUMBER(F174),ISNUMBER(G174),F174&gt;G174),"⚠ 下限大於上限 ","")&amp;IF(SUMPRODUCT((檢查項目!$A$2:$A$500=A174)*(檢查項目!$C$2:$C$500=C174)*(檢查項目!$G$2:$G$500="數值"))=0,"⚠ 該項目不是數值類型 ",""))))</f>
        <v/>
      </c>
    </row>
    <row r="175">
      <c r="I175" s="2">
        <f>IF(A175="","",IFERROR(INDEX(檢查項目!$E$2:$E$500,MATCH(1,INDEX((檢查項目!$A$2:$A$500=A175)*(檢查項目!$C$2:$C$500=C175)*(檢查項目!$B$2:$B$500=B175),0),0)),IFERROR(INDEX(檢查項目!$E$2:$E$500,MATCH(1,INDEX((檢查項目!$A$2:$A$500=A175)*(檢查項目!$C$2:$C$500=C175)*(檢查項目!$B$2:$B$500=""),0),0)),"⚠ 找不到項目")))</f>
        <v/>
      </c>
      <c r="J175" s="2">
        <f>IF(A175="","",IF(B175="","共用",IF(H175="Y","排除（"&amp;B175&amp;"）",IF(SUMPRODUCT(($A$2:$A$500=A175)*($C$2:$C$500=C175)*($D$2:$D$500=D175)*($B$2:$B$500=""))&gt;0,"覆蓋共用（"&amp;B175&amp;"）","單元新增（"&amp;B175&amp;"）"))))</f>
        <v/>
      </c>
      <c r="K175" s="2">
        <f>IF(A175="","",IF(H175="Y","—",IF(AND(F175&lt;&gt;"",G175&lt;&gt;""),F175&amp;" ~ "&amp;G175,IF(G175&lt;&gt;"","≤ "&amp;G175,IF(F175&lt;&gt;"","≥ "&amp;F175,"只記錄、不檢核")))))</f>
        <v/>
      </c>
      <c r="L175" s="2">
        <f>IF(A175="","",IF(TRIM(IF(SUMPRODUCT(($A$2:$A$500=A175)*($B$2:$B$500=B175)*($C$2:$C$500=C175)*($D$2:$D$500=D175))&gt;1,"⚠ 欄位名稱重複 ","")&amp;IF(AND(B175&lt;&gt;"",NOT(ISNUMBER(SEARCH("、"&amp;B175&amp;"、","、"&amp;IFERROR(INDEX(表單!$I$2:$I$500,MATCH(A175,表單!$A$2:$A$500,0)),"")&amp;"、")))),"⚠ 單元不在適用單元內 ","")&amp;IF(AND(H175="Y",B175=""),"⚠ 排除只能用在單元列 ","")&amp;IF(AND(H175="Y",B175&lt;&gt;"",SUMPRODUCT(($A$2:$A$500=A175)*($C$2:$C$500=C175)*($D$2:$D$500=D175)*($B$2:$B$500=""))=0),"⚠ 排除需對應共用欄位 ","")&amp;IF(AND(ISNUMBER(F175),ISNUMBER(G175),F175&gt;G175),"⚠ 下限大於上限 ","")&amp;IF(SUMPRODUCT((檢查項目!$A$2:$A$500=A175)*(檢查項目!$C$2:$C$500=C175)*(檢查項目!$G$2:$G$500="數值"))=0,"⚠ 該項目不是數值類型 ",""))="","✓",TRIM(IF(SUMPRODUCT(($A$2:$A$500=A175)*($B$2:$B$500=B175)*($C$2:$C$500=C175)*($D$2:$D$500=D175))&gt;1,"⚠ 欄位名稱重複 ","")&amp;IF(AND(B175&lt;&gt;"",NOT(ISNUMBER(SEARCH("、"&amp;B175&amp;"、","、"&amp;IFERROR(INDEX(表單!$I$2:$I$500,MATCH(A175,表單!$A$2:$A$500,0)),"")&amp;"、")))),"⚠ 單元不在適用單元內 ","")&amp;IF(AND(H175="Y",B175=""),"⚠ 排除只能用在單元列 ","")&amp;IF(AND(H175="Y",B175&lt;&gt;"",SUMPRODUCT(($A$2:$A$500=A175)*($C$2:$C$500=C175)*($D$2:$D$500=D175)*($B$2:$B$500=""))=0),"⚠ 排除需對應共用欄位 ","")&amp;IF(AND(ISNUMBER(F175),ISNUMBER(G175),F175&gt;G175),"⚠ 下限大於上限 ","")&amp;IF(SUMPRODUCT((檢查項目!$A$2:$A$500=A175)*(檢查項目!$C$2:$C$500=C175)*(檢查項目!$G$2:$G$500="數值"))=0,"⚠ 該項目不是數值類型 ",""))))</f>
        <v/>
      </c>
    </row>
    <row r="176">
      <c r="I176" s="2">
        <f>IF(A176="","",IFERROR(INDEX(檢查項目!$E$2:$E$500,MATCH(1,INDEX((檢查項目!$A$2:$A$500=A176)*(檢查項目!$C$2:$C$500=C176)*(檢查項目!$B$2:$B$500=B176),0),0)),IFERROR(INDEX(檢查項目!$E$2:$E$500,MATCH(1,INDEX((檢查項目!$A$2:$A$500=A176)*(檢查項目!$C$2:$C$500=C176)*(檢查項目!$B$2:$B$500=""),0),0)),"⚠ 找不到項目")))</f>
        <v/>
      </c>
      <c r="J176" s="2">
        <f>IF(A176="","",IF(B176="","共用",IF(H176="Y","排除（"&amp;B176&amp;"）",IF(SUMPRODUCT(($A$2:$A$500=A176)*($C$2:$C$500=C176)*($D$2:$D$500=D176)*($B$2:$B$500=""))&gt;0,"覆蓋共用（"&amp;B176&amp;"）","單元新增（"&amp;B176&amp;"）"))))</f>
        <v/>
      </c>
      <c r="K176" s="2">
        <f>IF(A176="","",IF(H176="Y","—",IF(AND(F176&lt;&gt;"",G176&lt;&gt;""),F176&amp;" ~ "&amp;G176,IF(G176&lt;&gt;"","≤ "&amp;G176,IF(F176&lt;&gt;"","≥ "&amp;F176,"只記錄、不檢核")))))</f>
        <v/>
      </c>
      <c r="L176" s="2">
        <f>IF(A176="","",IF(TRIM(IF(SUMPRODUCT(($A$2:$A$500=A176)*($B$2:$B$500=B176)*($C$2:$C$500=C176)*($D$2:$D$500=D176))&gt;1,"⚠ 欄位名稱重複 ","")&amp;IF(AND(B176&lt;&gt;"",NOT(ISNUMBER(SEARCH("、"&amp;B176&amp;"、","、"&amp;IFERROR(INDEX(表單!$I$2:$I$500,MATCH(A176,表單!$A$2:$A$500,0)),"")&amp;"、")))),"⚠ 單元不在適用單元內 ","")&amp;IF(AND(H176="Y",B176=""),"⚠ 排除只能用在單元列 ","")&amp;IF(AND(H176="Y",B176&lt;&gt;"",SUMPRODUCT(($A$2:$A$500=A176)*($C$2:$C$500=C176)*($D$2:$D$500=D176)*($B$2:$B$500=""))=0),"⚠ 排除需對應共用欄位 ","")&amp;IF(AND(ISNUMBER(F176),ISNUMBER(G176),F176&gt;G176),"⚠ 下限大於上限 ","")&amp;IF(SUMPRODUCT((檢查項目!$A$2:$A$500=A176)*(檢查項目!$C$2:$C$500=C176)*(檢查項目!$G$2:$G$500="數值"))=0,"⚠ 該項目不是數值類型 ",""))="","✓",TRIM(IF(SUMPRODUCT(($A$2:$A$500=A176)*($B$2:$B$500=B176)*($C$2:$C$500=C176)*($D$2:$D$500=D176))&gt;1,"⚠ 欄位名稱重複 ","")&amp;IF(AND(B176&lt;&gt;"",NOT(ISNUMBER(SEARCH("、"&amp;B176&amp;"、","、"&amp;IFERROR(INDEX(表單!$I$2:$I$500,MATCH(A176,表單!$A$2:$A$500,0)),"")&amp;"、")))),"⚠ 單元不在適用單元內 ","")&amp;IF(AND(H176="Y",B176=""),"⚠ 排除只能用在單元列 ","")&amp;IF(AND(H176="Y",B176&lt;&gt;"",SUMPRODUCT(($A$2:$A$500=A176)*($C$2:$C$500=C176)*($D$2:$D$500=D176)*($B$2:$B$500=""))=0),"⚠ 排除需對應共用欄位 ","")&amp;IF(AND(ISNUMBER(F176),ISNUMBER(G176),F176&gt;G176),"⚠ 下限大於上限 ","")&amp;IF(SUMPRODUCT((檢查項目!$A$2:$A$500=A176)*(檢查項目!$C$2:$C$500=C176)*(檢查項目!$G$2:$G$500="數值"))=0,"⚠ 該項目不是數值類型 ",""))))</f>
        <v/>
      </c>
    </row>
    <row r="177">
      <c r="I177" s="2">
        <f>IF(A177="","",IFERROR(INDEX(檢查項目!$E$2:$E$500,MATCH(1,INDEX((檢查項目!$A$2:$A$500=A177)*(檢查項目!$C$2:$C$500=C177)*(檢查項目!$B$2:$B$500=B177),0),0)),IFERROR(INDEX(檢查項目!$E$2:$E$500,MATCH(1,INDEX((檢查項目!$A$2:$A$500=A177)*(檢查項目!$C$2:$C$500=C177)*(檢查項目!$B$2:$B$500=""),0),0)),"⚠ 找不到項目")))</f>
        <v/>
      </c>
      <c r="J177" s="2">
        <f>IF(A177="","",IF(B177="","共用",IF(H177="Y","排除（"&amp;B177&amp;"）",IF(SUMPRODUCT(($A$2:$A$500=A177)*($C$2:$C$500=C177)*($D$2:$D$500=D177)*($B$2:$B$500=""))&gt;0,"覆蓋共用（"&amp;B177&amp;"）","單元新增（"&amp;B177&amp;"）"))))</f>
        <v/>
      </c>
      <c r="K177" s="2">
        <f>IF(A177="","",IF(H177="Y","—",IF(AND(F177&lt;&gt;"",G177&lt;&gt;""),F177&amp;" ~ "&amp;G177,IF(G177&lt;&gt;"","≤ "&amp;G177,IF(F177&lt;&gt;"","≥ "&amp;F177,"只記錄、不檢核")))))</f>
        <v/>
      </c>
      <c r="L177" s="2">
        <f>IF(A177="","",IF(TRIM(IF(SUMPRODUCT(($A$2:$A$500=A177)*($B$2:$B$500=B177)*($C$2:$C$500=C177)*($D$2:$D$500=D177))&gt;1,"⚠ 欄位名稱重複 ","")&amp;IF(AND(B177&lt;&gt;"",NOT(ISNUMBER(SEARCH("、"&amp;B177&amp;"、","、"&amp;IFERROR(INDEX(表單!$I$2:$I$500,MATCH(A177,表單!$A$2:$A$500,0)),"")&amp;"、")))),"⚠ 單元不在適用單元內 ","")&amp;IF(AND(H177="Y",B177=""),"⚠ 排除只能用在單元列 ","")&amp;IF(AND(H177="Y",B177&lt;&gt;"",SUMPRODUCT(($A$2:$A$500=A177)*($C$2:$C$500=C177)*($D$2:$D$500=D177)*($B$2:$B$500=""))=0),"⚠ 排除需對應共用欄位 ","")&amp;IF(AND(ISNUMBER(F177),ISNUMBER(G177),F177&gt;G177),"⚠ 下限大於上限 ","")&amp;IF(SUMPRODUCT((檢查項目!$A$2:$A$500=A177)*(檢查項目!$C$2:$C$500=C177)*(檢查項目!$G$2:$G$500="數值"))=0,"⚠ 該項目不是數值類型 ",""))="","✓",TRIM(IF(SUMPRODUCT(($A$2:$A$500=A177)*($B$2:$B$500=B177)*($C$2:$C$500=C177)*($D$2:$D$500=D177))&gt;1,"⚠ 欄位名稱重複 ","")&amp;IF(AND(B177&lt;&gt;"",NOT(ISNUMBER(SEARCH("、"&amp;B177&amp;"、","、"&amp;IFERROR(INDEX(表單!$I$2:$I$500,MATCH(A177,表單!$A$2:$A$500,0)),"")&amp;"、")))),"⚠ 單元不在適用單元內 ","")&amp;IF(AND(H177="Y",B177=""),"⚠ 排除只能用在單元列 ","")&amp;IF(AND(H177="Y",B177&lt;&gt;"",SUMPRODUCT(($A$2:$A$500=A177)*($C$2:$C$500=C177)*($D$2:$D$500=D177)*($B$2:$B$500=""))=0),"⚠ 排除需對應共用欄位 ","")&amp;IF(AND(ISNUMBER(F177),ISNUMBER(G177),F177&gt;G177),"⚠ 下限大於上限 ","")&amp;IF(SUMPRODUCT((檢查項目!$A$2:$A$500=A177)*(檢查項目!$C$2:$C$500=C177)*(檢查項目!$G$2:$G$500="數值"))=0,"⚠ 該項目不是數值類型 ",""))))</f>
        <v/>
      </c>
    </row>
    <row r="178">
      <c r="I178" s="2">
        <f>IF(A178="","",IFERROR(INDEX(檢查項目!$E$2:$E$500,MATCH(1,INDEX((檢查項目!$A$2:$A$500=A178)*(檢查項目!$C$2:$C$500=C178)*(檢查項目!$B$2:$B$500=B178),0),0)),IFERROR(INDEX(檢查項目!$E$2:$E$500,MATCH(1,INDEX((檢查項目!$A$2:$A$500=A178)*(檢查項目!$C$2:$C$500=C178)*(檢查項目!$B$2:$B$500=""),0),0)),"⚠ 找不到項目")))</f>
        <v/>
      </c>
      <c r="J178" s="2">
        <f>IF(A178="","",IF(B178="","共用",IF(H178="Y","排除（"&amp;B178&amp;"）",IF(SUMPRODUCT(($A$2:$A$500=A178)*($C$2:$C$500=C178)*($D$2:$D$500=D178)*($B$2:$B$500=""))&gt;0,"覆蓋共用（"&amp;B178&amp;"）","單元新增（"&amp;B178&amp;"）"))))</f>
        <v/>
      </c>
      <c r="K178" s="2">
        <f>IF(A178="","",IF(H178="Y","—",IF(AND(F178&lt;&gt;"",G178&lt;&gt;""),F178&amp;" ~ "&amp;G178,IF(G178&lt;&gt;"","≤ "&amp;G178,IF(F178&lt;&gt;"","≥ "&amp;F178,"只記錄、不檢核")))))</f>
        <v/>
      </c>
      <c r="L178" s="2">
        <f>IF(A178="","",IF(TRIM(IF(SUMPRODUCT(($A$2:$A$500=A178)*($B$2:$B$500=B178)*($C$2:$C$500=C178)*($D$2:$D$500=D178))&gt;1,"⚠ 欄位名稱重複 ","")&amp;IF(AND(B178&lt;&gt;"",NOT(ISNUMBER(SEARCH("、"&amp;B178&amp;"、","、"&amp;IFERROR(INDEX(表單!$I$2:$I$500,MATCH(A178,表單!$A$2:$A$500,0)),"")&amp;"、")))),"⚠ 單元不在適用單元內 ","")&amp;IF(AND(H178="Y",B178=""),"⚠ 排除只能用在單元列 ","")&amp;IF(AND(H178="Y",B178&lt;&gt;"",SUMPRODUCT(($A$2:$A$500=A178)*($C$2:$C$500=C178)*($D$2:$D$500=D178)*($B$2:$B$500=""))=0),"⚠ 排除需對應共用欄位 ","")&amp;IF(AND(ISNUMBER(F178),ISNUMBER(G178),F178&gt;G178),"⚠ 下限大於上限 ","")&amp;IF(SUMPRODUCT((檢查項目!$A$2:$A$500=A178)*(檢查項目!$C$2:$C$500=C178)*(檢查項目!$G$2:$G$500="數值"))=0,"⚠ 該項目不是數值類型 ",""))="","✓",TRIM(IF(SUMPRODUCT(($A$2:$A$500=A178)*($B$2:$B$500=B178)*($C$2:$C$500=C178)*($D$2:$D$500=D178))&gt;1,"⚠ 欄位名稱重複 ","")&amp;IF(AND(B178&lt;&gt;"",NOT(ISNUMBER(SEARCH("、"&amp;B178&amp;"、","、"&amp;IFERROR(INDEX(表單!$I$2:$I$500,MATCH(A178,表單!$A$2:$A$500,0)),"")&amp;"、")))),"⚠ 單元不在適用單元內 ","")&amp;IF(AND(H178="Y",B178=""),"⚠ 排除只能用在單元列 ","")&amp;IF(AND(H178="Y",B178&lt;&gt;"",SUMPRODUCT(($A$2:$A$500=A178)*($C$2:$C$500=C178)*($D$2:$D$500=D178)*($B$2:$B$500=""))=0),"⚠ 排除需對應共用欄位 ","")&amp;IF(AND(ISNUMBER(F178),ISNUMBER(G178),F178&gt;G178),"⚠ 下限大於上限 ","")&amp;IF(SUMPRODUCT((檢查項目!$A$2:$A$500=A178)*(檢查項目!$C$2:$C$500=C178)*(檢查項目!$G$2:$G$500="數值"))=0,"⚠ 該項目不是數值類型 ",""))))</f>
        <v/>
      </c>
    </row>
    <row r="179">
      <c r="I179" s="2">
        <f>IF(A179="","",IFERROR(INDEX(檢查項目!$E$2:$E$500,MATCH(1,INDEX((檢查項目!$A$2:$A$500=A179)*(檢查項目!$C$2:$C$500=C179)*(檢查項目!$B$2:$B$500=B179),0),0)),IFERROR(INDEX(檢查項目!$E$2:$E$500,MATCH(1,INDEX((檢查項目!$A$2:$A$500=A179)*(檢查項目!$C$2:$C$500=C179)*(檢查項目!$B$2:$B$500=""),0),0)),"⚠ 找不到項目")))</f>
        <v/>
      </c>
      <c r="J179" s="2">
        <f>IF(A179="","",IF(B179="","共用",IF(H179="Y","排除（"&amp;B179&amp;"）",IF(SUMPRODUCT(($A$2:$A$500=A179)*($C$2:$C$500=C179)*($D$2:$D$500=D179)*($B$2:$B$500=""))&gt;0,"覆蓋共用（"&amp;B179&amp;"）","單元新增（"&amp;B179&amp;"）"))))</f>
        <v/>
      </c>
      <c r="K179" s="2">
        <f>IF(A179="","",IF(H179="Y","—",IF(AND(F179&lt;&gt;"",G179&lt;&gt;""),F179&amp;" ~ "&amp;G179,IF(G179&lt;&gt;"","≤ "&amp;G179,IF(F179&lt;&gt;"","≥ "&amp;F179,"只記錄、不檢核")))))</f>
        <v/>
      </c>
      <c r="L179" s="2">
        <f>IF(A179="","",IF(TRIM(IF(SUMPRODUCT(($A$2:$A$500=A179)*($B$2:$B$500=B179)*($C$2:$C$500=C179)*($D$2:$D$500=D179))&gt;1,"⚠ 欄位名稱重複 ","")&amp;IF(AND(B179&lt;&gt;"",NOT(ISNUMBER(SEARCH("、"&amp;B179&amp;"、","、"&amp;IFERROR(INDEX(表單!$I$2:$I$500,MATCH(A179,表單!$A$2:$A$500,0)),"")&amp;"、")))),"⚠ 單元不在適用單元內 ","")&amp;IF(AND(H179="Y",B179=""),"⚠ 排除只能用在單元列 ","")&amp;IF(AND(H179="Y",B179&lt;&gt;"",SUMPRODUCT(($A$2:$A$500=A179)*($C$2:$C$500=C179)*($D$2:$D$500=D179)*($B$2:$B$500=""))=0),"⚠ 排除需對應共用欄位 ","")&amp;IF(AND(ISNUMBER(F179),ISNUMBER(G179),F179&gt;G179),"⚠ 下限大於上限 ","")&amp;IF(SUMPRODUCT((檢查項目!$A$2:$A$500=A179)*(檢查項目!$C$2:$C$500=C179)*(檢查項目!$G$2:$G$500="數值"))=0,"⚠ 該項目不是數值類型 ",""))="","✓",TRIM(IF(SUMPRODUCT(($A$2:$A$500=A179)*($B$2:$B$500=B179)*($C$2:$C$500=C179)*($D$2:$D$500=D179))&gt;1,"⚠ 欄位名稱重複 ","")&amp;IF(AND(B179&lt;&gt;"",NOT(ISNUMBER(SEARCH("、"&amp;B179&amp;"、","、"&amp;IFERROR(INDEX(表單!$I$2:$I$500,MATCH(A179,表單!$A$2:$A$500,0)),"")&amp;"、")))),"⚠ 單元不在適用單元內 ","")&amp;IF(AND(H179="Y",B179=""),"⚠ 排除只能用在單元列 ","")&amp;IF(AND(H179="Y",B179&lt;&gt;"",SUMPRODUCT(($A$2:$A$500=A179)*($C$2:$C$500=C179)*($D$2:$D$500=D179)*($B$2:$B$500=""))=0),"⚠ 排除需對應共用欄位 ","")&amp;IF(AND(ISNUMBER(F179),ISNUMBER(G179),F179&gt;G179),"⚠ 下限大於上限 ","")&amp;IF(SUMPRODUCT((檢查項目!$A$2:$A$500=A179)*(檢查項目!$C$2:$C$500=C179)*(檢查項目!$G$2:$G$500="數值"))=0,"⚠ 該項目不是數值類型 ",""))))</f>
        <v/>
      </c>
    </row>
    <row r="180">
      <c r="I180" s="2">
        <f>IF(A180="","",IFERROR(INDEX(檢查項目!$E$2:$E$500,MATCH(1,INDEX((檢查項目!$A$2:$A$500=A180)*(檢查項目!$C$2:$C$500=C180)*(檢查項目!$B$2:$B$500=B180),0),0)),IFERROR(INDEX(檢查項目!$E$2:$E$500,MATCH(1,INDEX((檢查項目!$A$2:$A$500=A180)*(檢查項目!$C$2:$C$500=C180)*(檢查項目!$B$2:$B$500=""),0),0)),"⚠ 找不到項目")))</f>
        <v/>
      </c>
      <c r="J180" s="2">
        <f>IF(A180="","",IF(B180="","共用",IF(H180="Y","排除（"&amp;B180&amp;"）",IF(SUMPRODUCT(($A$2:$A$500=A180)*($C$2:$C$500=C180)*($D$2:$D$500=D180)*($B$2:$B$500=""))&gt;0,"覆蓋共用（"&amp;B180&amp;"）","單元新增（"&amp;B180&amp;"）"))))</f>
        <v/>
      </c>
      <c r="K180" s="2">
        <f>IF(A180="","",IF(H180="Y","—",IF(AND(F180&lt;&gt;"",G180&lt;&gt;""),F180&amp;" ~ "&amp;G180,IF(G180&lt;&gt;"","≤ "&amp;G180,IF(F180&lt;&gt;"","≥ "&amp;F180,"只記錄、不檢核")))))</f>
        <v/>
      </c>
      <c r="L180" s="2">
        <f>IF(A180="","",IF(TRIM(IF(SUMPRODUCT(($A$2:$A$500=A180)*($B$2:$B$500=B180)*($C$2:$C$500=C180)*($D$2:$D$500=D180))&gt;1,"⚠ 欄位名稱重複 ","")&amp;IF(AND(B180&lt;&gt;"",NOT(ISNUMBER(SEARCH("、"&amp;B180&amp;"、","、"&amp;IFERROR(INDEX(表單!$I$2:$I$500,MATCH(A180,表單!$A$2:$A$500,0)),"")&amp;"、")))),"⚠ 單元不在適用單元內 ","")&amp;IF(AND(H180="Y",B180=""),"⚠ 排除只能用在單元列 ","")&amp;IF(AND(H180="Y",B180&lt;&gt;"",SUMPRODUCT(($A$2:$A$500=A180)*($C$2:$C$500=C180)*($D$2:$D$500=D180)*($B$2:$B$500=""))=0),"⚠ 排除需對應共用欄位 ","")&amp;IF(AND(ISNUMBER(F180),ISNUMBER(G180),F180&gt;G180),"⚠ 下限大於上限 ","")&amp;IF(SUMPRODUCT((檢查項目!$A$2:$A$500=A180)*(檢查項目!$C$2:$C$500=C180)*(檢查項目!$G$2:$G$500="數值"))=0,"⚠ 該項目不是數值類型 ",""))="","✓",TRIM(IF(SUMPRODUCT(($A$2:$A$500=A180)*($B$2:$B$500=B180)*($C$2:$C$500=C180)*($D$2:$D$500=D180))&gt;1,"⚠ 欄位名稱重複 ","")&amp;IF(AND(B180&lt;&gt;"",NOT(ISNUMBER(SEARCH("、"&amp;B180&amp;"、","、"&amp;IFERROR(INDEX(表單!$I$2:$I$500,MATCH(A180,表單!$A$2:$A$500,0)),"")&amp;"、")))),"⚠ 單元不在適用單元內 ","")&amp;IF(AND(H180="Y",B180=""),"⚠ 排除只能用在單元列 ","")&amp;IF(AND(H180="Y",B180&lt;&gt;"",SUMPRODUCT(($A$2:$A$500=A180)*($C$2:$C$500=C180)*($D$2:$D$500=D180)*($B$2:$B$500=""))=0),"⚠ 排除需對應共用欄位 ","")&amp;IF(AND(ISNUMBER(F180),ISNUMBER(G180),F180&gt;G180),"⚠ 下限大於上限 ","")&amp;IF(SUMPRODUCT((檢查項目!$A$2:$A$500=A180)*(檢查項目!$C$2:$C$500=C180)*(檢查項目!$G$2:$G$500="數值"))=0,"⚠ 該項目不是數值類型 ",""))))</f>
        <v/>
      </c>
    </row>
    <row r="181">
      <c r="I181" s="2">
        <f>IF(A181="","",IFERROR(INDEX(檢查項目!$E$2:$E$500,MATCH(1,INDEX((檢查項目!$A$2:$A$500=A181)*(檢查項目!$C$2:$C$500=C181)*(檢查項目!$B$2:$B$500=B181),0),0)),IFERROR(INDEX(檢查項目!$E$2:$E$500,MATCH(1,INDEX((檢查項目!$A$2:$A$500=A181)*(檢查項目!$C$2:$C$500=C181)*(檢查項目!$B$2:$B$500=""),0),0)),"⚠ 找不到項目")))</f>
        <v/>
      </c>
      <c r="J181" s="2">
        <f>IF(A181="","",IF(B181="","共用",IF(H181="Y","排除（"&amp;B181&amp;"）",IF(SUMPRODUCT(($A$2:$A$500=A181)*($C$2:$C$500=C181)*($D$2:$D$500=D181)*($B$2:$B$500=""))&gt;0,"覆蓋共用（"&amp;B181&amp;"）","單元新增（"&amp;B181&amp;"）"))))</f>
        <v/>
      </c>
      <c r="K181" s="2">
        <f>IF(A181="","",IF(H181="Y","—",IF(AND(F181&lt;&gt;"",G181&lt;&gt;""),F181&amp;" ~ "&amp;G181,IF(G181&lt;&gt;"","≤ "&amp;G181,IF(F181&lt;&gt;"","≥ "&amp;F181,"只記錄、不檢核")))))</f>
        <v/>
      </c>
      <c r="L181" s="2">
        <f>IF(A181="","",IF(TRIM(IF(SUMPRODUCT(($A$2:$A$500=A181)*($B$2:$B$500=B181)*($C$2:$C$500=C181)*($D$2:$D$500=D181))&gt;1,"⚠ 欄位名稱重複 ","")&amp;IF(AND(B181&lt;&gt;"",NOT(ISNUMBER(SEARCH("、"&amp;B181&amp;"、","、"&amp;IFERROR(INDEX(表單!$I$2:$I$500,MATCH(A181,表單!$A$2:$A$500,0)),"")&amp;"、")))),"⚠ 單元不在適用單元內 ","")&amp;IF(AND(H181="Y",B181=""),"⚠ 排除只能用在單元列 ","")&amp;IF(AND(H181="Y",B181&lt;&gt;"",SUMPRODUCT(($A$2:$A$500=A181)*($C$2:$C$500=C181)*($D$2:$D$500=D181)*($B$2:$B$500=""))=0),"⚠ 排除需對應共用欄位 ","")&amp;IF(AND(ISNUMBER(F181),ISNUMBER(G181),F181&gt;G181),"⚠ 下限大於上限 ","")&amp;IF(SUMPRODUCT((檢查項目!$A$2:$A$500=A181)*(檢查項目!$C$2:$C$500=C181)*(檢查項目!$G$2:$G$500="數值"))=0,"⚠ 該項目不是數值類型 ",""))="","✓",TRIM(IF(SUMPRODUCT(($A$2:$A$500=A181)*($B$2:$B$500=B181)*($C$2:$C$500=C181)*($D$2:$D$500=D181))&gt;1,"⚠ 欄位名稱重複 ","")&amp;IF(AND(B181&lt;&gt;"",NOT(ISNUMBER(SEARCH("、"&amp;B181&amp;"、","、"&amp;IFERROR(INDEX(表單!$I$2:$I$500,MATCH(A181,表單!$A$2:$A$500,0)),"")&amp;"、")))),"⚠ 單元不在適用單元內 ","")&amp;IF(AND(H181="Y",B181=""),"⚠ 排除只能用在單元列 ","")&amp;IF(AND(H181="Y",B181&lt;&gt;"",SUMPRODUCT(($A$2:$A$500=A181)*($C$2:$C$500=C181)*($D$2:$D$500=D181)*($B$2:$B$500=""))=0),"⚠ 排除需對應共用欄位 ","")&amp;IF(AND(ISNUMBER(F181),ISNUMBER(G181),F181&gt;G181),"⚠ 下限大於上限 ","")&amp;IF(SUMPRODUCT((檢查項目!$A$2:$A$500=A181)*(檢查項目!$C$2:$C$500=C181)*(檢查項目!$G$2:$G$500="數值"))=0,"⚠ 該項目不是數值類型 ",""))))</f>
        <v/>
      </c>
    </row>
    <row r="182">
      <c r="I182" s="2">
        <f>IF(A182="","",IFERROR(INDEX(檢查項目!$E$2:$E$500,MATCH(1,INDEX((檢查項目!$A$2:$A$500=A182)*(檢查項目!$C$2:$C$500=C182)*(檢查項目!$B$2:$B$500=B182),0),0)),IFERROR(INDEX(檢查項目!$E$2:$E$500,MATCH(1,INDEX((檢查項目!$A$2:$A$500=A182)*(檢查項目!$C$2:$C$500=C182)*(檢查項目!$B$2:$B$500=""),0),0)),"⚠ 找不到項目")))</f>
        <v/>
      </c>
      <c r="J182" s="2">
        <f>IF(A182="","",IF(B182="","共用",IF(H182="Y","排除（"&amp;B182&amp;"）",IF(SUMPRODUCT(($A$2:$A$500=A182)*($C$2:$C$500=C182)*($D$2:$D$500=D182)*($B$2:$B$500=""))&gt;0,"覆蓋共用（"&amp;B182&amp;"）","單元新增（"&amp;B182&amp;"）"))))</f>
        <v/>
      </c>
      <c r="K182" s="2">
        <f>IF(A182="","",IF(H182="Y","—",IF(AND(F182&lt;&gt;"",G182&lt;&gt;""),F182&amp;" ~ "&amp;G182,IF(G182&lt;&gt;"","≤ "&amp;G182,IF(F182&lt;&gt;"","≥ "&amp;F182,"只記錄、不檢核")))))</f>
        <v/>
      </c>
      <c r="L182" s="2">
        <f>IF(A182="","",IF(TRIM(IF(SUMPRODUCT(($A$2:$A$500=A182)*($B$2:$B$500=B182)*($C$2:$C$500=C182)*($D$2:$D$500=D182))&gt;1,"⚠ 欄位名稱重複 ","")&amp;IF(AND(B182&lt;&gt;"",NOT(ISNUMBER(SEARCH("、"&amp;B182&amp;"、","、"&amp;IFERROR(INDEX(表單!$I$2:$I$500,MATCH(A182,表單!$A$2:$A$500,0)),"")&amp;"、")))),"⚠ 單元不在適用單元內 ","")&amp;IF(AND(H182="Y",B182=""),"⚠ 排除只能用在單元列 ","")&amp;IF(AND(H182="Y",B182&lt;&gt;"",SUMPRODUCT(($A$2:$A$500=A182)*($C$2:$C$500=C182)*($D$2:$D$500=D182)*($B$2:$B$500=""))=0),"⚠ 排除需對應共用欄位 ","")&amp;IF(AND(ISNUMBER(F182),ISNUMBER(G182),F182&gt;G182),"⚠ 下限大於上限 ","")&amp;IF(SUMPRODUCT((檢查項目!$A$2:$A$500=A182)*(檢查項目!$C$2:$C$500=C182)*(檢查項目!$G$2:$G$500="數值"))=0,"⚠ 該項目不是數值類型 ",""))="","✓",TRIM(IF(SUMPRODUCT(($A$2:$A$500=A182)*($B$2:$B$500=B182)*($C$2:$C$500=C182)*($D$2:$D$500=D182))&gt;1,"⚠ 欄位名稱重複 ","")&amp;IF(AND(B182&lt;&gt;"",NOT(ISNUMBER(SEARCH("、"&amp;B182&amp;"、","、"&amp;IFERROR(INDEX(表單!$I$2:$I$500,MATCH(A182,表單!$A$2:$A$500,0)),"")&amp;"、")))),"⚠ 單元不在適用單元內 ","")&amp;IF(AND(H182="Y",B182=""),"⚠ 排除只能用在單元列 ","")&amp;IF(AND(H182="Y",B182&lt;&gt;"",SUMPRODUCT(($A$2:$A$500=A182)*($C$2:$C$500=C182)*($D$2:$D$500=D182)*($B$2:$B$500=""))=0),"⚠ 排除需對應共用欄位 ","")&amp;IF(AND(ISNUMBER(F182),ISNUMBER(G182),F182&gt;G182),"⚠ 下限大於上限 ","")&amp;IF(SUMPRODUCT((檢查項目!$A$2:$A$500=A182)*(檢查項目!$C$2:$C$500=C182)*(檢查項目!$G$2:$G$500="數值"))=0,"⚠ 該項目不是數值類型 ",""))))</f>
        <v/>
      </c>
    </row>
    <row r="183">
      <c r="I183" s="2">
        <f>IF(A183="","",IFERROR(INDEX(檢查項目!$E$2:$E$500,MATCH(1,INDEX((檢查項目!$A$2:$A$500=A183)*(檢查項目!$C$2:$C$500=C183)*(檢查項目!$B$2:$B$500=B183),0),0)),IFERROR(INDEX(檢查項目!$E$2:$E$500,MATCH(1,INDEX((檢查項目!$A$2:$A$500=A183)*(檢查項目!$C$2:$C$500=C183)*(檢查項目!$B$2:$B$500=""),0),0)),"⚠ 找不到項目")))</f>
        <v/>
      </c>
      <c r="J183" s="2">
        <f>IF(A183="","",IF(B183="","共用",IF(H183="Y","排除（"&amp;B183&amp;"）",IF(SUMPRODUCT(($A$2:$A$500=A183)*($C$2:$C$500=C183)*($D$2:$D$500=D183)*($B$2:$B$500=""))&gt;0,"覆蓋共用（"&amp;B183&amp;"）","單元新增（"&amp;B183&amp;"）"))))</f>
        <v/>
      </c>
      <c r="K183" s="2">
        <f>IF(A183="","",IF(H183="Y","—",IF(AND(F183&lt;&gt;"",G183&lt;&gt;""),F183&amp;" ~ "&amp;G183,IF(G183&lt;&gt;"","≤ "&amp;G183,IF(F183&lt;&gt;"","≥ "&amp;F183,"只記錄、不檢核")))))</f>
        <v/>
      </c>
      <c r="L183" s="2">
        <f>IF(A183="","",IF(TRIM(IF(SUMPRODUCT(($A$2:$A$500=A183)*($B$2:$B$500=B183)*($C$2:$C$500=C183)*($D$2:$D$500=D183))&gt;1,"⚠ 欄位名稱重複 ","")&amp;IF(AND(B183&lt;&gt;"",NOT(ISNUMBER(SEARCH("、"&amp;B183&amp;"、","、"&amp;IFERROR(INDEX(表單!$I$2:$I$500,MATCH(A183,表單!$A$2:$A$500,0)),"")&amp;"、")))),"⚠ 單元不在適用單元內 ","")&amp;IF(AND(H183="Y",B183=""),"⚠ 排除只能用在單元列 ","")&amp;IF(AND(H183="Y",B183&lt;&gt;"",SUMPRODUCT(($A$2:$A$500=A183)*($C$2:$C$500=C183)*($D$2:$D$500=D183)*($B$2:$B$500=""))=0),"⚠ 排除需對應共用欄位 ","")&amp;IF(AND(ISNUMBER(F183),ISNUMBER(G183),F183&gt;G183),"⚠ 下限大於上限 ","")&amp;IF(SUMPRODUCT((檢查項目!$A$2:$A$500=A183)*(檢查項目!$C$2:$C$500=C183)*(檢查項目!$G$2:$G$500="數值"))=0,"⚠ 該項目不是數值類型 ",""))="","✓",TRIM(IF(SUMPRODUCT(($A$2:$A$500=A183)*($B$2:$B$500=B183)*($C$2:$C$500=C183)*($D$2:$D$500=D183))&gt;1,"⚠ 欄位名稱重複 ","")&amp;IF(AND(B183&lt;&gt;"",NOT(ISNUMBER(SEARCH("、"&amp;B183&amp;"、","、"&amp;IFERROR(INDEX(表單!$I$2:$I$500,MATCH(A183,表單!$A$2:$A$500,0)),"")&amp;"、")))),"⚠ 單元不在適用單元內 ","")&amp;IF(AND(H183="Y",B183=""),"⚠ 排除只能用在單元列 ","")&amp;IF(AND(H183="Y",B183&lt;&gt;"",SUMPRODUCT(($A$2:$A$500=A183)*($C$2:$C$500=C183)*($D$2:$D$500=D183)*($B$2:$B$500=""))=0),"⚠ 排除需對應共用欄位 ","")&amp;IF(AND(ISNUMBER(F183),ISNUMBER(G183),F183&gt;G183),"⚠ 下限大於上限 ","")&amp;IF(SUMPRODUCT((檢查項目!$A$2:$A$500=A183)*(檢查項目!$C$2:$C$500=C183)*(檢查項目!$G$2:$G$500="數值"))=0,"⚠ 該項目不是數值類型 ",""))))</f>
        <v/>
      </c>
    </row>
    <row r="184">
      <c r="I184" s="2">
        <f>IF(A184="","",IFERROR(INDEX(檢查項目!$E$2:$E$500,MATCH(1,INDEX((檢查項目!$A$2:$A$500=A184)*(檢查項目!$C$2:$C$500=C184)*(檢查項目!$B$2:$B$500=B184),0),0)),IFERROR(INDEX(檢查項目!$E$2:$E$500,MATCH(1,INDEX((檢查項目!$A$2:$A$500=A184)*(檢查項目!$C$2:$C$500=C184)*(檢查項目!$B$2:$B$500=""),0),0)),"⚠ 找不到項目")))</f>
        <v/>
      </c>
      <c r="J184" s="2">
        <f>IF(A184="","",IF(B184="","共用",IF(H184="Y","排除（"&amp;B184&amp;"）",IF(SUMPRODUCT(($A$2:$A$500=A184)*($C$2:$C$500=C184)*($D$2:$D$500=D184)*($B$2:$B$500=""))&gt;0,"覆蓋共用（"&amp;B184&amp;"）","單元新增（"&amp;B184&amp;"）"))))</f>
        <v/>
      </c>
      <c r="K184" s="2">
        <f>IF(A184="","",IF(H184="Y","—",IF(AND(F184&lt;&gt;"",G184&lt;&gt;""),F184&amp;" ~ "&amp;G184,IF(G184&lt;&gt;"","≤ "&amp;G184,IF(F184&lt;&gt;"","≥ "&amp;F184,"只記錄、不檢核")))))</f>
        <v/>
      </c>
      <c r="L184" s="2">
        <f>IF(A184="","",IF(TRIM(IF(SUMPRODUCT(($A$2:$A$500=A184)*($B$2:$B$500=B184)*($C$2:$C$500=C184)*($D$2:$D$500=D184))&gt;1,"⚠ 欄位名稱重複 ","")&amp;IF(AND(B184&lt;&gt;"",NOT(ISNUMBER(SEARCH("、"&amp;B184&amp;"、","、"&amp;IFERROR(INDEX(表單!$I$2:$I$500,MATCH(A184,表單!$A$2:$A$500,0)),"")&amp;"、")))),"⚠ 單元不在適用單元內 ","")&amp;IF(AND(H184="Y",B184=""),"⚠ 排除只能用在單元列 ","")&amp;IF(AND(H184="Y",B184&lt;&gt;"",SUMPRODUCT(($A$2:$A$500=A184)*($C$2:$C$500=C184)*($D$2:$D$500=D184)*($B$2:$B$500=""))=0),"⚠ 排除需對應共用欄位 ","")&amp;IF(AND(ISNUMBER(F184),ISNUMBER(G184),F184&gt;G184),"⚠ 下限大於上限 ","")&amp;IF(SUMPRODUCT((檢查項目!$A$2:$A$500=A184)*(檢查項目!$C$2:$C$500=C184)*(檢查項目!$G$2:$G$500="數值"))=0,"⚠ 該項目不是數值類型 ",""))="","✓",TRIM(IF(SUMPRODUCT(($A$2:$A$500=A184)*($B$2:$B$500=B184)*($C$2:$C$500=C184)*($D$2:$D$500=D184))&gt;1,"⚠ 欄位名稱重複 ","")&amp;IF(AND(B184&lt;&gt;"",NOT(ISNUMBER(SEARCH("、"&amp;B184&amp;"、","、"&amp;IFERROR(INDEX(表單!$I$2:$I$500,MATCH(A184,表單!$A$2:$A$500,0)),"")&amp;"、")))),"⚠ 單元不在適用單元內 ","")&amp;IF(AND(H184="Y",B184=""),"⚠ 排除只能用在單元列 ","")&amp;IF(AND(H184="Y",B184&lt;&gt;"",SUMPRODUCT(($A$2:$A$500=A184)*($C$2:$C$500=C184)*($D$2:$D$500=D184)*($B$2:$B$500=""))=0),"⚠ 排除需對應共用欄位 ","")&amp;IF(AND(ISNUMBER(F184),ISNUMBER(G184),F184&gt;G184),"⚠ 下限大於上限 ","")&amp;IF(SUMPRODUCT((檢查項目!$A$2:$A$500=A184)*(檢查項目!$C$2:$C$500=C184)*(檢查項目!$G$2:$G$500="數值"))=0,"⚠ 該項目不是數值類型 ",""))))</f>
        <v/>
      </c>
    </row>
    <row r="185">
      <c r="I185" s="2">
        <f>IF(A185="","",IFERROR(INDEX(檢查項目!$E$2:$E$500,MATCH(1,INDEX((檢查項目!$A$2:$A$500=A185)*(檢查項目!$C$2:$C$500=C185)*(檢查項目!$B$2:$B$500=B185),0),0)),IFERROR(INDEX(檢查項目!$E$2:$E$500,MATCH(1,INDEX((檢查項目!$A$2:$A$500=A185)*(檢查項目!$C$2:$C$500=C185)*(檢查項目!$B$2:$B$500=""),0),0)),"⚠ 找不到項目")))</f>
        <v/>
      </c>
      <c r="J185" s="2">
        <f>IF(A185="","",IF(B185="","共用",IF(H185="Y","排除（"&amp;B185&amp;"）",IF(SUMPRODUCT(($A$2:$A$500=A185)*($C$2:$C$500=C185)*($D$2:$D$500=D185)*($B$2:$B$500=""))&gt;0,"覆蓋共用（"&amp;B185&amp;"）","單元新增（"&amp;B185&amp;"）"))))</f>
        <v/>
      </c>
      <c r="K185" s="2">
        <f>IF(A185="","",IF(H185="Y","—",IF(AND(F185&lt;&gt;"",G185&lt;&gt;""),F185&amp;" ~ "&amp;G185,IF(G185&lt;&gt;"","≤ "&amp;G185,IF(F185&lt;&gt;"","≥ "&amp;F185,"只記錄、不檢核")))))</f>
        <v/>
      </c>
      <c r="L185" s="2">
        <f>IF(A185="","",IF(TRIM(IF(SUMPRODUCT(($A$2:$A$500=A185)*($B$2:$B$500=B185)*($C$2:$C$500=C185)*($D$2:$D$500=D185))&gt;1,"⚠ 欄位名稱重複 ","")&amp;IF(AND(B185&lt;&gt;"",NOT(ISNUMBER(SEARCH("、"&amp;B185&amp;"、","、"&amp;IFERROR(INDEX(表單!$I$2:$I$500,MATCH(A185,表單!$A$2:$A$500,0)),"")&amp;"、")))),"⚠ 單元不在適用單元內 ","")&amp;IF(AND(H185="Y",B185=""),"⚠ 排除只能用在單元列 ","")&amp;IF(AND(H185="Y",B185&lt;&gt;"",SUMPRODUCT(($A$2:$A$500=A185)*($C$2:$C$500=C185)*($D$2:$D$500=D185)*($B$2:$B$500=""))=0),"⚠ 排除需對應共用欄位 ","")&amp;IF(AND(ISNUMBER(F185),ISNUMBER(G185),F185&gt;G185),"⚠ 下限大於上限 ","")&amp;IF(SUMPRODUCT((檢查項目!$A$2:$A$500=A185)*(檢查項目!$C$2:$C$500=C185)*(檢查項目!$G$2:$G$500="數值"))=0,"⚠ 該項目不是數值類型 ",""))="","✓",TRIM(IF(SUMPRODUCT(($A$2:$A$500=A185)*($B$2:$B$500=B185)*($C$2:$C$500=C185)*($D$2:$D$500=D185))&gt;1,"⚠ 欄位名稱重複 ","")&amp;IF(AND(B185&lt;&gt;"",NOT(ISNUMBER(SEARCH("、"&amp;B185&amp;"、","、"&amp;IFERROR(INDEX(表單!$I$2:$I$500,MATCH(A185,表單!$A$2:$A$500,0)),"")&amp;"、")))),"⚠ 單元不在適用單元內 ","")&amp;IF(AND(H185="Y",B185=""),"⚠ 排除只能用在單元列 ","")&amp;IF(AND(H185="Y",B185&lt;&gt;"",SUMPRODUCT(($A$2:$A$500=A185)*($C$2:$C$500=C185)*($D$2:$D$500=D185)*($B$2:$B$500=""))=0),"⚠ 排除需對應共用欄位 ","")&amp;IF(AND(ISNUMBER(F185),ISNUMBER(G185),F185&gt;G185),"⚠ 下限大於上限 ","")&amp;IF(SUMPRODUCT((檢查項目!$A$2:$A$500=A185)*(檢查項目!$C$2:$C$500=C185)*(檢查項目!$G$2:$G$500="數值"))=0,"⚠ 該項目不是數值類型 ",""))))</f>
        <v/>
      </c>
    </row>
    <row r="186">
      <c r="I186" s="2">
        <f>IF(A186="","",IFERROR(INDEX(檢查項目!$E$2:$E$500,MATCH(1,INDEX((檢查項目!$A$2:$A$500=A186)*(檢查項目!$C$2:$C$500=C186)*(檢查項目!$B$2:$B$500=B186),0),0)),IFERROR(INDEX(檢查項目!$E$2:$E$500,MATCH(1,INDEX((檢查項目!$A$2:$A$500=A186)*(檢查項目!$C$2:$C$500=C186)*(檢查項目!$B$2:$B$500=""),0),0)),"⚠ 找不到項目")))</f>
        <v/>
      </c>
      <c r="J186" s="2">
        <f>IF(A186="","",IF(B186="","共用",IF(H186="Y","排除（"&amp;B186&amp;"）",IF(SUMPRODUCT(($A$2:$A$500=A186)*($C$2:$C$500=C186)*($D$2:$D$500=D186)*($B$2:$B$500=""))&gt;0,"覆蓋共用（"&amp;B186&amp;"）","單元新增（"&amp;B186&amp;"）"))))</f>
        <v/>
      </c>
      <c r="K186" s="2">
        <f>IF(A186="","",IF(H186="Y","—",IF(AND(F186&lt;&gt;"",G186&lt;&gt;""),F186&amp;" ~ "&amp;G186,IF(G186&lt;&gt;"","≤ "&amp;G186,IF(F186&lt;&gt;"","≥ "&amp;F186,"只記錄、不檢核")))))</f>
        <v/>
      </c>
      <c r="L186" s="2">
        <f>IF(A186="","",IF(TRIM(IF(SUMPRODUCT(($A$2:$A$500=A186)*($B$2:$B$500=B186)*($C$2:$C$500=C186)*($D$2:$D$500=D186))&gt;1,"⚠ 欄位名稱重複 ","")&amp;IF(AND(B186&lt;&gt;"",NOT(ISNUMBER(SEARCH("、"&amp;B186&amp;"、","、"&amp;IFERROR(INDEX(表單!$I$2:$I$500,MATCH(A186,表單!$A$2:$A$500,0)),"")&amp;"、")))),"⚠ 單元不在適用單元內 ","")&amp;IF(AND(H186="Y",B186=""),"⚠ 排除只能用在單元列 ","")&amp;IF(AND(H186="Y",B186&lt;&gt;"",SUMPRODUCT(($A$2:$A$500=A186)*($C$2:$C$500=C186)*($D$2:$D$500=D186)*($B$2:$B$500=""))=0),"⚠ 排除需對應共用欄位 ","")&amp;IF(AND(ISNUMBER(F186),ISNUMBER(G186),F186&gt;G186),"⚠ 下限大於上限 ","")&amp;IF(SUMPRODUCT((檢查項目!$A$2:$A$500=A186)*(檢查項目!$C$2:$C$500=C186)*(檢查項目!$G$2:$G$500="數值"))=0,"⚠ 該項目不是數值類型 ",""))="","✓",TRIM(IF(SUMPRODUCT(($A$2:$A$500=A186)*($B$2:$B$500=B186)*($C$2:$C$500=C186)*($D$2:$D$500=D186))&gt;1,"⚠ 欄位名稱重複 ","")&amp;IF(AND(B186&lt;&gt;"",NOT(ISNUMBER(SEARCH("、"&amp;B186&amp;"、","、"&amp;IFERROR(INDEX(表單!$I$2:$I$500,MATCH(A186,表單!$A$2:$A$500,0)),"")&amp;"、")))),"⚠ 單元不在適用單元內 ","")&amp;IF(AND(H186="Y",B186=""),"⚠ 排除只能用在單元列 ","")&amp;IF(AND(H186="Y",B186&lt;&gt;"",SUMPRODUCT(($A$2:$A$500=A186)*($C$2:$C$500=C186)*($D$2:$D$500=D186)*($B$2:$B$500=""))=0),"⚠ 排除需對應共用欄位 ","")&amp;IF(AND(ISNUMBER(F186),ISNUMBER(G186),F186&gt;G186),"⚠ 下限大於上限 ","")&amp;IF(SUMPRODUCT((檢查項目!$A$2:$A$500=A186)*(檢查項目!$C$2:$C$500=C186)*(檢查項目!$G$2:$G$500="數值"))=0,"⚠ 該項目不是數值類型 ",""))))</f>
        <v/>
      </c>
    </row>
    <row r="187">
      <c r="I187" s="2">
        <f>IF(A187="","",IFERROR(INDEX(檢查項目!$E$2:$E$500,MATCH(1,INDEX((檢查項目!$A$2:$A$500=A187)*(檢查項目!$C$2:$C$500=C187)*(檢查項目!$B$2:$B$500=B187),0),0)),IFERROR(INDEX(檢查項目!$E$2:$E$500,MATCH(1,INDEX((檢查項目!$A$2:$A$500=A187)*(檢查項目!$C$2:$C$500=C187)*(檢查項目!$B$2:$B$500=""),0),0)),"⚠ 找不到項目")))</f>
        <v/>
      </c>
      <c r="J187" s="2">
        <f>IF(A187="","",IF(B187="","共用",IF(H187="Y","排除（"&amp;B187&amp;"）",IF(SUMPRODUCT(($A$2:$A$500=A187)*($C$2:$C$500=C187)*($D$2:$D$500=D187)*($B$2:$B$500=""))&gt;0,"覆蓋共用（"&amp;B187&amp;"）","單元新增（"&amp;B187&amp;"）"))))</f>
        <v/>
      </c>
      <c r="K187" s="2">
        <f>IF(A187="","",IF(H187="Y","—",IF(AND(F187&lt;&gt;"",G187&lt;&gt;""),F187&amp;" ~ "&amp;G187,IF(G187&lt;&gt;"","≤ "&amp;G187,IF(F187&lt;&gt;"","≥ "&amp;F187,"只記錄、不檢核")))))</f>
        <v/>
      </c>
      <c r="L187" s="2">
        <f>IF(A187="","",IF(TRIM(IF(SUMPRODUCT(($A$2:$A$500=A187)*($B$2:$B$500=B187)*($C$2:$C$500=C187)*($D$2:$D$500=D187))&gt;1,"⚠ 欄位名稱重複 ","")&amp;IF(AND(B187&lt;&gt;"",NOT(ISNUMBER(SEARCH("、"&amp;B187&amp;"、","、"&amp;IFERROR(INDEX(表單!$I$2:$I$500,MATCH(A187,表單!$A$2:$A$500,0)),"")&amp;"、")))),"⚠ 單元不在適用單元內 ","")&amp;IF(AND(H187="Y",B187=""),"⚠ 排除只能用在單元列 ","")&amp;IF(AND(H187="Y",B187&lt;&gt;"",SUMPRODUCT(($A$2:$A$500=A187)*($C$2:$C$500=C187)*($D$2:$D$500=D187)*($B$2:$B$500=""))=0),"⚠ 排除需對應共用欄位 ","")&amp;IF(AND(ISNUMBER(F187),ISNUMBER(G187),F187&gt;G187),"⚠ 下限大於上限 ","")&amp;IF(SUMPRODUCT((檢查項目!$A$2:$A$500=A187)*(檢查項目!$C$2:$C$500=C187)*(檢查項目!$G$2:$G$500="數值"))=0,"⚠ 該項目不是數值類型 ",""))="","✓",TRIM(IF(SUMPRODUCT(($A$2:$A$500=A187)*($B$2:$B$500=B187)*($C$2:$C$500=C187)*($D$2:$D$500=D187))&gt;1,"⚠ 欄位名稱重複 ","")&amp;IF(AND(B187&lt;&gt;"",NOT(ISNUMBER(SEARCH("、"&amp;B187&amp;"、","、"&amp;IFERROR(INDEX(表單!$I$2:$I$500,MATCH(A187,表單!$A$2:$A$500,0)),"")&amp;"、")))),"⚠ 單元不在適用單元內 ","")&amp;IF(AND(H187="Y",B187=""),"⚠ 排除只能用在單元列 ","")&amp;IF(AND(H187="Y",B187&lt;&gt;"",SUMPRODUCT(($A$2:$A$500=A187)*($C$2:$C$500=C187)*($D$2:$D$500=D187)*($B$2:$B$500=""))=0),"⚠ 排除需對應共用欄位 ","")&amp;IF(AND(ISNUMBER(F187),ISNUMBER(G187),F187&gt;G187),"⚠ 下限大於上限 ","")&amp;IF(SUMPRODUCT((檢查項目!$A$2:$A$500=A187)*(檢查項目!$C$2:$C$500=C187)*(檢查項目!$G$2:$G$500="數值"))=0,"⚠ 該項目不是數值類型 ",""))))</f>
        <v/>
      </c>
    </row>
    <row r="188">
      <c r="I188" s="2">
        <f>IF(A188="","",IFERROR(INDEX(檢查項目!$E$2:$E$500,MATCH(1,INDEX((檢查項目!$A$2:$A$500=A188)*(檢查項目!$C$2:$C$500=C188)*(檢查項目!$B$2:$B$500=B188),0),0)),IFERROR(INDEX(檢查項目!$E$2:$E$500,MATCH(1,INDEX((檢查項目!$A$2:$A$500=A188)*(檢查項目!$C$2:$C$500=C188)*(檢查項目!$B$2:$B$500=""),0),0)),"⚠ 找不到項目")))</f>
        <v/>
      </c>
      <c r="J188" s="2">
        <f>IF(A188="","",IF(B188="","共用",IF(H188="Y","排除（"&amp;B188&amp;"）",IF(SUMPRODUCT(($A$2:$A$500=A188)*($C$2:$C$500=C188)*($D$2:$D$500=D188)*($B$2:$B$500=""))&gt;0,"覆蓋共用（"&amp;B188&amp;"）","單元新增（"&amp;B188&amp;"）"))))</f>
        <v/>
      </c>
      <c r="K188" s="2">
        <f>IF(A188="","",IF(H188="Y","—",IF(AND(F188&lt;&gt;"",G188&lt;&gt;""),F188&amp;" ~ "&amp;G188,IF(G188&lt;&gt;"","≤ "&amp;G188,IF(F188&lt;&gt;"","≥ "&amp;F188,"只記錄、不檢核")))))</f>
        <v/>
      </c>
      <c r="L188" s="2">
        <f>IF(A188="","",IF(TRIM(IF(SUMPRODUCT(($A$2:$A$500=A188)*($B$2:$B$500=B188)*($C$2:$C$500=C188)*($D$2:$D$500=D188))&gt;1,"⚠ 欄位名稱重複 ","")&amp;IF(AND(B188&lt;&gt;"",NOT(ISNUMBER(SEARCH("、"&amp;B188&amp;"、","、"&amp;IFERROR(INDEX(表單!$I$2:$I$500,MATCH(A188,表單!$A$2:$A$500,0)),"")&amp;"、")))),"⚠ 單元不在適用單元內 ","")&amp;IF(AND(H188="Y",B188=""),"⚠ 排除只能用在單元列 ","")&amp;IF(AND(H188="Y",B188&lt;&gt;"",SUMPRODUCT(($A$2:$A$500=A188)*($C$2:$C$500=C188)*($D$2:$D$500=D188)*($B$2:$B$500=""))=0),"⚠ 排除需對應共用欄位 ","")&amp;IF(AND(ISNUMBER(F188),ISNUMBER(G188),F188&gt;G188),"⚠ 下限大於上限 ","")&amp;IF(SUMPRODUCT((檢查項目!$A$2:$A$500=A188)*(檢查項目!$C$2:$C$500=C188)*(檢查項目!$G$2:$G$500="數值"))=0,"⚠ 該項目不是數值類型 ",""))="","✓",TRIM(IF(SUMPRODUCT(($A$2:$A$500=A188)*($B$2:$B$500=B188)*($C$2:$C$500=C188)*($D$2:$D$500=D188))&gt;1,"⚠ 欄位名稱重複 ","")&amp;IF(AND(B188&lt;&gt;"",NOT(ISNUMBER(SEARCH("、"&amp;B188&amp;"、","、"&amp;IFERROR(INDEX(表單!$I$2:$I$500,MATCH(A188,表單!$A$2:$A$500,0)),"")&amp;"、")))),"⚠ 單元不在適用單元內 ","")&amp;IF(AND(H188="Y",B188=""),"⚠ 排除只能用在單元列 ","")&amp;IF(AND(H188="Y",B188&lt;&gt;"",SUMPRODUCT(($A$2:$A$500=A188)*($C$2:$C$500=C188)*($D$2:$D$500=D188)*($B$2:$B$500=""))=0),"⚠ 排除需對應共用欄位 ","")&amp;IF(AND(ISNUMBER(F188),ISNUMBER(G188),F188&gt;G188),"⚠ 下限大於上限 ","")&amp;IF(SUMPRODUCT((檢查項目!$A$2:$A$500=A188)*(檢查項目!$C$2:$C$500=C188)*(檢查項目!$G$2:$G$500="數值"))=0,"⚠ 該項目不是數值類型 ",""))))</f>
        <v/>
      </c>
    </row>
    <row r="189">
      <c r="I189" s="2">
        <f>IF(A189="","",IFERROR(INDEX(檢查項目!$E$2:$E$500,MATCH(1,INDEX((檢查項目!$A$2:$A$500=A189)*(檢查項目!$C$2:$C$500=C189)*(檢查項目!$B$2:$B$500=B189),0),0)),IFERROR(INDEX(檢查項目!$E$2:$E$500,MATCH(1,INDEX((檢查項目!$A$2:$A$500=A189)*(檢查項目!$C$2:$C$500=C189)*(檢查項目!$B$2:$B$500=""),0),0)),"⚠ 找不到項目")))</f>
        <v/>
      </c>
      <c r="J189" s="2">
        <f>IF(A189="","",IF(B189="","共用",IF(H189="Y","排除（"&amp;B189&amp;"）",IF(SUMPRODUCT(($A$2:$A$500=A189)*($C$2:$C$500=C189)*($D$2:$D$500=D189)*($B$2:$B$500=""))&gt;0,"覆蓋共用（"&amp;B189&amp;"）","單元新增（"&amp;B189&amp;"）"))))</f>
        <v/>
      </c>
      <c r="K189" s="2">
        <f>IF(A189="","",IF(H189="Y","—",IF(AND(F189&lt;&gt;"",G189&lt;&gt;""),F189&amp;" ~ "&amp;G189,IF(G189&lt;&gt;"","≤ "&amp;G189,IF(F189&lt;&gt;"","≥ "&amp;F189,"只記錄、不檢核")))))</f>
        <v/>
      </c>
      <c r="L189" s="2">
        <f>IF(A189="","",IF(TRIM(IF(SUMPRODUCT(($A$2:$A$500=A189)*($B$2:$B$500=B189)*($C$2:$C$500=C189)*($D$2:$D$500=D189))&gt;1,"⚠ 欄位名稱重複 ","")&amp;IF(AND(B189&lt;&gt;"",NOT(ISNUMBER(SEARCH("、"&amp;B189&amp;"、","、"&amp;IFERROR(INDEX(表單!$I$2:$I$500,MATCH(A189,表單!$A$2:$A$500,0)),"")&amp;"、")))),"⚠ 單元不在適用單元內 ","")&amp;IF(AND(H189="Y",B189=""),"⚠ 排除只能用在單元列 ","")&amp;IF(AND(H189="Y",B189&lt;&gt;"",SUMPRODUCT(($A$2:$A$500=A189)*($C$2:$C$500=C189)*($D$2:$D$500=D189)*($B$2:$B$500=""))=0),"⚠ 排除需對應共用欄位 ","")&amp;IF(AND(ISNUMBER(F189),ISNUMBER(G189),F189&gt;G189),"⚠ 下限大於上限 ","")&amp;IF(SUMPRODUCT((檢查項目!$A$2:$A$500=A189)*(檢查項目!$C$2:$C$500=C189)*(檢查項目!$G$2:$G$500="數值"))=0,"⚠ 該項目不是數值類型 ",""))="","✓",TRIM(IF(SUMPRODUCT(($A$2:$A$500=A189)*($B$2:$B$500=B189)*($C$2:$C$500=C189)*($D$2:$D$500=D189))&gt;1,"⚠ 欄位名稱重複 ","")&amp;IF(AND(B189&lt;&gt;"",NOT(ISNUMBER(SEARCH("、"&amp;B189&amp;"、","、"&amp;IFERROR(INDEX(表單!$I$2:$I$500,MATCH(A189,表單!$A$2:$A$500,0)),"")&amp;"、")))),"⚠ 單元不在適用單元內 ","")&amp;IF(AND(H189="Y",B189=""),"⚠ 排除只能用在單元列 ","")&amp;IF(AND(H189="Y",B189&lt;&gt;"",SUMPRODUCT(($A$2:$A$500=A189)*($C$2:$C$500=C189)*($D$2:$D$500=D189)*($B$2:$B$500=""))=0),"⚠ 排除需對應共用欄位 ","")&amp;IF(AND(ISNUMBER(F189),ISNUMBER(G189),F189&gt;G189),"⚠ 下限大於上限 ","")&amp;IF(SUMPRODUCT((檢查項目!$A$2:$A$500=A189)*(檢查項目!$C$2:$C$500=C189)*(檢查項目!$G$2:$G$500="數值"))=0,"⚠ 該項目不是數值類型 ",""))))</f>
        <v/>
      </c>
    </row>
    <row r="190">
      <c r="I190" s="2">
        <f>IF(A190="","",IFERROR(INDEX(檢查項目!$E$2:$E$500,MATCH(1,INDEX((檢查項目!$A$2:$A$500=A190)*(檢查項目!$C$2:$C$500=C190)*(檢查項目!$B$2:$B$500=B190),0),0)),IFERROR(INDEX(檢查項目!$E$2:$E$500,MATCH(1,INDEX((檢查項目!$A$2:$A$500=A190)*(檢查項目!$C$2:$C$500=C190)*(檢查項目!$B$2:$B$500=""),0),0)),"⚠ 找不到項目")))</f>
        <v/>
      </c>
      <c r="J190" s="2">
        <f>IF(A190="","",IF(B190="","共用",IF(H190="Y","排除（"&amp;B190&amp;"）",IF(SUMPRODUCT(($A$2:$A$500=A190)*($C$2:$C$500=C190)*($D$2:$D$500=D190)*($B$2:$B$500=""))&gt;0,"覆蓋共用（"&amp;B190&amp;"）","單元新增（"&amp;B190&amp;"）"))))</f>
        <v/>
      </c>
      <c r="K190" s="2">
        <f>IF(A190="","",IF(H190="Y","—",IF(AND(F190&lt;&gt;"",G190&lt;&gt;""),F190&amp;" ~ "&amp;G190,IF(G190&lt;&gt;"","≤ "&amp;G190,IF(F190&lt;&gt;"","≥ "&amp;F190,"只記錄、不檢核")))))</f>
        <v/>
      </c>
      <c r="L190" s="2">
        <f>IF(A190="","",IF(TRIM(IF(SUMPRODUCT(($A$2:$A$500=A190)*($B$2:$B$500=B190)*($C$2:$C$500=C190)*($D$2:$D$500=D190))&gt;1,"⚠ 欄位名稱重複 ","")&amp;IF(AND(B190&lt;&gt;"",NOT(ISNUMBER(SEARCH("、"&amp;B190&amp;"、","、"&amp;IFERROR(INDEX(表單!$I$2:$I$500,MATCH(A190,表單!$A$2:$A$500,0)),"")&amp;"、")))),"⚠ 單元不在適用單元內 ","")&amp;IF(AND(H190="Y",B190=""),"⚠ 排除只能用在單元列 ","")&amp;IF(AND(H190="Y",B190&lt;&gt;"",SUMPRODUCT(($A$2:$A$500=A190)*($C$2:$C$500=C190)*($D$2:$D$500=D190)*($B$2:$B$500=""))=0),"⚠ 排除需對應共用欄位 ","")&amp;IF(AND(ISNUMBER(F190),ISNUMBER(G190),F190&gt;G190),"⚠ 下限大於上限 ","")&amp;IF(SUMPRODUCT((檢查項目!$A$2:$A$500=A190)*(檢查項目!$C$2:$C$500=C190)*(檢查項目!$G$2:$G$500="數值"))=0,"⚠ 該項目不是數值類型 ",""))="","✓",TRIM(IF(SUMPRODUCT(($A$2:$A$500=A190)*($B$2:$B$500=B190)*($C$2:$C$500=C190)*($D$2:$D$500=D190))&gt;1,"⚠ 欄位名稱重複 ","")&amp;IF(AND(B190&lt;&gt;"",NOT(ISNUMBER(SEARCH("、"&amp;B190&amp;"、","、"&amp;IFERROR(INDEX(表單!$I$2:$I$500,MATCH(A190,表單!$A$2:$A$500,0)),"")&amp;"、")))),"⚠ 單元不在適用單元內 ","")&amp;IF(AND(H190="Y",B190=""),"⚠ 排除只能用在單元列 ","")&amp;IF(AND(H190="Y",B190&lt;&gt;"",SUMPRODUCT(($A$2:$A$500=A190)*($C$2:$C$500=C190)*($D$2:$D$500=D190)*($B$2:$B$500=""))=0),"⚠ 排除需對應共用欄位 ","")&amp;IF(AND(ISNUMBER(F190),ISNUMBER(G190),F190&gt;G190),"⚠ 下限大於上限 ","")&amp;IF(SUMPRODUCT((檢查項目!$A$2:$A$500=A190)*(檢查項目!$C$2:$C$500=C190)*(檢查項目!$G$2:$G$500="數值"))=0,"⚠ 該項目不是數值類型 ",""))))</f>
        <v/>
      </c>
    </row>
    <row r="191">
      <c r="I191" s="2">
        <f>IF(A191="","",IFERROR(INDEX(檢查項目!$E$2:$E$500,MATCH(1,INDEX((檢查項目!$A$2:$A$500=A191)*(檢查項目!$C$2:$C$500=C191)*(檢查項目!$B$2:$B$500=B191),0),0)),IFERROR(INDEX(檢查項目!$E$2:$E$500,MATCH(1,INDEX((檢查項目!$A$2:$A$500=A191)*(檢查項目!$C$2:$C$500=C191)*(檢查項目!$B$2:$B$500=""),0),0)),"⚠ 找不到項目")))</f>
        <v/>
      </c>
      <c r="J191" s="2">
        <f>IF(A191="","",IF(B191="","共用",IF(H191="Y","排除（"&amp;B191&amp;"）",IF(SUMPRODUCT(($A$2:$A$500=A191)*($C$2:$C$500=C191)*($D$2:$D$500=D191)*($B$2:$B$500=""))&gt;0,"覆蓋共用（"&amp;B191&amp;"）","單元新增（"&amp;B191&amp;"）"))))</f>
        <v/>
      </c>
      <c r="K191" s="2">
        <f>IF(A191="","",IF(H191="Y","—",IF(AND(F191&lt;&gt;"",G191&lt;&gt;""),F191&amp;" ~ "&amp;G191,IF(G191&lt;&gt;"","≤ "&amp;G191,IF(F191&lt;&gt;"","≥ "&amp;F191,"只記錄、不檢核")))))</f>
        <v/>
      </c>
      <c r="L191" s="2">
        <f>IF(A191="","",IF(TRIM(IF(SUMPRODUCT(($A$2:$A$500=A191)*($B$2:$B$500=B191)*($C$2:$C$500=C191)*($D$2:$D$500=D191))&gt;1,"⚠ 欄位名稱重複 ","")&amp;IF(AND(B191&lt;&gt;"",NOT(ISNUMBER(SEARCH("、"&amp;B191&amp;"、","、"&amp;IFERROR(INDEX(表單!$I$2:$I$500,MATCH(A191,表單!$A$2:$A$500,0)),"")&amp;"、")))),"⚠ 單元不在適用單元內 ","")&amp;IF(AND(H191="Y",B191=""),"⚠ 排除只能用在單元列 ","")&amp;IF(AND(H191="Y",B191&lt;&gt;"",SUMPRODUCT(($A$2:$A$500=A191)*($C$2:$C$500=C191)*($D$2:$D$500=D191)*($B$2:$B$500=""))=0),"⚠ 排除需對應共用欄位 ","")&amp;IF(AND(ISNUMBER(F191),ISNUMBER(G191),F191&gt;G191),"⚠ 下限大於上限 ","")&amp;IF(SUMPRODUCT((檢查項目!$A$2:$A$500=A191)*(檢查項目!$C$2:$C$500=C191)*(檢查項目!$G$2:$G$500="數值"))=0,"⚠ 該項目不是數值類型 ",""))="","✓",TRIM(IF(SUMPRODUCT(($A$2:$A$500=A191)*($B$2:$B$500=B191)*($C$2:$C$500=C191)*($D$2:$D$500=D191))&gt;1,"⚠ 欄位名稱重複 ","")&amp;IF(AND(B191&lt;&gt;"",NOT(ISNUMBER(SEARCH("、"&amp;B191&amp;"、","、"&amp;IFERROR(INDEX(表單!$I$2:$I$500,MATCH(A191,表單!$A$2:$A$500,0)),"")&amp;"、")))),"⚠ 單元不在適用單元內 ","")&amp;IF(AND(H191="Y",B191=""),"⚠ 排除只能用在單元列 ","")&amp;IF(AND(H191="Y",B191&lt;&gt;"",SUMPRODUCT(($A$2:$A$500=A191)*($C$2:$C$500=C191)*($D$2:$D$500=D191)*($B$2:$B$500=""))=0),"⚠ 排除需對應共用欄位 ","")&amp;IF(AND(ISNUMBER(F191),ISNUMBER(G191),F191&gt;G191),"⚠ 下限大於上限 ","")&amp;IF(SUMPRODUCT((檢查項目!$A$2:$A$500=A191)*(檢查項目!$C$2:$C$500=C191)*(檢查項目!$G$2:$G$500="數值"))=0,"⚠ 該項目不是數值類型 ",""))))</f>
        <v/>
      </c>
    </row>
    <row r="192">
      <c r="I192" s="2">
        <f>IF(A192="","",IFERROR(INDEX(檢查項目!$E$2:$E$500,MATCH(1,INDEX((檢查項目!$A$2:$A$500=A192)*(檢查項目!$C$2:$C$500=C192)*(檢查項目!$B$2:$B$500=B192),0),0)),IFERROR(INDEX(檢查項目!$E$2:$E$500,MATCH(1,INDEX((檢查項目!$A$2:$A$500=A192)*(檢查項目!$C$2:$C$500=C192)*(檢查項目!$B$2:$B$500=""),0),0)),"⚠ 找不到項目")))</f>
        <v/>
      </c>
      <c r="J192" s="2">
        <f>IF(A192="","",IF(B192="","共用",IF(H192="Y","排除（"&amp;B192&amp;"）",IF(SUMPRODUCT(($A$2:$A$500=A192)*($C$2:$C$500=C192)*($D$2:$D$500=D192)*($B$2:$B$500=""))&gt;0,"覆蓋共用（"&amp;B192&amp;"）","單元新增（"&amp;B192&amp;"）"))))</f>
        <v/>
      </c>
      <c r="K192" s="2">
        <f>IF(A192="","",IF(H192="Y","—",IF(AND(F192&lt;&gt;"",G192&lt;&gt;""),F192&amp;" ~ "&amp;G192,IF(G192&lt;&gt;"","≤ "&amp;G192,IF(F192&lt;&gt;"","≥ "&amp;F192,"只記錄、不檢核")))))</f>
        <v/>
      </c>
      <c r="L192" s="2">
        <f>IF(A192="","",IF(TRIM(IF(SUMPRODUCT(($A$2:$A$500=A192)*($B$2:$B$500=B192)*($C$2:$C$500=C192)*($D$2:$D$500=D192))&gt;1,"⚠ 欄位名稱重複 ","")&amp;IF(AND(B192&lt;&gt;"",NOT(ISNUMBER(SEARCH("、"&amp;B192&amp;"、","、"&amp;IFERROR(INDEX(表單!$I$2:$I$500,MATCH(A192,表單!$A$2:$A$500,0)),"")&amp;"、")))),"⚠ 單元不在適用單元內 ","")&amp;IF(AND(H192="Y",B192=""),"⚠ 排除只能用在單元列 ","")&amp;IF(AND(H192="Y",B192&lt;&gt;"",SUMPRODUCT(($A$2:$A$500=A192)*($C$2:$C$500=C192)*($D$2:$D$500=D192)*($B$2:$B$500=""))=0),"⚠ 排除需對應共用欄位 ","")&amp;IF(AND(ISNUMBER(F192),ISNUMBER(G192),F192&gt;G192),"⚠ 下限大於上限 ","")&amp;IF(SUMPRODUCT((檢查項目!$A$2:$A$500=A192)*(檢查項目!$C$2:$C$500=C192)*(檢查項目!$G$2:$G$500="數值"))=0,"⚠ 該項目不是數值類型 ",""))="","✓",TRIM(IF(SUMPRODUCT(($A$2:$A$500=A192)*($B$2:$B$500=B192)*($C$2:$C$500=C192)*($D$2:$D$500=D192))&gt;1,"⚠ 欄位名稱重複 ","")&amp;IF(AND(B192&lt;&gt;"",NOT(ISNUMBER(SEARCH("、"&amp;B192&amp;"、","、"&amp;IFERROR(INDEX(表單!$I$2:$I$500,MATCH(A192,表單!$A$2:$A$500,0)),"")&amp;"、")))),"⚠ 單元不在適用單元內 ","")&amp;IF(AND(H192="Y",B192=""),"⚠ 排除只能用在單元列 ","")&amp;IF(AND(H192="Y",B192&lt;&gt;"",SUMPRODUCT(($A$2:$A$500=A192)*($C$2:$C$500=C192)*($D$2:$D$500=D192)*($B$2:$B$500=""))=0),"⚠ 排除需對應共用欄位 ","")&amp;IF(AND(ISNUMBER(F192),ISNUMBER(G192),F192&gt;G192),"⚠ 下限大於上限 ","")&amp;IF(SUMPRODUCT((檢查項目!$A$2:$A$500=A192)*(檢查項目!$C$2:$C$500=C192)*(檢查項目!$G$2:$G$500="數值"))=0,"⚠ 該項目不是數值類型 ",""))))</f>
        <v/>
      </c>
    </row>
    <row r="193">
      <c r="I193" s="2">
        <f>IF(A193="","",IFERROR(INDEX(檢查項目!$E$2:$E$500,MATCH(1,INDEX((檢查項目!$A$2:$A$500=A193)*(檢查項目!$C$2:$C$500=C193)*(檢查項目!$B$2:$B$500=B193),0),0)),IFERROR(INDEX(檢查項目!$E$2:$E$500,MATCH(1,INDEX((檢查項目!$A$2:$A$500=A193)*(檢查項目!$C$2:$C$500=C193)*(檢查項目!$B$2:$B$500=""),0),0)),"⚠ 找不到項目")))</f>
        <v/>
      </c>
      <c r="J193" s="2">
        <f>IF(A193="","",IF(B193="","共用",IF(H193="Y","排除（"&amp;B193&amp;"）",IF(SUMPRODUCT(($A$2:$A$500=A193)*($C$2:$C$500=C193)*($D$2:$D$500=D193)*($B$2:$B$500=""))&gt;0,"覆蓋共用（"&amp;B193&amp;"）","單元新增（"&amp;B193&amp;"）"))))</f>
        <v/>
      </c>
      <c r="K193" s="2">
        <f>IF(A193="","",IF(H193="Y","—",IF(AND(F193&lt;&gt;"",G193&lt;&gt;""),F193&amp;" ~ "&amp;G193,IF(G193&lt;&gt;"","≤ "&amp;G193,IF(F193&lt;&gt;"","≥ "&amp;F193,"只記錄、不檢核")))))</f>
        <v/>
      </c>
      <c r="L193" s="2">
        <f>IF(A193="","",IF(TRIM(IF(SUMPRODUCT(($A$2:$A$500=A193)*($B$2:$B$500=B193)*($C$2:$C$500=C193)*($D$2:$D$500=D193))&gt;1,"⚠ 欄位名稱重複 ","")&amp;IF(AND(B193&lt;&gt;"",NOT(ISNUMBER(SEARCH("、"&amp;B193&amp;"、","、"&amp;IFERROR(INDEX(表單!$I$2:$I$500,MATCH(A193,表單!$A$2:$A$500,0)),"")&amp;"、")))),"⚠ 單元不在適用單元內 ","")&amp;IF(AND(H193="Y",B193=""),"⚠ 排除只能用在單元列 ","")&amp;IF(AND(H193="Y",B193&lt;&gt;"",SUMPRODUCT(($A$2:$A$500=A193)*($C$2:$C$500=C193)*($D$2:$D$500=D193)*($B$2:$B$500=""))=0),"⚠ 排除需對應共用欄位 ","")&amp;IF(AND(ISNUMBER(F193),ISNUMBER(G193),F193&gt;G193),"⚠ 下限大於上限 ","")&amp;IF(SUMPRODUCT((檢查項目!$A$2:$A$500=A193)*(檢查項目!$C$2:$C$500=C193)*(檢查項目!$G$2:$G$500="數值"))=0,"⚠ 該項目不是數值類型 ",""))="","✓",TRIM(IF(SUMPRODUCT(($A$2:$A$500=A193)*($B$2:$B$500=B193)*($C$2:$C$500=C193)*($D$2:$D$500=D193))&gt;1,"⚠ 欄位名稱重複 ","")&amp;IF(AND(B193&lt;&gt;"",NOT(ISNUMBER(SEARCH("、"&amp;B193&amp;"、","、"&amp;IFERROR(INDEX(表單!$I$2:$I$500,MATCH(A193,表單!$A$2:$A$500,0)),"")&amp;"、")))),"⚠ 單元不在適用單元內 ","")&amp;IF(AND(H193="Y",B193=""),"⚠ 排除只能用在單元列 ","")&amp;IF(AND(H193="Y",B193&lt;&gt;"",SUMPRODUCT(($A$2:$A$500=A193)*($C$2:$C$500=C193)*($D$2:$D$500=D193)*($B$2:$B$500=""))=0),"⚠ 排除需對應共用欄位 ","")&amp;IF(AND(ISNUMBER(F193),ISNUMBER(G193),F193&gt;G193),"⚠ 下限大於上限 ","")&amp;IF(SUMPRODUCT((檢查項目!$A$2:$A$500=A193)*(檢查項目!$C$2:$C$500=C193)*(檢查項目!$G$2:$G$500="數值"))=0,"⚠ 該項目不是數值類型 ",""))))</f>
        <v/>
      </c>
    </row>
    <row r="194">
      <c r="I194" s="2">
        <f>IF(A194="","",IFERROR(INDEX(檢查項目!$E$2:$E$500,MATCH(1,INDEX((檢查項目!$A$2:$A$500=A194)*(檢查項目!$C$2:$C$500=C194)*(檢查項目!$B$2:$B$500=B194),0),0)),IFERROR(INDEX(檢查項目!$E$2:$E$500,MATCH(1,INDEX((檢查項目!$A$2:$A$500=A194)*(檢查項目!$C$2:$C$500=C194)*(檢查項目!$B$2:$B$500=""),0),0)),"⚠ 找不到項目")))</f>
        <v/>
      </c>
      <c r="J194" s="2">
        <f>IF(A194="","",IF(B194="","共用",IF(H194="Y","排除（"&amp;B194&amp;"）",IF(SUMPRODUCT(($A$2:$A$500=A194)*($C$2:$C$500=C194)*($D$2:$D$500=D194)*($B$2:$B$500=""))&gt;0,"覆蓋共用（"&amp;B194&amp;"）","單元新增（"&amp;B194&amp;"）"))))</f>
        <v/>
      </c>
      <c r="K194" s="2">
        <f>IF(A194="","",IF(H194="Y","—",IF(AND(F194&lt;&gt;"",G194&lt;&gt;""),F194&amp;" ~ "&amp;G194,IF(G194&lt;&gt;"","≤ "&amp;G194,IF(F194&lt;&gt;"","≥ "&amp;F194,"只記錄、不檢核")))))</f>
        <v/>
      </c>
      <c r="L194" s="2">
        <f>IF(A194="","",IF(TRIM(IF(SUMPRODUCT(($A$2:$A$500=A194)*($B$2:$B$500=B194)*($C$2:$C$500=C194)*($D$2:$D$500=D194))&gt;1,"⚠ 欄位名稱重複 ","")&amp;IF(AND(B194&lt;&gt;"",NOT(ISNUMBER(SEARCH("、"&amp;B194&amp;"、","、"&amp;IFERROR(INDEX(表單!$I$2:$I$500,MATCH(A194,表單!$A$2:$A$500,0)),"")&amp;"、")))),"⚠ 單元不在適用單元內 ","")&amp;IF(AND(H194="Y",B194=""),"⚠ 排除只能用在單元列 ","")&amp;IF(AND(H194="Y",B194&lt;&gt;"",SUMPRODUCT(($A$2:$A$500=A194)*($C$2:$C$500=C194)*($D$2:$D$500=D194)*($B$2:$B$500=""))=0),"⚠ 排除需對應共用欄位 ","")&amp;IF(AND(ISNUMBER(F194),ISNUMBER(G194),F194&gt;G194),"⚠ 下限大於上限 ","")&amp;IF(SUMPRODUCT((檢查項目!$A$2:$A$500=A194)*(檢查項目!$C$2:$C$500=C194)*(檢查項目!$G$2:$G$500="數值"))=0,"⚠ 該項目不是數值類型 ",""))="","✓",TRIM(IF(SUMPRODUCT(($A$2:$A$500=A194)*($B$2:$B$500=B194)*($C$2:$C$500=C194)*($D$2:$D$500=D194))&gt;1,"⚠ 欄位名稱重複 ","")&amp;IF(AND(B194&lt;&gt;"",NOT(ISNUMBER(SEARCH("、"&amp;B194&amp;"、","、"&amp;IFERROR(INDEX(表單!$I$2:$I$500,MATCH(A194,表單!$A$2:$A$500,0)),"")&amp;"、")))),"⚠ 單元不在適用單元內 ","")&amp;IF(AND(H194="Y",B194=""),"⚠ 排除只能用在單元列 ","")&amp;IF(AND(H194="Y",B194&lt;&gt;"",SUMPRODUCT(($A$2:$A$500=A194)*($C$2:$C$500=C194)*($D$2:$D$500=D194)*($B$2:$B$500=""))=0),"⚠ 排除需對應共用欄位 ","")&amp;IF(AND(ISNUMBER(F194),ISNUMBER(G194),F194&gt;G194),"⚠ 下限大於上限 ","")&amp;IF(SUMPRODUCT((檢查項目!$A$2:$A$500=A194)*(檢查項目!$C$2:$C$500=C194)*(檢查項目!$G$2:$G$500="數值"))=0,"⚠ 該項目不是數值類型 ",""))))</f>
        <v/>
      </c>
    </row>
    <row r="195">
      <c r="I195" s="2">
        <f>IF(A195="","",IFERROR(INDEX(檢查項目!$E$2:$E$500,MATCH(1,INDEX((檢查項目!$A$2:$A$500=A195)*(檢查項目!$C$2:$C$500=C195)*(檢查項目!$B$2:$B$500=B195),0),0)),IFERROR(INDEX(檢查項目!$E$2:$E$500,MATCH(1,INDEX((檢查項目!$A$2:$A$500=A195)*(檢查項目!$C$2:$C$500=C195)*(檢查項目!$B$2:$B$500=""),0),0)),"⚠ 找不到項目")))</f>
        <v/>
      </c>
      <c r="J195" s="2">
        <f>IF(A195="","",IF(B195="","共用",IF(H195="Y","排除（"&amp;B195&amp;"）",IF(SUMPRODUCT(($A$2:$A$500=A195)*($C$2:$C$500=C195)*($D$2:$D$500=D195)*($B$2:$B$500=""))&gt;0,"覆蓋共用（"&amp;B195&amp;"）","單元新增（"&amp;B195&amp;"）"))))</f>
        <v/>
      </c>
      <c r="K195" s="2">
        <f>IF(A195="","",IF(H195="Y","—",IF(AND(F195&lt;&gt;"",G195&lt;&gt;""),F195&amp;" ~ "&amp;G195,IF(G195&lt;&gt;"","≤ "&amp;G195,IF(F195&lt;&gt;"","≥ "&amp;F195,"只記錄、不檢核")))))</f>
        <v/>
      </c>
      <c r="L195" s="2">
        <f>IF(A195="","",IF(TRIM(IF(SUMPRODUCT(($A$2:$A$500=A195)*($B$2:$B$500=B195)*($C$2:$C$500=C195)*($D$2:$D$500=D195))&gt;1,"⚠ 欄位名稱重複 ","")&amp;IF(AND(B195&lt;&gt;"",NOT(ISNUMBER(SEARCH("、"&amp;B195&amp;"、","、"&amp;IFERROR(INDEX(表單!$I$2:$I$500,MATCH(A195,表單!$A$2:$A$500,0)),"")&amp;"、")))),"⚠ 單元不在適用單元內 ","")&amp;IF(AND(H195="Y",B195=""),"⚠ 排除只能用在單元列 ","")&amp;IF(AND(H195="Y",B195&lt;&gt;"",SUMPRODUCT(($A$2:$A$500=A195)*($C$2:$C$500=C195)*($D$2:$D$500=D195)*($B$2:$B$500=""))=0),"⚠ 排除需對應共用欄位 ","")&amp;IF(AND(ISNUMBER(F195),ISNUMBER(G195),F195&gt;G195),"⚠ 下限大於上限 ","")&amp;IF(SUMPRODUCT((檢查項目!$A$2:$A$500=A195)*(檢查項目!$C$2:$C$500=C195)*(檢查項目!$G$2:$G$500="數值"))=0,"⚠ 該項目不是數值類型 ",""))="","✓",TRIM(IF(SUMPRODUCT(($A$2:$A$500=A195)*($B$2:$B$500=B195)*($C$2:$C$500=C195)*($D$2:$D$500=D195))&gt;1,"⚠ 欄位名稱重複 ","")&amp;IF(AND(B195&lt;&gt;"",NOT(ISNUMBER(SEARCH("、"&amp;B195&amp;"、","、"&amp;IFERROR(INDEX(表單!$I$2:$I$500,MATCH(A195,表單!$A$2:$A$500,0)),"")&amp;"、")))),"⚠ 單元不在適用單元內 ","")&amp;IF(AND(H195="Y",B195=""),"⚠ 排除只能用在單元列 ","")&amp;IF(AND(H195="Y",B195&lt;&gt;"",SUMPRODUCT(($A$2:$A$500=A195)*($C$2:$C$500=C195)*($D$2:$D$500=D195)*($B$2:$B$500=""))=0),"⚠ 排除需對應共用欄位 ","")&amp;IF(AND(ISNUMBER(F195),ISNUMBER(G195),F195&gt;G195),"⚠ 下限大於上限 ","")&amp;IF(SUMPRODUCT((檢查項目!$A$2:$A$500=A195)*(檢查項目!$C$2:$C$500=C195)*(檢查項目!$G$2:$G$500="數值"))=0,"⚠ 該項目不是數值類型 ",""))))</f>
        <v/>
      </c>
    </row>
    <row r="196">
      <c r="I196" s="2">
        <f>IF(A196="","",IFERROR(INDEX(檢查項目!$E$2:$E$500,MATCH(1,INDEX((檢查項目!$A$2:$A$500=A196)*(檢查項目!$C$2:$C$500=C196)*(檢查項目!$B$2:$B$500=B196),0),0)),IFERROR(INDEX(檢查項目!$E$2:$E$500,MATCH(1,INDEX((檢查項目!$A$2:$A$500=A196)*(檢查項目!$C$2:$C$500=C196)*(檢查項目!$B$2:$B$500=""),0),0)),"⚠ 找不到項目")))</f>
        <v/>
      </c>
      <c r="J196" s="2">
        <f>IF(A196="","",IF(B196="","共用",IF(H196="Y","排除（"&amp;B196&amp;"）",IF(SUMPRODUCT(($A$2:$A$500=A196)*($C$2:$C$500=C196)*($D$2:$D$500=D196)*($B$2:$B$500=""))&gt;0,"覆蓋共用（"&amp;B196&amp;"）","單元新增（"&amp;B196&amp;"）"))))</f>
        <v/>
      </c>
      <c r="K196" s="2">
        <f>IF(A196="","",IF(H196="Y","—",IF(AND(F196&lt;&gt;"",G196&lt;&gt;""),F196&amp;" ~ "&amp;G196,IF(G196&lt;&gt;"","≤ "&amp;G196,IF(F196&lt;&gt;"","≥ "&amp;F196,"只記錄、不檢核")))))</f>
        <v/>
      </c>
      <c r="L196" s="2">
        <f>IF(A196="","",IF(TRIM(IF(SUMPRODUCT(($A$2:$A$500=A196)*($B$2:$B$500=B196)*($C$2:$C$500=C196)*($D$2:$D$500=D196))&gt;1,"⚠ 欄位名稱重複 ","")&amp;IF(AND(B196&lt;&gt;"",NOT(ISNUMBER(SEARCH("、"&amp;B196&amp;"、","、"&amp;IFERROR(INDEX(表單!$I$2:$I$500,MATCH(A196,表單!$A$2:$A$500,0)),"")&amp;"、")))),"⚠ 單元不在適用單元內 ","")&amp;IF(AND(H196="Y",B196=""),"⚠ 排除只能用在單元列 ","")&amp;IF(AND(H196="Y",B196&lt;&gt;"",SUMPRODUCT(($A$2:$A$500=A196)*($C$2:$C$500=C196)*($D$2:$D$500=D196)*($B$2:$B$500=""))=0),"⚠ 排除需對應共用欄位 ","")&amp;IF(AND(ISNUMBER(F196),ISNUMBER(G196),F196&gt;G196),"⚠ 下限大於上限 ","")&amp;IF(SUMPRODUCT((檢查項目!$A$2:$A$500=A196)*(檢查項目!$C$2:$C$500=C196)*(檢查項目!$G$2:$G$500="數值"))=0,"⚠ 該項目不是數值類型 ",""))="","✓",TRIM(IF(SUMPRODUCT(($A$2:$A$500=A196)*($B$2:$B$500=B196)*($C$2:$C$500=C196)*($D$2:$D$500=D196))&gt;1,"⚠ 欄位名稱重複 ","")&amp;IF(AND(B196&lt;&gt;"",NOT(ISNUMBER(SEARCH("、"&amp;B196&amp;"、","、"&amp;IFERROR(INDEX(表單!$I$2:$I$500,MATCH(A196,表單!$A$2:$A$500,0)),"")&amp;"、")))),"⚠ 單元不在適用單元內 ","")&amp;IF(AND(H196="Y",B196=""),"⚠ 排除只能用在單元列 ","")&amp;IF(AND(H196="Y",B196&lt;&gt;"",SUMPRODUCT(($A$2:$A$500=A196)*($C$2:$C$500=C196)*($D$2:$D$500=D196)*($B$2:$B$500=""))=0),"⚠ 排除需對應共用欄位 ","")&amp;IF(AND(ISNUMBER(F196),ISNUMBER(G196),F196&gt;G196),"⚠ 下限大於上限 ","")&amp;IF(SUMPRODUCT((檢查項目!$A$2:$A$500=A196)*(檢查項目!$C$2:$C$500=C196)*(檢查項目!$G$2:$G$500="數值"))=0,"⚠ 該項目不是數值類型 ",""))))</f>
        <v/>
      </c>
    </row>
    <row r="197">
      <c r="I197" s="2">
        <f>IF(A197="","",IFERROR(INDEX(檢查項目!$E$2:$E$500,MATCH(1,INDEX((檢查項目!$A$2:$A$500=A197)*(檢查項目!$C$2:$C$500=C197)*(檢查項目!$B$2:$B$500=B197),0),0)),IFERROR(INDEX(檢查項目!$E$2:$E$500,MATCH(1,INDEX((檢查項目!$A$2:$A$500=A197)*(檢查項目!$C$2:$C$500=C197)*(檢查項目!$B$2:$B$500=""),0),0)),"⚠ 找不到項目")))</f>
        <v/>
      </c>
      <c r="J197" s="2">
        <f>IF(A197="","",IF(B197="","共用",IF(H197="Y","排除（"&amp;B197&amp;"）",IF(SUMPRODUCT(($A$2:$A$500=A197)*($C$2:$C$500=C197)*($D$2:$D$500=D197)*($B$2:$B$500=""))&gt;0,"覆蓋共用（"&amp;B197&amp;"）","單元新增（"&amp;B197&amp;"）"))))</f>
        <v/>
      </c>
      <c r="K197" s="2">
        <f>IF(A197="","",IF(H197="Y","—",IF(AND(F197&lt;&gt;"",G197&lt;&gt;""),F197&amp;" ~ "&amp;G197,IF(G197&lt;&gt;"","≤ "&amp;G197,IF(F197&lt;&gt;"","≥ "&amp;F197,"只記錄、不檢核")))))</f>
        <v/>
      </c>
      <c r="L197" s="2">
        <f>IF(A197="","",IF(TRIM(IF(SUMPRODUCT(($A$2:$A$500=A197)*($B$2:$B$500=B197)*($C$2:$C$500=C197)*($D$2:$D$500=D197))&gt;1,"⚠ 欄位名稱重複 ","")&amp;IF(AND(B197&lt;&gt;"",NOT(ISNUMBER(SEARCH("、"&amp;B197&amp;"、","、"&amp;IFERROR(INDEX(表單!$I$2:$I$500,MATCH(A197,表單!$A$2:$A$500,0)),"")&amp;"、")))),"⚠ 單元不在適用單元內 ","")&amp;IF(AND(H197="Y",B197=""),"⚠ 排除只能用在單元列 ","")&amp;IF(AND(H197="Y",B197&lt;&gt;"",SUMPRODUCT(($A$2:$A$500=A197)*($C$2:$C$500=C197)*($D$2:$D$500=D197)*($B$2:$B$500=""))=0),"⚠ 排除需對應共用欄位 ","")&amp;IF(AND(ISNUMBER(F197),ISNUMBER(G197),F197&gt;G197),"⚠ 下限大於上限 ","")&amp;IF(SUMPRODUCT((檢查項目!$A$2:$A$500=A197)*(檢查項目!$C$2:$C$500=C197)*(檢查項目!$G$2:$G$500="數值"))=0,"⚠ 該項目不是數值類型 ",""))="","✓",TRIM(IF(SUMPRODUCT(($A$2:$A$500=A197)*($B$2:$B$500=B197)*($C$2:$C$500=C197)*($D$2:$D$500=D197))&gt;1,"⚠ 欄位名稱重複 ","")&amp;IF(AND(B197&lt;&gt;"",NOT(ISNUMBER(SEARCH("、"&amp;B197&amp;"、","、"&amp;IFERROR(INDEX(表單!$I$2:$I$500,MATCH(A197,表單!$A$2:$A$500,0)),"")&amp;"、")))),"⚠ 單元不在適用單元內 ","")&amp;IF(AND(H197="Y",B197=""),"⚠ 排除只能用在單元列 ","")&amp;IF(AND(H197="Y",B197&lt;&gt;"",SUMPRODUCT(($A$2:$A$500=A197)*($C$2:$C$500=C197)*($D$2:$D$500=D197)*($B$2:$B$500=""))=0),"⚠ 排除需對應共用欄位 ","")&amp;IF(AND(ISNUMBER(F197),ISNUMBER(G197),F197&gt;G197),"⚠ 下限大於上限 ","")&amp;IF(SUMPRODUCT((檢查項目!$A$2:$A$500=A197)*(檢查項目!$C$2:$C$500=C197)*(檢查項目!$G$2:$G$500="數值"))=0,"⚠ 該項目不是數值類型 ",""))))</f>
        <v/>
      </c>
    </row>
    <row r="198">
      <c r="I198" s="2">
        <f>IF(A198="","",IFERROR(INDEX(檢查項目!$E$2:$E$500,MATCH(1,INDEX((檢查項目!$A$2:$A$500=A198)*(檢查項目!$C$2:$C$500=C198)*(檢查項目!$B$2:$B$500=B198),0),0)),IFERROR(INDEX(檢查項目!$E$2:$E$500,MATCH(1,INDEX((檢查項目!$A$2:$A$500=A198)*(檢查項目!$C$2:$C$500=C198)*(檢查項目!$B$2:$B$500=""),0),0)),"⚠ 找不到項目")))</f>
        <v/>
      </c>
      <c r="J198" s="2">
        <f>IF(A198="","",IF(B198="","共用",IF(H198="Y","排除（"&amp;B198&amp;"）",IF(SUMPRODUCT(($A$2:$A$500=A198)*($C$2:$C$500=C198)*($D$2:$D$500=D198)*($B$2:$B$500=""))&gt;0,"覆蓋共用（"&amp;B198&amp;"）","單元新增（"&amp;B198&amp;"）"))))</f>
        <v/>
      </c>
      <c r="K198" s="2">
        <f>IF(A198="","",IF(H198="Y","—",IF(AND(F198&lt;&gt;"",G198&lt;&gt;""),F198&amp;" ~ "&amp;G198,IF(G198&lt;&gt;"","≤ "&amp;G198,IF(F198&lt;&gt;"","≥ "&amp;F198,"只記錄、不檢核")))))</f>
        <v/>
      </c>
      <c r="L198" s="2">
        <f>IF(A198="","",IF(TRIM(IF(SUMPRODUCT(($A$2:$A$500=A198)*($B$2:$B$500=B198)*($C$2:$C$500=C198)*($D$2:$D$500=D198))&gt;1,"⚠ 欄位名稱重複 ","")&amp;IF(AND(B198&lt;&gt;"",NOT(ISNUMBER(SEARCH("、"&amp;B198&amp;"、","、"&amp;IFERROR(INDEX(表單!$I$2:$I$500,MATCH(A198,表單!$A$2:$A$500,0)),"")&amp;"、")))),"⚠ 單元不在適用單元內 ","")&amp;IF(AND(H198="Y",B198=""),"⚠ 排除只能用在單元列 ","")&amp;IF(AND(H198="Y",B198&lt;&gt;"",SUMPRODUCT(($A$2:$A$500=A198)*($C$2:$C$500=C198)*($D$2:$D$500=D198)*($B$2:$B$500=""))=0),"⚠ 排除需對應共用欄位 ","")&amp;IF(AND(ISNUMBER(F198),ISNUMBER(G198),F198&gt;G198),"⚠ 下限大於上限 ","")&amp;IF(SUMPRODUCT((檢查項目!$A$2:$A$500=A198)*(檢查項目!$C$2:$C$500=C198)*(檢查項目!$G$2:$G$500="數值"))=0,"⚠ 該項目不是數值類型 ",""))="","✓",TRIM(IF(SUMPRODUCT(($A$2:$A$500=A198)*($B$2:$B$500=B198)*($C$2:$C$500=C198)*($D$2:$D$500=D198))&gt;1,"⚠ 欄位名稱重複 ","")&amp;IF(AND(B198&lt;&gt;"",NOT(ISNUMBER(SEARCH("、"&amp;B198&amp;"、","、"&amp;IFERROR(INDEX(表單!$I$2:$I$500,MATCH(A198,表單!$A$2:$A$500,0)),"")&amp;"、")))),"⚠ 單元不在適用單元內 ","")&amp;IF(AND(H198="Y",B198=""),"⚠ 排除只能用在單元列 ","")&amp;IF(AND(H198="Y",B198&lt;&gt;"",SUMPRODUCT(($A$2:$A$500=A198)*($C$2:$C$500=C198)*($D$2:$D$500=D198)*($B$2:$B$500=""))=0),"⚠ 排除需對應共用欄位 ","")&amp;IF(AND(ISNUMBER(F198),ISNUMBER(G198),F198&gt;G198),"⚠ 下限大於上限 ","")&amp;IF(SUMPRODUCT((檢查項目!$A$2:$A$500=A198)*(檢查項目!$C$2:$C$500=C198)*(檢查項目!$G$2:$G$500="數值"))=0,"⚠ 該項目不是數值類型 ",""))))</f>
        <v/>
      </c>
    </row>
    <row r="199">
      <c r="I199" s="2">
        <f>IF(A199="","",IFERROR(INDEX(檢查項目!$E$2:$E$500,MATCH(1,INDEX((檢查項目!$A$2:$A$500=A199)*(檢查項目!$C$2:$C$500=C199)*(檢查項目!$B$2:$B$500=B199),0),0)),IFERROR(INDEX(檢查項目!$E$2:$E$500,MATCH(1,INDEX((檢查項目!$A$2:$A$500=A199)*(檢查項目!$C$2:$C$500=C199)*(檢查項目!$B$2:$B$500=""),0),0)),"⚠ 找不到項目")))</f>
        <v/>
      </c>
      <c r="J199" s="2">
        <f>IF(A199="","",IF(B199="","共用",IF(H199="Y","排除（"&amp;B199&amp;"）",IF(SUMPRODUCT(($A$2:$A$500=A199)*($C$2:$C$500=C199)*($D$2:$D$500=D199)*($B$2:$B$500=""))&gt;0,"覆蓋共用（"&amp;B199&amp;"）","單元新增（"&amp;B199&amp;"）"))))</f>
        <v/>
      </c>
      <c r="K199" s="2">
        <f>IF(A199="","",IF(H199="Y","—",IF(AND(F199&lt;&gt;"",G199&lt;&gt;""),F199&amp;" ~ "&amp;G199,IF(G199&lt;&gt;"","≤ "&amp;G199,IF(F199&lt;&gt;"","≥ "&amp;F199,"只記錄、不檢核")))))</f>
        <v/>
      </c>
      <c r="L199" s="2">
        <f>IF(A199="","",IF(TRIM(IF(SUMPRODUCT(($A$2:$A$500=A199)*($B$2:$B$500=B199)*($C$2:$C$500=C199)*($D$2:$D$500=D199))&gt;1,"⚠ 欄位名稱重複 ","")&amp;IF(AND(B199&lt;&gt;"",NOT(ISNUMBER(SEARCH("、"&amp;B199&amp;"、","、"&amp;IFERROR(INDEX(表單!$I$2:$I$500,MATCH(A199,表單!$A$2:$A$500,0)),"")&amp;"、")))),"⚠ 單元不在適用單元內 ","")&amp;IF(AND(H199="Y",B199=""),"⚠ 排除只能用在單元列 ","")&amp;IF(AND(H199="Y",B199&lt;&gt;"",SUMPRODUCT(($A$2:$A$500=A199)*($C$2:$C$500=C199)*($D$2:$D$500=D199)*($B$2:$B$500=""))=0),"⚠ 排除需對應共用欄位 ","")&amp;IF(AND(ISNUMBER(F199),ISNUMBER(G199),F199&gt;G199),"⚠ 下限大於上限 ","")&amp;IF(SUMPRODUCT((檢查項目!$A$2:$A$500=A199)*(檢查項目!$C$2:$C$500=C199)*(檢查項目!$G$2:$G$500="數值"))=0,"⚠ 該項目不是數值類型 ",""))="","✓",TRIM(IF(SUMPRODUCT(($A$2:$A$500=A199)*($B$2:$B$500=B199)*($C$2:$C$500=C199)*($D$2:$D$500=D199))&gt;1,"⚠ 欄位名稱重複 ","")&amp;IF(AND(B199&lt;&gt;"",NOT(ISNUMBER(SEARCH("、"&amp;B199&amp;"、","、"&amp;IFERROR(INDEX(表單!$I$2:$I$500,MATCH(A199,表單!$A$2:$A$500,0)),"")&amp;"、")))),"⚠ 單元不在適用單元內 ","")&amp;IF(AND(H199="Y",B199=""),"⚠ 排除只能用在單元列 ","")&amp;IF(AND(H199="Y",B199&lt;&gt;"",SUMPRODUCT(($A$2:$A$500=A199)*($C$2:$C$500=C199)*($D$2:$D$500=D199)*($B$2:$B$500=""))=0),"⚠ 排除需對應共用欄位 ","")&amp;IF(AND(ISNUMBER(F199),ISNUMBER(G199),F199&gt;G199),"⚠ 下限大於上限 ","")&amp;IF(SUMPRODUCT((檢查項目!$A$2:$A$500=A199)*(檢查項目!$C$2:$C$500=C199)*(檢查項目!$G$2:$G$500="數值"))=0,"⚠ 該項目不是數值類型 ",""))))</f>
        <v/>
      </c>
    </row>
    <row r="200">
      <c r="I200" s="2">
        <f>IF(A200="","",IFERROR(INDEX(檢查項目!$E$2:$E$500,MATCH(1,INDEX((檢查項目!$A$2:$A$500=A200)*(檢查項目!$C$2:$C$500=C200)*(檢查項目!$B$2:$B$500=B200),0),0)),IFERROR(INDEX(檢查項目!$E$2:$E$500,MATCH(1,INDEX((檢查項目!$A$2:$A$500=A200)*(檢查項目!$C$2:$C$500=C200)*(檢查項目!$B$2:$B$500=""),0),0)),"⚠ 找不到項目")))</f>
        <v/>
      </c>
      <c r="J200" s="2">
        <f>IF(A200="","",IF(B200="","共用",IF(H200="Y","排除（"&amp;B200&amp;"）",IF(SUMPRODUCT(($A$2:$A$500=A200)*($C$2:$C$500=C200)*($D$2:$D$500=D200)*($B$2:$B$500=""))&gt;0,"覆蓋共用（"&amp;B200&amp;"）","單元新增（"&amp;B200&amp;"）"))))</f>
        <v/>
      </c>
      <c r="K200" s="2">
        <f>IF(A200="","",IF(H200="Y","—",IF(AND(F200&lt;&gt;"",G200&lt;&gt;""),F200&amp;" ~ "&amp;G200,IF(G200&lt;&gt;"","≤ "&amp;G200,IF(F200&lt;&gt;"","≥ "&amp;F200,"只記錄、不檢核")))))</f>
        <v/>
      </c>
      <c r="L200" s="2">
        <f>IF(A200="","",IF(TRIM(IF(SUMPRODUCT(($A$2:$A$500=A200)*($B$2:$B$500=B200)*($C$2:$C$500=C200)*($D$2:$D$500=D200))&gt;1,"⚠ 欄位名稱重複 ","")&amp;IF(AND(B200&lt;&gt;"",NOT(ISNUMBER(SEARCH("、"&amp;B200&amp;"、","、"&amp;IFERROR(INDEX(表單!$I$2:$I$500,MATCH(A200,表單!$A$2:$A$500,0)),"")&amp;"、")))),"⚠ 單元不在適用單元內 ","")&amp;IF(AND(H200="Y",B200=""),"⚠ 排除只能用在單元列 ","")&amp;IF(AND(H200="Y",B200&lt;&gt;"",SUMPRODUCT(($A$2:$A$500=A200)*($C$2:$C$500=C200)*($D$2:$D$500=D200)*($B$2:$B$500=""))=0),"⚠ 排除需對應共用欄位 ","")&amp;IF(AND(ISNUMBER(F200),ISNUMBER(G200),F200&gt;G200),"⚠ 下限大於上限 ","")&amp;IF(SUMPRODUCT((檢查項目!$A$2:$A$500=A200)*(檢查項目!$C$2:$C$500=C200)*(檢查項目!$G$2:$G$500="數值"))=0,"⚠ 該項目不是數值類型 ",""))="","✓",TRIM(IF(SUMPRODUCT(($A$2:$A$500=A200)*($B$2:$B$500=B200)*($C$2:$C$500=C200)*($D$2:$D$500=D200))&gt;1,"⚠ 欄位名稱重複 ","")&amp;IF(AND(B200&lt;&gt;"",NOT(ISNUMBER(SEARCH("、"&amp;B200&amp;"、","、"&amp;IFERROR(INDEX(表單!$I$2:$I$500,MATCH(A200,表單!$A$2:$A$500,0)),"")&amp;"、")))),"⚠ 單元不在適用單元內 ","")&amp;IF(AND(H200="Y",B200=""),"⚠ 排除只能用在單元列 ","")&amp;IF(AND(H200="Y",B200&lt;&gt;"",SUMPRODUCT(($A$2:$A$500=A200)*($C$2:$C$500=C200)*($D$2:$D$500=D200)*($B$2:$B$500=""))=0),"⚠ 排除需對應共用欄位 ","")&amp;IF(AND(ISNUMBER(F200),ISNUMBER(G200),F200&gt;G200),"⚠ 下限大於上限 ","")&amp;IF(SUMPRODUCT((檢查項目!$A$2:$A$500=A200)*(檢查項目!$C$2:$C$500=C200)*(檢查項目!$G$2:$G$500="數值"))=0,"⚠ 該項目不是數值類型 ",""))))</f>
        <v/>
      </c>
    </row>
    <row r="201">
      <c r="I201" s="2">
        <f>IF(A201="","",IFERROR(INDEX(檢查項目!$E$2:$E$500,MATCH(1,INDEX((檢查項目!$A$2:$A$500=A201)*(檢查項目!$C$2:$C$500=C201)*(檢查項目!$B$2:$B$500=B201),0),0)),IFERROR(INDEX(檢查項目!$E$2:$E$500,MATCH(1,INDEX((檢查項目!$A$2:$A$500=A201)*(檢查項目!$C$2:$C$500=C201)*(檢查項目!$B$2:$B$500=""),0),0)),"⚠ 找不到項目")))</f>
        <v/>
      </c>
      <c r="J201" s="2">
        <f>IF(A201="","",IF(B201="","共用",IF(H201="Y","排除（"&amp;B201&amp;"）",IF(SUMPRODUCT(($A$2:$A$500=A201)*($C$2:$C$500=C201)*($D$2:$D$500=D201)*($B$2:$B$500=""))&gt;0,"覆蓋共用（"&amp;B201&amp;"）","單元新增（"&amp;B201&amp;"）"))))</f>
        <v/>
      </c>
      <c r="K201" s="2">
        <f>IF(A201="","",IF(H201="Y","—",IF(AND(F201&lt;&gt;"",G201&lt;&gt;""),F201&amp;" ~ "&amp;G201,IF(G201&lt;&gt;"","≤ "&amp;G201,IF(F201&lt;&gt;"","≥ "&amp;F201,"只記錄、不檢核")))))</f>
        <v/>
      </c>
      <c r="L201" s="2">
        <f>IF(A201="","",IF(TRIM(IF(SUMPRODUCT(($A$2:$A$500=A201)*($B$2:$B$500=B201)*($C$2:$C$500=C201)*($D$2:$D$500=D201))&gt;1,"⚠ 欄位名稱重複 ","")&amp;IF(AND(B201&lt;&gt;"",NOT(ISNUMBER(SEARCH("、"&amp;B201&amp;"、","、"&amp;IFERROR(INDEX(表單!$I$2:$I$500,MATCH(A201,表單!$A$2:$A$500,0)),"")&amp;"、")))),"⚠ 單元不在適用單元內 ","")&amp;IF(AND(H201="Y",B201=""),"⚠ 排除只能用在單元列 ","")&amp;IF(AND(H201="Y",B201&lt;&gt;"",SUMPRODUCT(($A$2:$A$500=A201)*($C$2:$C$500=C201)*($D$2:$D$500=D201)*($B$2:$B$500=""))=0),"⚠ 排除需對應共用欄位 ","")&amp;IF(AND(ISNUMBER(F201),ISNUMBER(G201),F201&gt;G201),"⚠ 下限大於上限 ","")&amp;IF(SUMPRODUCT((檢查項目!$A$2:$A$500=A201)*(檢查項目!$C$2:$C$500=C201)*(檢查項目!$G$2:$G$500="數值"))=0,"⚠ 該項目不是數值類型 ",""))="","✓",TRIM(IF(SUMPRODUCT(($A$2:$A$500=A201)*($B$2:$B$500=B201)*($C$2:$C$500=C201)*($D$2:$D$500=D201))&gt;1,"⚠ 欄位名稱重複 ","")&amp;IF(AND(B201&lt;&gt;"",NOT(ISNUMBER(SEARCH("、"&amp;B201&amp;"、","、"&amp;IFERROR(INDEX(表單!$I$2:$I$500,MATCH(A201,表單!$A$2:$A$500,0)),"")&amp;"、")))),"⚠ 單元不在適用單元內 ","")&amp;IF(AND(H201="Y",B201=""),"⚠ 排除只能用在單元列 ","")&amp;IF(AND(H201="Y",B201&lt;&gt;"",SUMPRODUCT(($A$2:$A$500=A201)*($C$2:$C$500=C201)*($D$2:$D$500=D201)*($B$2:$B$500=""))=0),"⚠ 排除需對應共用欄位 ","")&amp;IF(AND(ISNUMBER(F201),ISNUMBER(G201),F201&gt;G201),"⚠ 下限大於上限 ","")&amp;IF(SUMPRODUCT((檢查項目!$A$2:$A$500=A201)*(檢查項目!$C$2:$C$500=C201)*(檢查項目!$G$2:$G$500="數值"))=0,"⚠ 該項目不是數值類型 ",""))))</f>
        <v/>
      </c>
    </row>
    <row r="202">
      <c r="I202" s="2">
        <f>IF(A202="","",IFERROR(INDEX(檢查項目!$E$2:$E$500,MATCH(1,INDEX((檢查項目!$A$2:$A$500=A202)*(檢查項目!$C$2:$C$500=C202)*(檢查項目!$B$2:$B$500=B202),0),0)),IFERROR(INDEX(檢查項目!$E$2:$E$500,MATCH(1,INDEX((檢查項目!$A$2:$A$500=A202)*(檢查項目!$C$2:$C$500=C202)*(檢查項目!$B$2:$B$500=""),0),0)),"⚠ 找不到項目")))</f>
        <v/>
      </c>
      <c r="J202" s="2">
        <f>IF(A202="","",IF(B202="","共用",IF(H202="Y","排除（"&amp;B202&amp;"）",IF(SUMPRODUCT(($A$2:$A$500=A202)*($C$2:$C$500=C202)*($D$2:$D$500=D202)*($B$2:$B$500=""))&gt;0,"覆蓋共用（"&amp;B202&amp;"）","單元新增（"&amp;B202&amp;"）"))))</f>
        <v/>
      </c>
      <c r="K202" s="2">
        <f>IF(A202="","",IF(H202="Y","—",IF(AND(F202&lt;&gt;"",G202&lt;&gt;""),F202&amp;" ~ "&amp;G202,IF(G202&lt;&gt;"","≤ "&amp;G202,IF(F202&lt;&gt;"","≥ "&amp;F202,"只記錄、不檢核")))))</f>
        <v/>
      </c>
      <c r="L202" s="2">
        <f>IF(A202="","",IF(TRIM(IF(SUMPRODUCT(($A$2:$A$500=A202)*($B$2:$B$500=B202)*($C$2:$C$500=C202)*($D$2:$D$500=D202))&gt;1,"⚠ 欄位名稱重複 ","")&amp;IF(AND(B202&lt;&gt;"",NOT(ISNUMBER(SEARCH("、"&amp;B202&amp;"、","、"&amp;IFERROR(INDEX(表單!$I$2:$I$500,MATCH(A202,表單!$A$2:$A$500,0)),"")&amp;"、")))),"⚠ 單元不在適用單元內 ","")&amp;IF(AND(H202="Y",B202=""),"⚠ 排除只能用在單元列 ","")&amp;IF(AND(H202="Y",B202&lt;&gt;"",SUMPRODUCT(($A$2:$A$500=A202)*($C$2:$C$500=C202)*($D$2:$D$500=D202)*($B$2:$B$500=""))=0),"⚠ 排除需對應共用欄位 ","")&amp;IF(AND(ISNUMBER(F202),ISNUMBER(G202),F202&gt;G202),"⚠ 下限大於上限 ","")&amp;IF(SUMPRODUCT((檢查項目!$A$2:$A$500=A202)*(檢查項目!$C$2:$C$500=C202)*(檢查項目!$G$2:$G$500="數值"))=0,"⚠ 該項目不是數值類型 ",""))="","✓",TRIM(IF(SUMPRODUCT(($A$2:$A$500=A202)*($B$2:$B$500=B202)*($C$2:$C$500=C202)*($D$2:$D$500=D202))&gt;1,"⚠ 欄位名稱重複 ","")&amp;IF(AND(B202&lt;&gt;"",NOT(ISNUMBER(SEARCH("、"&amp;B202&amp;"、","、"&amp;IFERROR(INDEX(表單!$I$2:$I$500,MATCH(A202,表單!$A$2:$A$500,0)),"")&amp;"、")))),"⚠ 單元不在適用單元內 ","")&amp;IF(AND(H202="Y",B202=""),"⚠ 排除只能用在單元列 ","")&amp;IF(AND(H202="Y",B202&lt;&gt;"",SUMPRODUCT(($A$2:$A$500=A202)*($C$2:$C$500=C202)*($D$2:$D$500=D202)*($B$2:$B$500=""))=0),"⚠ 排除需對應共用欄位 ","")&amp;IF(AND(ISNUMBER(F202),ISNUMBER(G202),F202&gt;G202),"⚠ 下限大於上限 ","")&amp;IF(SUMPRODUCT((檢查項目!$A$2:$A$500=A202)*(檢查項目!$C$2:$C$500=C202)*(檢查項目!$G$2:$G$500="數值"))=0,"⚠ 該項目不是數值類型 ",""))))</f>
        <v/>
      </c>
    </row>
    <row r="203">
      <c r="I203" s="2">
        <f>IF(A203="","",IFERROR(INDEX(檢查項目!$E$2:$E$500,MATCH(1,INDEX((檢查項目!$A$2:$A$500=A203)*(檢查項目!$C$2:$C$500=C203)*(檢查項目!$B$2:$B$500=B203),0),0)),IFERROR(INDEX(檢查項目!$E$2:$E$500,MATCH(1,INDEX((檢查項目!$A$2:$A$500=A203)*(檢查項目!$C$2:$C$500=C203)*(檢查項目!$B$2:$B$500=""),0),0)),"⚠ 找不到項目")))</f>
        <v/>
      </c>
      <c r="J203" s="2">
        <f>IF(A203="","",IF(B203="","共用",IF(H203="Y","排除（"&amp;B203&amp;"）",IF(SUMPRODUCT(($A$2:$A$500=A203)*($C$2:$C$500=C203)*($D$2:$D$500=D203)*($B$2:$B$500=""))&gt;0,"覆蓋共用（"&amp;B203&amp;"）","單元新增（"&amp;B203&amp;"）"))))</f>
        <v/>
      </c>
      <c r="K203" s="2">
        <f>IF(A203="","",IF(H203="Y","—",IF(AND(F203&lt;&gt;"",G203&lt;&gt;""),F203&amp;" ~ "&amp;G203,IF(G203&lt;&gt;"","≤ "&amp;G203,IF(F203&lt;&gt;"","≥ "&amp;F203,"只記錄、不檢核")))))</f>
        <v/>
      </c>
      <c r="L203" s="2">
        <f>IF(A203="","",IF(TRIM(IF(SUMPRODUCT(($A$2:$A$500=A203)*($B$2:$B$500=B203)*($C$2:$C$500=C203)*($D$2:$D$500=D203))&gt;1,"⚠ 欄位名稱重複 ","")&amp;IF(AND(B203&lt;&gt;"",NOT(ISNUMBER(SEARCH("、"&amp;B203&amp;"、","、"&amp;IFERROR(INDEX(表單!$I$2:$I$500,MATCH(A203,表單!$A$2:$A$500,0)),"")&amp;"、")))),"⚠ 單元不在適用單元內 ","")&amp;IF(AND(H203="Y",B203=""),"⚠ 排除只能用在單元列 ","")&amp;IF(AND(H203="Y",B203&lt;&gt;"",SUMPRODUCT(($A$2:$A$500=A203)*($C$2:$C$500=C203)*($D$2:$D$500=D203)*($B$2:$B$500=""))=0),"⚠ 排除需對應共用欄位 ","")&amp;IF(AND(ISNUMBER(F203),ISNUMBER(G203),F203&gt;G203),"⚠ 下限大於上限 ","")&amp;IF(SUMPRODUCT((檢查項目!$A$2:$A$500=A203)*(檢查項目!$C$2:$C$500=C203)*(檢查項目!$G$2:$G$500="數值"))=0,"⚠ 該項目不是數值類型 ",""))="","✓",TRIM(IF(SUMPRODUCT(($A$2:$A$500=A203)*($B$2:$B$500=B203)*($C$2:$C$500=C203)*($D$2:$D$500=D203))&gt;1,"⚠ 欄位名稱重複 ","")&amp;IF(AND(B203&lt;&gt;"",NOT(ISNUMBER(SEARCH("、"&amp;B203&amp;"、","、"&amp;IFERROR(INDEX(表單!$I$2:$I$500,MATCH(A203,表單!$A$2:$A$500,0)),"")&amp;"、")))),"⚠ 單元不在適用單元內 ","")&amp;IF(AND(H203="Y",B203=""),"⚠ 排除只能用在單元列 ","")&amp;IF(AND(H203="Y",B203&lt;&gt;"",SUMPRODUCT(($A$2:$A$500=A203)*($C$2:$C$500=C203)*($D$2:$D$500=D203)*($B$2:$B$500=""))=0),"⚠ 排除需對應共用欄位 ","")&amp;IF(AND(ISNUMBER(F203),ISNUMBER(G203),F203&gt;G203),"⚠ 下限大於上限 ","")&amp;IF(SUMPRODUCT((檢查項目!$A$2:$A$500=A203)*(檢查項目!$C$2:$C$500=C203)*(檢查項目!$G$2:$G$500="數值"))=0,"⚠ 該項目不是數值類型 ",""))))</f>
        <v/>
      </c>
    </row>
    <row r="204">
      <c r="I204" s="2">
        <f>IF(A204="","",IFERROR(INDEX(檢查項目!$E$2:$E$500,MATCH(1,INDEX((檢查項目!$A$2:$A$500=A204)*(檢查項目!$C$2:$C$500=C204)*(檢查項目!$B$2:$B$500=B204),0),0)),IFERROR(INDEX(檢查項目!$E$2:$E$500,MATCH(1,INDEX((檢查項目!$A$2:$A$500=A204)*(檢查項目!$C$2:$C$500=C204)*(檢查項目!$B$2:$B$500=""),0),0)),"⚠ 找不到項目")))</f>
        <v/>
      </c>
      <c r="J204" s="2">
        <f>IF(A204="","",IF(B204="","共用",IF(H204="Y","排除（"&amp;B204&amp;"）",IF(SUMPRODUCT(($A$2:$A$500=A204)*($C$2:$C$500=C204)*($D$2:$D$500=D204)*($B$2:$B$500=""))&gt;0,"覆蓋共用（"&amp;B204&amp;"）","單元新增（"&amp;B204&amp;"）"))))</f>
        <v/>
      </c>
      <c r="K204" s="2">
        <f>IF(A204="","",IF(H204="Y","—",IF(AND(F204&lt;&gt;"",G204&lt;&gt;""),F204&amp;" ~ "&amp;G204,IF(G204&lt;&gt;"","≤ "&amp;G204,IF(F204&lt;&gt;"","≥ "&amp;F204,"只記錄、不檢核")))))</f>
        <v/>
      </c>
      <c r="L204" s="2">
        <f>IF(A204="","",IF(TRIM(IF(SUMPRODUCT(($A$2:$A$500=A204)*($B$2:$B$500=B204)*($C$2:$C$500=C204)*($D$2:$D$500=D204))&gt;1,"⚠ 欄位名稱重複 ","")&amp;IF(AND(B204&lt;&gt;"",NOT(ISNUMBER(SEARCH("、"&amp;B204&amp;"、","、"&amp;IFERROR(INDEX(表單!$I$2:$I$500,MATCH(A204,表單!$A$2:$A$500,0)),"")&amp;"、")))),"⚠ 單元不在適用單元內 ","")&amp;IF(AND(H204="Y",B204=""),"⚠ 排除只能用在單元列 ","")&amp;IF(AND(H204="Y",B204&lt;&gt;"",SUMPRODUCT(($A$2:$A$500=A204)*($C$2:$C$500=C204)*($D$2:$D$500=D204)*($B$2:$B$500=""))=0),"⚠ 排除需對應共用欄位 ","")&amp;IF(AND(ISNUMBER(F204),ISNUMBER(G204),F204&gt;G204),"⚠ 下限大於上限 ","")&amp;IF(SUMPRODUCT((檢查項目!$A$2:$A$500=A204)*(檢查項目!$C$2:$C$500=C204)*(檢查項目!$G$2:$G$500="數值"))=0,"⚠ 該項目不是數值類型 ",""))="","✓",TRIM(IF(SUMPRODUCT(($A$2:$A$500=A204)*($B$2:$B$500=B204)*($C$2:$C$500=C204)*($D$2:$D$500=D204))&gt;1,"⚠ 欄位名稱重複 ","")&amp;IF(AND(B204&lt;&gt;"",NOT(ISNUMBER(SEARCH("、"&amp;B204&amp;"、","、"&amp;IFERROR(INDEX(表單!$I$2:$I$500,MATCH(A204,表單!$A$2:$A$500,0)),"")&amp;"、")))),"⚠ 單元不在適用單元內 ","")&amp;IF(AND(H204="Y",B204=""),"⚠ 排除只能用在單元列 ","")&amp;IF(AND(H204="Y",B204&lt;&gt;"",SUMPRODUCT(($A$2:$A$500=A204)*($C$2:$C$500=C204)*($D$2:$D$500=D204)*($B$2:$B$500=""))=0),"⚠ 排除需對應共用欄位 ","")&amp;IF(AND(ISNUMBER(F204),ISNUMBER(G204),F204&gt;G204),"⚠ 下限大於上限 ","")&amp;IF(SUMPRODUCT((檢查項目!$A$2:$A$500=A204)*(檢查項目!$C$2:$C$500=C204)*(檢查項目!$G$2:$G$500="數值"))=0,"⚠ 該項目不是數值類型 ",""))))</f>
        <v/>
      </c>
    </row>
    <row r="205">
      <c r="I205" s="2">
        <f>IF(A205="","",IFERROR(INDEX(檢查項目!$E$2:$E$500,MATCH(1,INDEX((檢查項目!$A$2:$A$500=A205)*(檢查項目!$C$2:$C$500=C205)*(檢查項目!$B$2:$B$500=B205),0),0)),IFERROR(INDEX(檢查項目!$E$2:$E$500,MATCH(1,INDEX((檢查項目!$A$2:$A$500=A205)*(檢查項目!$C$2:$C$500=C205)*(檢查項目!$B$2:$B$500=""),0),0)),"⚠ 找不到項目")))</f>
        <v/>
      </c>
      <c r="J205" s="2">
        <f>IF(A205="","",IF(B205="","共用",IF(H205="Y","排除（"&amp;B205&amp;"）",IF(SUMPRODUCT(($A$2:$A$500=A205)*($C$2:$C$500=C205)*($D$2:$D$500=D205)*($B$2:$B$500=""))&gt;0,"覆蓋共用（"&amp;B205&amp;"）","單元新增（"&amp;B205&amp;"）"))))</f>
        <v/>
      </c>
      <c r="K205" s="2">
        <f>IF(A205="","",IF(H205="Y","—",IF(AND(F205&lt;&gt;"",G205&lt;&gt;""),F205&amp;" ~ "&amp;G205,IF(G205&lt;&gt;"","≤ "&amp;G205,IF(F205&lt;&gt;"","≥ "&amp;F205,"只記錄、不檢核")))))</f>
        <v/>
      </c>
      <c r="L205" s="2">
        <f>IF(A205="","",IF(TRIM(IF(SUMPRODUCT(($A$2:$A$500=A205)*($B$2:$B$500=B205)*($C$2:$C$500=C205)*($D$2:$D$500=D205))&gt;1,"⚠ 欄位名稱重複 ","")&amp;IF(AND(B205&lt;&gt;"",NOT(ISNUMBER(SEARCH("、"&amp;B205&amp;"、","、"&amp;IFERROR(INDEX(表單!$I$2:$I$500,MATCH(A205,表單!$A$2:$A$500,0)),"")&amp;"、")))),"⚠ 單元不在適用單元內 ","")&amp;IF(AND(H205="Y",B205=""),"⚠ 排除只能用在單元列 ","")&amp;IF(AND(H205="Y",B205&lt;&gt;"",SUMPRODUCT(($A$2:$A$500=A205)*($C$2:$C$500=C205)*($D$2:$D$500=D205)*($B$2:$B$500=""))=0),"⚠ 排除需對應共用欄位 ","")&amp;IF(AND(ISNUMBER(F205),ISNUMBER(G205),F205&gt;G205),"⚠ 下限大於上限 ","")&amp;IF(SUMPRODUCT((檢查項目!$A$2:$A$500=A205)*(檢查項目!$C$2:$C$500=C205)*(檢查項目!$G$2:$G$500="數值"))=0,"⚠ 該項目不是數值類型 ",""))="","✓",TRIM(IF(SUMPRODUCT(($A$2:$A$500=A205)*($B$2:$B$500=B205)*($C$2:$C$500=C205)*($D$2:$D$500=D205))&gt;1,"⚠ 欄位名稱重複 ","")&amp;IF(AND(B205&lt;&gt;"",NOT(ISNUMBER(SEARCH("、"&amp;B205&amp;"、","、"&amp;IFERROR(INDEX(表單!$I$2:$I$500,MATCH(A205,表單!$A$2:$A$500,0)),"")&amp;"、")))),"⚠ 單元不在適用單元內 ","")&amp;IF(AND(H205="Y",B205=""),"⚠ 排除只能用在單元列 ","")&amp;IF(AND(H205="Y",B205&lt;&gt;"",SUMPRODUCT(($A$2:$A$500=A205)*($C$2:$C$500=C205)*($D$2:$D$500=D205)*($B$2:$B$500=""))=0),"⚠ 排除需對應共用欄位 ","")&amp;IF(AND(ISNUMBER(F205),ISNUMBER(G205),F205&gt;G205),"⚠ 下限大於上限 ","")&amp;IF(SUMPRODUCT((檢查項目!$A$2:$A$500=A205)*(檢查項目!$C$2:$C$500=C205)*(檢查項目!$G$2:$G$500="數值"))=0,"⚠ 該項目不是數值類型 ",""))))</f>
        <v/>
      </c>
    </row>
    <row r="206">
      <c r="I206" s="2">
        <f>IF(A206="","",IFERROR(INDEX(檢查項目!$E$2:$E$500,MATCH(1,INDEX((檢查項目!$A$2:$A$500=A206)*(檢查項目!$C$2:$C$500=C206)*(檢查項目!$B$2:$B$500=B206),0),0)),IFERROR(INDEX(檢查項目!$E$2:$E$500,MATCH(1,INDEX((檢查項目!$A$2:$A$500=A206)*(檢查項目!$C$2:$C$500=C206)*(檢查項目!$B$2:$B$500=""),0),0)),"⚠ 找不到項目")))</f>
        <v/>
      </c>
      <c r="J206" s="2">
        <f>IF(A206="","",IF(B206="","共用",IF(H206="Y","排除（"&amp;B206&amp;"）",IF(SUMPRODUCT(($A$2:$A$500=A206)*($C$2:$C$500=C206)*($D$2:$D$500=D206)*($B$2:$B$500=""))&gt;0,"覆蓋共用（"&amp;B206&amp;"）","單元新增（"&amp;B206&amp;"）"))))</f>
        <v/>
      </c>
      <c r="K206" s="2">
        <f>IF(A206="","",IF(H206="Y","—",IF(AND(F206&lt;&gt;"",G206&lt;&gt;""),F206&amp;" ~ "&amp;G206,IF(G206&lt;&gt;"","≤ "&amp;G206,IF(F206&lt;&gt;"","≥ "&amp;F206,"只記錄、不檢核")))))</f>
        <v/>
      </c>
      <c r="L206" s="2">
        <f>IF(A206="","",IF(TRIM(IF(SUMPRODUCT(($A$2:$A$500=A206)*($B$2:$B$500=B206)*($C$2:$C$500=C206)*($D$2:$D$500=D206))&gt;1,"⚠ 欄位名稱重複 ","")&amp;IF(AND(B206&lt;&gt;"",NOT(ISNUMBER(SEARCH("、"&amp;B206&amp;"、","、"&amp;IFERROR(INDEX(表單!$I$2:$I$500,MATCH(A206,表單!$A$2:$A$500,0)),"")&amp;"、")))),"⚠ 單元不在適用單元內 ","")&amp;IF(AND(H206="Y",B206=""),"⚠ 排除只能用在單元列 ","")&amp;IF(AND(H206="Y",B206&lt;&gt;"",SUMPRODUCT(($A$2:$A$500=A206)*($C$2:$C$500=C206)*($D$2:$D$500=D206)*($B$2:$B$500=""))=0),"⚠ 排除需對應共用欄位 ","")&amp;IF(AND(ISNUMBER(F206),ISNUMBER(G206),F206&gt;G206),"⚠ 下限大於上限 ","")&amp;IF(SUMPRODUCT((檢查項目!$A$2:$A$500=A206)*(檢查項目!$C$2:$C$500=C206)*(檢查項目!$G$2:$G$500="數值"))=0,"⚠ 該項目不是數值類型 ",""))="","✓",TRIM(IF(SUMPRODUCT(($A$2:$A$500=A206)*($B$2:$B$500=B206)*($C$2:$C$500=C206)*($D$2:$D$500=D206))&gt;1,"⚠ 欄位名稱重複 ","")&amp;IF(AND(B206&lt;&gt;"",NOT(ISNUMBER(SEARCH("、"&amp;B206&amp;"、","、"&amp;IFERROR(INDEX(表單!$I$2:$I$500,MATCH(A206,表單!$A$2:$A$500,0)),"")&amp;"、")))),"⚠ 單元不在適用單元內 ","")&amp;IF(AND(H206="Y",B206=""),"⚠ 排除只能用在單元列 ","")&amp;IF(AND(H206="Y",B206&lt;&gt;"",SUMPRODUCT(($A$2:$A$500=A206)*($C$2:$C$500=C206)*($D$2:$D$500=D206)*($B$2:$B$500=""))=0),"⚠ 排除需對應共用欄位 ","")&amp;IF(AND(ISNUMBER(F206),ISNUMBER(G206),F206&gt;G206),"⚠ 下限大於上限 ","")&amp;IF(SUMPRODUCT((檢查項目!$A$2:$A$500=A206)*(檢查項目!$C$2:$C$500=C206)*(檢查項目!$G$2:$G$500="數值"))=0,"⚠ 該項目不是數值類型 ",""))))</f>
        <v/>
      </c>
    </row>
    <row r="207">
      <c r="I207" s="2">
        <f>IF(A207="","",IFERROR(INDEX(檢查項目!$E$2:$E$500,MATCH(1,INDEX((檢查項目!$A$2:$A$500=A207)*(檢查項目!$C$2:$C$500=C207)*(檢查項目!$B$2:$B$500=B207),0),0)),IFERROR(INDEX(檢查項目!$E$2:$E$500,MATCH(1,INDEX((檢查項目!$A$2:$A$500=A207)*(檢查項目!$C$2:$C$500=C207)*(檢查項目!$B$2:$B$500=""),0),0)),"⚠ 找不到項目")))</f>
        <v/>
      </c>
      <c r="J207" s="2">
        <f>IF(A207="","",IF(B207="","共用",IF(H207="Y","排除（"&amp;B207&amp;"）",IF(SUMPRODUCT(($A$2:$A$500=A207)*($C$2:$C$500=C207)*($D$2:$D$500=D207)*($B$2:$B$500=""))&gt;0,"覆蓋共用（"&amp;B207&amp;"）","單元新增（"&amp;B207&amp;"）"))))</f>
        <v/>
      </c>
      <c r="K207" s="2">
        <f>IF(A207="","",IF(H207="Y","—",IF(AND(F207&lt;&gt;"",G207&lt;&gt;""),F207&amp;" ~ "&amp;G207,IF(G207&lt;&gt;"","≤ "&amp;G207,IF(F207&lt;&gt;"","≥ "&amp;F207,"只記錄、不檢核")))))</f>
        <v/>
      </c>
      <c r="L207" s="2">
        <f>IF(A207="","",IF(TRIM(IF(SUMPRODUCT(($A$2:$A$500=A207)*($B$2:$B$500=B207)*($C$2:$C$500=C207)*($D$2:$D$500=D207))&gt;1,"⚠ 欄位名稱重複 ","")&amp;IF(AND(B207&lt;&gt;"",NOT(ISNUMBER(SEARCH("、"&amp;B207&amp;"、","、"&amp;IFERROR(INDEX(表單!$I$2:$I$500,MATCH(A207,表單!$A$2:$A$500,0)),"")&amp;"、")))),"⚠ 單元不在適用單元內 ","")&amp;IF(AND(H207="Y",B207=""),"⚠ 排除只能用在單元列 ","")&amp;IF(AND(H207="Y",B207&lt;&gt;"",SUMPRODUCT(($A$2:$A$500=A207)*($C$2:$C$500=C207)*($D$2:$D$500=D207)*($B$2:$B$500=""))=0),"⚠ 排除需對應共用欄位 ","")&amp;IF(AND(ISNUMBER(F207),ISNUMBER(G207),F207&gt;G207),"⚠ 下限大於上限 ","")&amp;IF(SUMPRODUCT((檢查項目!$A$2:$A$500=A207)*(檢查項目!$C$2:$C$500=C207)*(檢查項目!$G$2:$G$500="數值"))=0,"⚠ 該項目不是數值類型 ",""))="","✓",TRIM(IF(SUMPRODUCT(($A$2:$A$500=A207)*($B$2:$B$500=B207)*($C$2:$C$500=C207)*($D$2:$D$500=D207))&gt;1,"⚠ 欄位名稱重複 ","")&amp;IF(AND(B207&lt;&gt;"",NOT(ISNUMBER(SEARCH("、"&amp;B207&amp;"、","、"&amp;IFERROR(INDEX(表單!$I$2:$I$500,MATCH(A207,表單!$A$2:$A$500,0)),"")&amp;"、")))),"⚠ 單元不在適用單元內 ","")&amp;IF(AND(H207="Y",B207=""),"⚠ 排除只能用在單元列 ","")&amp;IF(AND(H207="Y",B207&lt;&gt;"",SUMPRODUCT(($A$2:$A$500=A207)*($C$2:$C$500=C207)*($D$2:$D$500=D207)*($B$2:$B$500=""))=0),"⚠ 排除需對應共用欄位 ","")&amp;IF(AND(ISNUMBER(F207),ISNUMBER(G207),F207&gt;G207),"⚠ 下限大於上限 ","")&amp;IF(SUMPRODUCT((檢查項目!$A$2:$A$500=A207)*(檢查項目!$C$2:$C$500=C207)*(檢查項目!$G$2:$G$500="數值"))=0,"⚠ 該項目不是數值類型 ",""))))</f>
        <v/>
      </c>
    </row>
    <row r="208">
      <c r="I208" s="2">
        <f>IF(A208="","",IFERROR(INDEX(檢查項目!$E$2:$E$500,MATCH(1,INDEX((檢查項目!$A$2:$A$500=A208)*(檢查項目!$C$2:$C$500=C208)*(檢查項目!$B$2:$B$500=B208),0),0)),IFERROR(INDEX(檢查項目!$E$2:$E$500,MATCH(1,INDEX((檢查項目!$A$2:$A$500=A208)*(檢查項目!$C$2:$C$500=C208)*(檢查項目!$B$2:$B$500=""),0),0)),"⚠ 找不到項目")))</f>
        <v/>
      </c>
      <c r="J208" s="2">
        <f>IF(A208="","",IF(B208="","共用",IF(H208="Y","排除（"&amp;B208&amp;"）",IF(SUMPRODUCT(($A$2:$A$500=A208)*($C$2:$C$500=C208)*($D$2:$D$500=D208)*($B$2:$B$500=""))&gt;0,"覆蓋共用（"&amp;B208&amp;"）","單元新增（"&amp;B208&amp;"）"))))</f>
        <v/>
      </c>
      <c r="K208" s="2">
        <f>IF(A208="","",IF(H208="Y","—",IF(AND(F208&lt;&gt;"",G208&lt;&gt;""),F208&amp;" ~ "&amp;G208,IF(G208&lt;&gt;"","≤ "&amp;G208,IF(F208&lt;&gt;"","≥ "&amp;F208,"只記錄、不檢核")))))</f>
        <v/>
      </c>
      <c r="L208" s="2">
        <f>IF(A208="","",IF(TRIM(IF(SUMPRODUCT(($A$2:$A$500=A208)*($B$2:$B$500=B208)*($C$2:$C$500=C208)*($D$2:$D$500=D208))&gt;1,"⚠ 欄位名稱重複 ","")&amp;IF(AND(B208&lt;&gt;"",NOT(ISNUMBER(SEARCH("、"&amp;B208&amp;"、","、"&amp;IFERROR(INDEX(表單!$I$2:$I$500,MATCH(A208,表單!$A$2:$A$500,0)),"")&amp;"、")))),"⚠ 單元不在適用單元內 ","")&amp;IF(AND(H208="Y",B208=""),"⚠ 排除只能用在單元列 ","")&amp;IF(AND(H208="Y",B208&lt;&gt;"",SUMPRODUCT(($A$2:$A$500=A208)*($C$2:$C$500=C208)*($D$2:$D$500=D208)*($B$2:$B$500=""))=0),"⚠ 排除需對應共用欄位 ","")&amp;IF(AND(ISNUMBER(F208),ISNUMBER(G208),F208&gt;G208),"⚠ 下限大於上限 ","")&amp;IF(SUMPRODUCT((檢查項目!$A$2:$A$500=A208)*(檢查項目!$C$2:$C$500=C208)*(檢查項目!$G$2:$G$500="數值"))=0,"⚠ 該項目不是數值類型 ",""))="","✓",TRIM(IF(SUMPRODUCT(($A$2:$A$500=A208)*($B$2:$B$500=B208)*($C$2:$C$500=C208)*($D$2:$D$500=D208))&gt;1,"⚠ 欄位名稱重複 ","")&amp;IF(AND(B208&lt;&gt;"",NOT(ISNUMBER(SEARCH("、"&amp;B208&amp;"、","、"&amp;IFERROR(INDEX(表單!$I$2:$I$500,MATCH(A208,表單!$A$2:$A$500,0)),"")&amp;"、")))),"⚠ 單元不在適用單元內 ","")&amp;IF(AND(H208="Y",B208=""),"⚠ 排除只能用在單元列 ","")&amp;IF(AND(H208="Y",B208&lt;&gt;"",SUMPRODUCT(($A$2:$A$500=A208)*($C$2:$C$500=C208)*($D$2:$D$500=D208)*($B$2:$B$500=""))=0),"⚠ 排除需對應共用欄位 ","")&amp;IF(AND(ISNUMBER(F208),ISNUMBER(G208),F208&gt;G208),"⚠ 下限大於上限 ","")&amp;IF(SUMPRODUCT((檢查項目!$A$2:$A$500=A208)*(檢查項目!$C$2:$C$500=C208)*(檢查項目!$G$2:$G$500="數值"))=0,"⚠ 該項目不是數值類型 ",""))))</f>
        <v/>
      </c>
    </row>
    <row r="209">
      <c r="I209" s="2">
        <f>IF(A209="","",IFERROR(INDEX(檢查項目!$E$2:$E$500,MATCH(1,INDEX((檢查項目!$A$2:$A$500=A209)*(檢查項目!$C$2:$C$500=C209)*(檢查項目!$B$2:$B$500=B209),0),0)),IFERROR(INDEX(檢查項目!$E$2:$E$500,MATCH(1,INDEX((檢查項目!$A$2:$A$500=A209)*(檢查項目!$C$2:$C$500=C209)*(檢查項目!$B$2:$B$500=""),0),0)),"⚠ 找不到項目")))</f>
        <v/>
      </c>
      <c r="J209" s="2">
        <f>IF(A209="","",IF(B209="","共用",IF(H209="Y","排除（"&amp;B209&amp;"）",IF(SUMPRODUCT(($A$2:$A$500=A209)*($C$2:$C$500=C209)*($D$2:$D$500=D209)*($B$2:$B$500=""))&gt;0,"覆蓋共用（"&amp;B209&amp;"）","單元新增（"&amp;B209&amp;"）"))))</f>
        <v/>
      </c>
      <c r="K209" s="2">
        <f>IF(A209="","",IF(H209="Y","—",IF(AND(F209&lt;&gt;"",G209&lt;&gt;""),F209&amp;" ~ "&amp;G209,IF(G209&lt;&gt;"","≤ "&amp;G209,IF(F209&lt;&gt;"","≥ "&amp;F209,"只記錄、不檢核")))))</f>
        <v/>
      </c>
      <c r="L209" s="2">
        <f>IF(A209="","",IF(TRIM(IF(SUMPRODUCT(($A$2:$A$500=A209)*($B$2:$B$500=B209)*($C$2:$C$500=C209)*($D$2:$D$500=D209))&gt;1,"⚠ 欄位名稱重複 ","")&amp;IF(AND(B209&lt;&gt;"",NOT(ISNUMBER(SEARCH("、"&amp;B209&amp;"、","、"&amp;IFERROR(INDEX(表單!$I$2:$I$500,MATCH(A209,表單!$A$2:$A$500,0)),"")&amp;"、")))),"⚠ 單元不在適用單元內 ","")&amp;IF(AND(H209="Y",B209=""),"⚠ 排除只能用在單元列 ","")&amp;IF(AND(H209="Y",B209&lt;&gt;"",SUMPRODUCT(($A$2:$A$500=A209)*($C$2:$C$500=C209)*($D$2:$D$500=D209)*($B$2:$B$500=""))=0),"⚠ 排除需對應共用欄位 ","")&amp;IF(AND(ISNUMBER(F209),ISNUMBER(G209),F209&gt;G209),"⚠ 下限大於上限 ","")&amp;IF(SUMPRODUCT((檢查項目!$A$2:$A$500=A209)*(檢查項目!$C$2:$C$500=C209)*(檢查項目!$G$2:$G$500="數值"))=0,"⚠ 該項目不是數值類型 ",""))="","✓",TRIM(IF(SUMPRODUCT(($A$2:$A$500=A209)*($B$2:$B$500=B209)*($C$2:$C$500=C209)*($D$2:$D$500=D209))&gt;1,"⚠ 欄位名稱重複 ","")&amp;IF(AND(B209&lt;&gt;"",NOT(ISNUMBER(SEARCH("、"&amp;B209&amp;"、","、"&amp;IFERROR(INDEX(表單!$I$2:$I$500,MATCH(A209,表單!$A$2:$A$500,0)),"")&amp;"、")))),"⚠ 單元不在適用單元內 ","")&amp;IF(AND(H209="Y",B209=""),"⚠ 排除只能用在單元列 ","")&amp;IF(AND(H209="Y",B209&lt;&gt;"",SUMPRODUCT(($A$2:$A$500=A209)*($C$2:$C$500=C209)*($D$2:$D$500=D209)*($B$2:$B$500=""))=0),"⚠ 排除需對應共用欄位 ","")&amp;IF(AND(ISNUMBER(F209),ISNUMBER(G209),F209&gt;G209),"⚠ 下限大於上限 ","")&amp;IF(SUMPRODUCT((檢查項目!$A$2:$A$500=A209)*(檢查項目!$C$2:$C$500=C209)*(檢查項目!$G$2:$G$500="數值"))=0,"⚠ 該項目不是數值類型 ",""))))</f>
        <v/>
      </c>
    </row>
    <row r="210">
      <c r="I210" s="2">
        <f>IF(A210="","",IFERROR(INDEX(檢查項目!$E$2:$E$500,MATCH(1,INDEX((檢查項目!$A$2:$A$500=A210)*(檢查項目!$C$2:$C$500=C210)*(檢查項目!$B$2:$B$500=B210),0),0)),IFERROR(INDEX(檢查項目!$E$2:$E$500,MATCH(1,INDEX((檢查項目!$A$2:$A$500=A210)*(檢查項目!$C$2:$C$500=C210)*(檢查項目!$B$2:$B$500=""),0),0)),"⚠ 找不到項目")))</f>
        <v/>
      </c>
      <c r="J210" s="2">
        <f>IF(A210="","",IF(B210="","共用",IF(H210="Y","排除（"&amp;B210&amp;"）",IF(SUMPRODUCT(($A$2:$A$500=A210)*($C$2:$C$500=C210)*($D$2:$D$500=D210)*($B$2:$B$500=""))&gt;0,"覆蓋共用（"&amp;B210&amp;"）","單元新增（"&amp;B210&amp;"）"))))</f>
        <v/>
      </c>
      <c r="K210" s="2">
        <f>IF(A210="","",IF(H210="Y","—",IF(AND(F210&lt;&gt;"",G210&lt;&gt;""),F210&amp;" ~ "&amp;G210,IF(G210&lt;&gt;"","≤ "&amp;G210,IF(F210&lt;&gt;"","≥ "&amp;F210,"只記錄、不檢核")))))</f>
        <v/>
      </c>
      <c r="L210" s="2">
        <f>IF(A210="","",IF(TRIM(IF(SUMPRODUCT(($A$2:$A$500=A210)*($B$2:$B$500=B210)*($C$2:$C$500=C210)*($D$2:$D$500=D210))&gt;1,"⚠ 欄位名稱重複 ","")&amp;IF(AND(B210&lt;&gt;"",NOT(ISNUMBER(SEARCH("、"&amp;B210&amp;"、","、"&amp;IFERROR(INDEX(表單!$I$2:$I$500,MATCH(A210,表單!$A$2:$A$500,0)),"")&amp;"、")))),"⚠ 單元不在適用單元內 ","")&amp;IF(AND(H210="Y",B210=""),"⚠ 排除只能用在單元列 ","")&amp;IF(AND(H210="Y",B210&lt;&gt;"",SUMPRODUCT(($A$2:$A$500=A210)*($C$2:$C$500=C210)*($D$2:$D$500=D210)*($B$2:$B$500=""))=0),"⚠ 排除需對應共用欄位 ","")&amp;IF(AND(ISNUMBER(F210),ISNUMBER(G210),F210&gt;G210),"⚠ 下限大於上限 ","")&amp;IF(SUMPRODUCT((檢查項目!$A$2:$A$500=A210)*(檢查項目!$C$2:$C$500=C210)*(檢查項目!$G$2:$G$500="數值"))=0,"⚠ 該項目不是數值類型 ",""))="","✓",TRIM(IF(SUMPRODUCT(($A$2:$A$500=A210)*($B$2:$B$500=B210)*($C$2:$C$500=C210)*($D$2:$D$500=D210))&gt;1,"⚠ 欄位名稱重複 ","")&amp;IF(AND(B210&lt;&gt;"",NOT(ISNUMBER(SEARCH("、"&amp;B210&amp;"、","、"&amp;IFERROR(INDEX(表單!$I$2:$I$500,MATCH(A210,表單!$A$2:$A$500,0)),"")&amp;"、")))),"⚠ 單元不在適用單元內 ","")&amp;IF(AND(H210="Y",B210=""),"⚠ 排除只能用在單元列 ","")&amp;IF(AND(H210="Y",B210&lt;&gt;"",SUMPRODUCT(($A$2:$A$500=A210)*($C$2:$C$500=C210)*($D$2:$D$500=D210)*($B$2:$B$500=""))=0),"⚠ 排除需對應共用欄位 ","")&amp;IF(AND(ISNUMBER(F210),ISNUMBER(G210),F210&gt;G210),"⚠ 下限大於上限 ","")&amp;IF(SUMPRODUCT((檢查項目!$A$2:$A$500=A210)*(檢查項目!$C$2:$C$500=C210)*(檢查項目!$G$2:$G$500="數值"))=0,"⚠ 該項目不是數值類型 ",""))))</f>
        <v/>
      </c>
    </row>
    <row r="211">
      <c r="I211" s="2">
        <f>IF(A211="","",IFERROR(INDEX(檢查項目!$E$2:$E$500,MATCH(1,INDEX((檢查項目!$A$2:$A$500=A211)*(檢查項目!$C$2:$C$500=C211)*(檢查項目!$B$2:$B$500=B211),0),0)),IFERROR(INDEX(檢查項目!$E$2:$E$500,MATCH(1,INDEX((檢查項目!$A$2:$A$500=A211)*(檢查項目!$C$2:$C$500=C211)*(檢查項目!$B$2:$B$500=""),0),0)),"⚠ 找不到項目")))</f>
        <v/>
      </c>
      <c r="J211" s="2">
        <f>IF(A211="","",IF(B211="","共用",IF(H211="Y","排除（"&amp;B211&amp;"）",IF(SUMPRODUCT(($A$2:$A$500=A211)*($C$2:$C$500=C211)*($D$2:$D$500=D211)*($B$2:$B$500=""))&gt;0,"覆蓋共用（"&amp;B211&amp;"）","單元新增（"&amp;B211&amp;"）"))))</f>
        <v/>
      </c>
      <c r="K211" s="2">
        <f>IF(A211="","",IF(H211="Y","—",IF(AND(F211&lt;&gt;"",G211&lt;&gt;""),F211&amp;" ~ "&amp;G211,IF(G211&lt;&gt;"","≤ "&amp;G211,IF(F211&lt;&gt;"","≥ "&amp;F211,"只記錄、不檢核")))))</f>
        <v/>
      </c>
      <c r="L211" s="2">
        <f>IF(A211="","",IF(TRIM(IF(SUMPRODUCT(($A$2:$A$500=A211)*($B$2:$B$500=B211)*($C$2:$C$500=C211)*($D$2:$D$500=D211))&gt;1,"⚠ 欄位名稱重複 ","")&amp;IF(AND(B211&lt;&gt;"",NOT(ISNUMBER(SEARCH("、"&amp;B211&amp;"、","、"&amp;IFERROR(INDEX(表單!$I$2:$I$500,MATCH(A211,表單!$A$2:$A$500,0)),"")&amp;"、")))),"⚠ 單元不在適用單元內 ","")&amp;IF(AND(H211="Y",B211=""),"⚠ 排除只能用在單元列 ","")&amp;IF(AND(H211="Y",B211&lt;&gt;"",SUMPRODUCT(($A$2:$A$500=A211)*($C$2:$C$500=C211)*($D$2:$D$500=D211)*($B$2:$B$500=""))=0),"⚠ 排除需對應共用欄位 ","")&amp;IF(AND(ISNUMBER(F211),ISNUMBER(G211),F211&gt;G211),"⚠ 下限大於上限 ","")&amp;IF(SUMPRODUCT((檢查項目!$A$2:$A$500=A211)*(檢查項目!$C$2:$C$500=C211)*(檢查項目!$G$2:$G$500="數值"))=0,"⚠ 該項目不是數值類型 ",""))="","✓",TRIM(IF(SUMPRODUCT(($A$2:$A$500=A211)*($B$2:$B$500=B211)*($C$2:$C$500=C211)*($D$2:$D$500=D211))&gt;1,"⚠ 欄位名稱重複 ","")&amp;IF(AND(B211&lt;&gt;"",NOT(ISNUMBER(SEARCH("、"&amp;B211&amp;"、","、"&amp;IFERROR(INDEX(表單!$I$2:$I$500,MATCH(A211,表單!$A$2:$A$500,0)),"")&amp;"、")))),"⚠ 單元不在適用單元內 ","")&amp;IF(AND(H211="Y",B211=""),"⚠ 排除只能用在單元列 ","")&amp;IF(AND(H211="Y",B211&lt;&gt;"",SUMPRODUCT(($A$2:$A$500=A211)*($C$2:$C$500=C211)*($D$2:$D$500=D211)*($B$2:$B$500=""))=0),"⚠ 排除需對應共用欄位 ","")&amp;IF(AND(ISNUMBER(F211),ISNUMBER(G211),F211&gt;G211),"⚠ 下限大於上限 ","")&amp;IF(SUMPRODUCT((檢查項目!$A$2:$A$500=A211)*(檢查項目!$C$2:$C$500=C211)*(檢查項目!$G$2:$G$500="數值"))=0,"⚠ 該項目不是數值類型 ",""))))</f>
        <v/>
      </c>
    </row>
    <row r="212">
      <c r="I212" s="2">
        <f>IF(A212="","",IFERROR(INDEX(檢查項目!$E$2:$E$500,MATCH(1,INDEX((檢查項目!$A$2:$A$500=A212)*(檢查項目!$C$2:$C$500=C212)*(檢查項目!$B$2:$B$500=B212),0),0)),IFERROR(INDEX(檢查項目!$E$2:$E$500,MATCH(1,INDEX((檢查項目!$A$2:$A$500=A212)*(檢查項目!$C$2:$C$500=C212)*(檢查項目!$B$2:$B$500=""),0),0)),"⚠ 找不到項目")))</f>
        <v/>
      </c>
      <c r="J212" s="2">
        <f>IF(A212="","",IF(B212="","共用",IF(H212="Y","排除（"&amp;B212&amp;"）",IF(SUMPRODUCT(($A$2:$A$500=A212)*($C$2:$C$500=C212)*($D$2:$D$500=D212)*($B$2:$B$500=""))&gt;0,"覆蓋共用（"&amp;B212&amp;"）","單元新增（"&amp;B212&amp;"）"))))</f>
        <v/>
      </c>
      <c r="K212" s="2">
        <f>IF(A212="","",IF(H212="Y","—",IF(AND(F212&lt;&gt;"",G212&lt;&gt;""),F212&amp;" ~ "&amp;G212,IF(G212&lt;&gt;"","≤ "&amp;G212,IF(F212&lt;&gt;"","≥ "&amp;F212,"只記錄、不檢核")))))</f>
        <v/>
      </c>
      <c r="L212" s="2">
        <f>IF(A212="","",IF(TRIM(IF(SUMPRODUCT(($A$2:$A$500=A212)*($B$2:$B$500=B212)*($C$2:$C$500=C212)*($D$2:$D$500=D212))&gt;1,"⚠ 欄位名稱重複 ","")&amp;IF(AND(B212&lt;&gt;"",NOT(ISNUMBER(SEARCH("、"&amp;B212&amp;"、","、"&amp;IFERROR(INDEX(表單!$I$2:$I$500,MATCH(A212,表單!$A$2:$A$500,0)),"")&amp;"、")))),"⚠ 單元不在適用單元內 ","")&amp;IF(AND(H212="Y",B212=""),"⚠ 排除只能用在單元列 ","")&amp;IF(AND(H212="Y",B212&lt;&gt;"",SUMPRODUCT(($A$2:$A$500=A212)*($C$2:$C$500=C212)*($D$2:$D$500=D212)*($B$2:$B$500=""))=0),"⚠ 排除需對應共用欄位 ","")&amp;IF(AND(ISNUMBER(F212),ISNUMBER(G212),F212&gt;G212),"⚠ 下限大於上限 ","")&amp;IF(SUMPRODUCT((檢查項目!$A$2:$A$500=A212)*(檢查項目!$C$2:$C$500=C212)*(檢查項目!$G$2:$G$500="數值"))=0,"⚠ 該項目不是數值類型 ",""))="","✓",TRIM(IF(SUMPRODUCT(($A$2:$A$500=A212)*($B$2:$B$500=B212)*($C$2:$C$500=C212)*($D$2:$D$500=D212))&gt;1,"⚠ 欄位名稱重複 ","")&amp;IF(AND(B212&lt;&gt;"",NOT(ISNUMBER(SEARCH("、"&amp;B212&amp;"、","、"&amp;IFERROR(INDEX(表單!$I$2:$I$500,MATCH(A212,表單!$A$2:$A$500,0)),"")&amp;"、")))),"⚠ 單元不在適用單元內 ","")&amp;IF(AND(H212="Y",B212=""),"⚠ 排除只能用在單元列 ","")&amp;IF(AND(H212="Y",B212&lt;&gt;"",SUMPRODUCT(($A$2:$A$500=A212)*($C$2:$C$500=C212)*($D$2:$D$500=D212)*($B$2:$B$500=""))=0),"⚠ 排除需對應共用欄位 ","")&amp;IF(AND(ISNUMBER(F212),ISNUMBER(G212),F212&gt;G212),"⚠ 下限大於上限 ","")&amp;IF(SUMPRODUCT((檢查項目!$A$2:$A$500=A212)*(檢查項目!$C$2:$C$500=C212)*(檢查項目!$G$2:$G$500="數值"))=0,"⚠ 該項目不是數值類型 ",""))))</f>
        <v/>
      </c>
    </row>
    <row r="213">
      <c r="I213" s="2">
        <f>IF(A213="","",IFERROR(INDEX(檢查項目!$E$2:$E$500,MATCH(1,INDEX((檢查項目!$A$2:$A$500=A213)*(檢查項目!$C$2:$C$500=C213)*(檢查項目!$B$2:$B$500=B213),0),0)),IFERROR(INDEX(檢查項目!$E$2:$E$500,MATCH(1,INDEX((檢查項目!$A$2:$A$500=A213)*(檢查項目!$C$2:$C$500=C213)*(檢查項目!$B$2:$B$500=""),0),0)),"⚠ 找不到項目")))</f>
        <v/>
      </c>
      <c r="J213" s="2">
        <f>IF(A213="","",IF(B213="","共用",IF(H213="Y","排除（"&amp;B213&amp;"）",IF(SUMPRODUCT(($A$2:$A$500=A213)*($C$2:$C$500=C213)*($D$2:$D$500=D213)*($B$2:$B$500=""))&gt;0,"覆蓋共用（"&amp;B213&amp;"）","單元新增（"&amp;B213&amp;"）"))))</f>
        <v/>
      </c>
      <c r="K213" s="2">
        <f>IF(A213="","",IF(H213="Y","—",IF(AND(F213&lt;&gt;"",G213&lt;&gt;""),F213&amp;" ~ "&amp;G213,IF(G213&lt;&gt;"","≤ "&amp;G213,IF(F213&lt;&gt;"","≥ "&amp;F213,"只記錄、不檢核")))))</f>
        <v/>
      </c>
      <c r="L213" s="2">
        <f>IF(A213="","",IF(TRIM(IF(SUMPRODUCT(($A$2:$A$500=A213)*($B$2:$B$500=B213)*($C$2:$C$500=C213)*($D$2:$D$500=D213))&gt;1,"⚠ 欄位名稱重複 ","")&amp;IF(AND(B213&lt;&gt;"",NOT(ISNUMBER(SEARCH("、"&amp;B213&amp;"、","、"&amp;IFERROR(INDEX(表單!$I$2:$I$500,MATCH(A213,表單!$A$2:$A$500,0)),"")&amp;"、")))),"⚠ 單元不在適用單元內 ","")&amp;IF(AND(H213="Y",B213=""),"⚠ 排除只能用在單元列 ","")&amp;IF(AND(H213="Y",B213&lt;&gt;"",SUMPRODUCT(($A$2:$A$500=A213)*($C$2:$C$500=C213)*($D$2:$D$500=D213)*($B$2:$B$500=""))=0),"⚠ 排除需對應共用欄位 ","")&amp;IF(AND(ISNUMBER(F213),ISNUMBER(G213),F213&gt;G213),"⚠ 下限大於上限 ","")&amp;IF(SUMPRODUCT((檢查項目!$A$2:$A$500=A213)*(檢查項目!$C$2:$C$500=C213)*(檢查項目!$G$2:$G$500="數值"))=0,"⚠ 該項目不是數值類型 ",""))="","✓",TRIM(IF(SUMPRODUCT(($A$2:$A$500=A213)*($B$2:$B$500=B213)*($C$2:$C$500=C213)*($D$2:$D$500=D213))&gt;1,"⚠ 欄位名稱重複 ","")&amp;IF(AND(B213&lt;&gt;"",NOT(ISNUMBER(SEARCH("、"&amp;B213&amp;"、","、"&amp;IFERROR(INDEX(表單!$I$2:$I$500,MATCH(A213,表單!$A$2:$A$500,0)),"")&amp;"、")))),"⚠ 單元不在適用單元內 ","")&amp;IF(AND(H213="Y",B213=""),"⚠ 排除只能用在單元列 ","")&amp;IF(AND(H213="Y",B213&lt;&gt;"",SUMPRODUCT(($A$2:$A$500=A213)*($C$2:$C$500=C213)*($D$2:$D$500=D213)*($B$2:$B$500=""))=0),"⚠ 排除需對應共用欄位 ","")&amp;IF(AND(ISNUMBER(F213),ISNUMBER(G213),F213&gt;G213),"⚠ 下限大於上限 ","")&amp;IF(SUMPRODUCT((檢查項目!$A$2:$A$500=A213)*(檢查項目!$C$2:$C$500=C213)*(檢查項目!$G$2:$G$500="數值"))=0,"⚠ 該項目不是數值類型 ",""))))</f>
        <v/>
      </c>
    </row>
    <row r="214">
      <c r="I214" s="2">
        <f>IF(A214="","",IFERROR(INDEX(檢查項目!$E$2:$E$500,MATCH(1,INDEX((檢查項目!$A$2:$A$500=A214)*(檢查項目!$C$2:$C$500=C214)*(檢查項目!$B$2:$B$500=B214),0),0)),IFERROR(INDEX(檢查項目!$E$2:$E$500,MATCH(1,INDEX((檢查項目!$A$2:$A$500=A214)*(檢查項目!$C$2:$C$500=C214)*(檢查項目!$B$2:$B$500=""),0),0)),"⚠ 找不到項目")))</f>
        <v/>
      </c>
      <c r="J214" s="2">
        <f>IF(A214="","",IF(B214="","共用",IF(H214="Y","排除（"&amp;B214&amp;"）",IF(SUMPRODUCT(($A$2:$A$500=A214)*($C$2:$C$500=C214)*($D$2:$D$500=D214)*($B$2:$B$500=""))&gt;0,"覆蓋共用（"&amp;B214&amp;"）","單元新增（"&amp;B214&amp;"）"))))</f>
        <v/>
      </c>
      <c r="K214" s="2">
        <f>IF(A214="","",IF(H214="Y","—",IF(AND(F214&lt;&gt;"",G214&lt;&gt;""),F214&amp;" ~ "&amp;G214,IF(G214&lt;&gt;"","≤ "&amp;G214,IF(F214&lt;&gt;"","≥ "&amp;F214,"只記錄、不檢核")))))</f>
        <v/>
      </c>
      <c r="L214" s="2">
        <f>IF(A214="","",IF(TRIM(IF(SUMPRODUCT(($A$2:$A$500=A214)*($B$2:$B$500=B214)*($C$2:$C$500=C214)*($D$2:$D$500=D214))&gt;1,"⚠ 欄位名稱重複 ","")&amp;IF(AND(B214&lt;&gt;"",NOT(ISNUMBER(SEARCH("、"&amp;B214&amp;"、","、"&amp;IFERROR(INDEX(表單!$I$2:$I$500,MATCH(A214,表單!$A$2:$A$500,0)),"")&amp;"、")))),"⚠ 單元不在適用單元內 ","")&amp;IF(AND(H214="Y",B214=""),"⚠ 排除只能用在單元列 ","")&amp;IF(AND(H214="Y",B214&lt;&gt;"",SUMPRODUCT(($A$2:$A$500=A214)*($C$2:$C$500=C214)*($D$2:$D$500=D214)*($B$2:$B$500=""))=0),"⚠ 排除需對應共用欄位 ","")&amp;IF(AND(ISNUMBER(F214),ISNUMBER(G214),F214&gt;G214),"⚠ 下限大於上限 ","")&amp;IF(SUMPRODUCT((檢查項目!$A$2:$A$500=A214)*(檢查項目!$C$2:$C$500=C214)*(檢查項目!$G$2:$G$500="數值"))=0,"⚠ 該項目不是數值類型 ",""))="","✓",TRIM(IF(SUMPRODUCT(($A$2:$A$500=A214)*($B$2:$B$500=B214)*($C$2:$C$500=C214)*($D$2:$D$500=D214))&gt;1,"⚠ 欄位名稱重複 ","")&amp;IF(AND(B214&lt;&gt;"",NOT(ISNUMBER(SEARCH("、"&amp;B214&amp;"、","、"&amp;IFERROR(INDEX(表單!$I$2:$I$500,MATCH(A214,表單!$A$2:$A$500,0)),"")&amp;"、")))),"⚠ 單元不在適用單元內 ","")&amp;IF(AND(H214="Y",B214=""),"⚠ 排除只能用在單元列 ","")&amp;IF(AND(H214="Y",B214&lt;&gt;"",SUMPRODUCT(($A$2:$A$500=A214)*($C$2:$C$500=C214)*($D$2:$D$500=D214)*($B$2:$B$500=""))=0),"⚠ 排除需對應共用欄位 ","")&amp;IF(AND(ISNUMBER(F214),ISNUMBER(G214),F214&gt;G214),"⚠ 下限大於上限 ","")&amp;IF(SUMPRODUCT((檢查項目!$A$2:$A$500=A214)*(檢查項目!$C$2:$C$500=C214)*(檢查項目!$G$2:$G$500="數值"))=0,"⚠ 該項目不是數值類型 ",""))))</f>
        <v/>
      </c>
    </row>
    <row r="215">
      <c r="I215" s="2">
        <f>IF(A215="","",IFERROR(INDEX(檢查項目!$E$2:$E$500,MATCH(1,INDEX((檢查項目!$A$2:$A$500=A215)*(檢查項目!$C$2:$C$500=C215)*(檢查項目!$B$2:$B$500=B215),0),0)),IFERROR(INDEX(檢查項目!$E$2:$E$500,MATCH(1,INDEX((檢查項目!$A$2:$A$500=A215)*(檢查項目!$C$2:$C$500=C215)*(檢查項目!$B$2:$B$500=""),0),0)),"⚠ 找不到項目")))</f>
        <v/>
      </c>
      <c r="J215" s="2">
        <f>IF(A215="","",IF(B215="","共用",IF(H215="Y","排除（"&amp;B215&amp;"）",IF(SUMPRODUCT(($A$2:$A$500=A215)*($C$2:$C$500=C215)*($D$2:$D$500=D215)*($B$2:$B$500=""))&gt;0,"覆蓋共用（"&amp;B215&amp;"）","單元新增（"&amp;B215&amp;"）"))))</f>
        <v/>
      </c>
      <c r="K215" s="2">
        <f>IF(A215="","",IF(H215="Y","—",IF(AND(F215&lt;&gt;"",G215&lt;&gt;""),F215&amp;" ~ "&amp;G215,IF(G215&lt;&gt;"","≤ "&amp;G215,IF(F215&lt;&gt;"","≥ "&amp;F215,"只記錄、不檢核")))))</f>
        <v/>
      </c>
      <c r="L215" s="2">
        <f>IF(A215="","",IF(TRIM(IF(SUMPRODUCT(($A$2:$A$500=A215)*($B$2:$B$500=B215)*($C$2:$C$500=C215)*($D$2:$D$500=D215))&gt;1,"⚠ 欄位名稱重複 ","")&amp;IF(AND(B215&lt;&gt;"",NOT(ISNUMBER(SEARCH("、"&amp;B215&amp;"、","、"&amp;IFERROR(INDEX(表單!$I$2:$I$500,MATCH(A215,表單!$A$2:$A$500,0)),"")&amp;"、")))),"⚠ 單元不在適用單元內 ","")&amp;IF(AND(H215="Y",B215=""),"⚠ 排除只能用在單元列 ","")&amp;IF(AND(H215="Y",B215&lt;&gt;"",SUMPRODUCT(($A$2:$A$500=A215)*($C$2:$C$500=C215)*($D$2:$D$500=D215)*($B$2:$B$500=""))=0),"⚠ 排除需對應共用欄位 ","")&amp;IF(AND(ISNUMBER(F215),ISNUMBER(G215),F215&gt;G215),"⚠ 下限大於上限 ","")&amp;IF(SUMPRODUCT((檢查項目!$A$2:$A$500=A215)*(檢查項目!$C$2:$C$500=C215)*(檢查項目!$G$2:$G$500="數值"))=0,"⚠ 該項目不是數值類型 ",""))="","✓",TRIM(IF(SUMPRODUCT(($A$2:$A$500=A215)*($B$2:$B$500=B215)*($C$2:$C$500=C215)*($D$2:$D$500=D215))&gt;1,"⚠ 欄位名稱重複 ","")&amp;IF(AND(B215&lt;&gt;"",NOT(ISNUMBER(SEARCH("、"&amp;B215&amp;"、","、"&amp;IFERROR(INDEX(表單!$I$2:$I$500,MATCH(A215,表單!$A$2:$A$500,0)),"")&amp;"、")))),"⚠ 單元不在適用單元內 ","")&amp;IF(AND(H215="Y",B215=""),"⚠ 排除只能用在單元列 ","")&amp;IF(AND(H215="Y",B215&lt;&gt;"",SUMPRODUCT(($A$2:$A$500=A215)*($C$2:$C$500=C215)*($D$2:$D$500=D215)*($B$2:$B$500=""))=0),"⚠ 排除需對應共用欄位 ","")&amp;IF(AND(ISNUMBER(F215),ISNUMBER(G215),F215&gt;G215),"⚠ 下限大於上限 ","")&amp;IF(SUMPRODUCT((檢查項目!$A$2:$A$500=A215)*(檢查項目!$C$2:$C$500=C215)*(檢查項目!$G$2:$G$500="數值"))=0,"⚠ 該項目不是數值類型 ",""))))</f>
        <v/>
      </c>
    </row>
    <row r="216">
      <c r="I216" s="2">
        <f>IF(A216="","",IFERROR(INDEX(檢查項目!$E$2:$E$500,MATCH(1,INDEX((檢查項目!$A$2:$A$500=A216)*(檢查項目!$C$2:$C$500=C216)*(檢查項目!$B$2:$B$500=B216),0),0)),IFERROR(INDEX(檢查項目!$E$2:$E$500,MATCH(1,INDEX((檢查項目!$A$2:$A$500=A216)*(檢查項目!$C$2:$C$500=C216)*(檢查項目!$B$2:$B$500=""),0),0)),"⚠ 找不到項目")))</f>
        <v/>
      </c>
      <c r="J216" s="2">
        <f>IF(A216="","",IF(B216="","共用",IF(H216="Y","排除（"&amp;B216&amp;"）",IF(SUMPRODUCT(($A$2:$A$500=A216)*($C$2:$C$500=C216)*($D$2:$D$500=D216)*($B$2:$B$500=""))&gt;0,"覆蓋共用（"&amp;B216&amp;"）","單元新增（"&amp;B216&amp;"）"))))</f>
        <v/>
      </c>
      <c r="K216" s="2">
        <f>IF(A216="","",IF(H216="Y","—",IF(AND(F216&lt;&gt;"",G216&lt;&gt;""),F216&amp;" ~ "&amp;G216,IF(G216&lt;&gt;"","≤ "&amp;G216,IF(F216&lt;&gt;"","≥ "&amp;F216,"只記錄、不檢核")))))</f>
        <v/>
      </c>
      <c r="L216" s="2">
        <f>IF(A216="","",IF(TRIM(IF(SUMPRODUCT(($A$2:$A$500=A216)*($B$2:$B$500=B216)*($C$2:$C$500=C216)*($D$2:$D$500=D216))&gt;1,"⚠ 欄位名稱重複 ","")&amp;IF(AND(B216&lt;&gt;"",NOT(ISNUMBER(SEARCH("、"&amp;B216&amp;"、","、"&amp;IFERROR(INDEX(表單!$I$2:$I$500,MATCH(A216,表單!$A$2:$A$500,0)),"")&amp;"、")))),"⚠ 單元不在適用單元內 ","")&amp;IF(AND(H216="Y",B216=""),"⚠ 排除只能用在單元列 ","")&amp;IF(AND(H216="Y",B216&lt;&gt;"",SUMPRODUCT(($A$2:$A$500=A216)*($C$2:$C$500=C216)*($D$2:$D$500=D216)*($B$2:$B$500=""))=0),"⚠ 排除需對應共用欄位 ","")&amp;IF(AND(ISNUMBER(F216),ISNUMBER(G216),F216&gt;G216),"⚠ 下限大於上限 ","")&amp;IF(SUMPRODUCT((檢查項目!$A$2:$A$500=A216)*(檢查項目!$C$2:$C$500=C216)*(檢查項目!$G$2:$G$500="數值"))=0,"⚠ 該項目不是數值類型 ",""))="","✓",TRIM(IF(SUMPRODUCT(($A$2:$A$500=A216)*($B$2:$B$500=B216)*($C$2:$C$500=C216)*($D$2:$D$500=D216))&gt;1,"⚠ 欄位名稱重複 ","")&amp;IF(AND(B216&lt;&gt;"",NOT(ISNUMBER(SEARCH("、"&amp;B216&amp;"、","、"&amp;IFERROR(INDEX(表單!$I$2:$I$500,MATCH(A216,表單!$A$2:$A$500,0)),"")&amp;"、")))),"⚠ 單元不在適用單元內 ","")&amp;IF(AND(H216="Y",B216=""),"⚠ 排除只能用在單元列 ","")&amp;IF(AND(H216="Y",B216&lt;&gt;"",SUMPRODUCT(($A$2:$A$500=A216)*($C$2:$C$500=C216)*($D$2:$D$500=D216)*($B$2:$B$500=""))=0),"⚠ 排除需對應共用欄位 ","")&amp;IF(AND(ISNUMBER(F216),ISNUMBER(G216),F216&gt;G216),"⚠ 下限大於上限 ","")&amp;IF(SUMPRODUCT((檢查項目!$A$2:$A$500=A216)*(檢查項目!$C$2:$C$500=C216)*(檢查項目!$G$2:$G$500="數值"))=0,"⚠ 該項目不是數值類型 ",""))))</f>
        <v/>
      </c>
    </row>
    <row r="217">
      <c r="I217" s="2">
        <f>IF(A217="","",IFERROR(INDEX(檢查項目!$E$2:$E$500,MATCH(1,INDEX((檢查項目!$A$2:$A$500=A217)*(檢查項目!$C$2:$C$500=C217)*(檢查項目!$B$2:$B$500=B217),0),0)),IFERROR(INDEX(檢查項目!$E$2:$E$500,MATCH(1,INDEX((檢查項目!$A$2:$A$500=A217)*(檢查項目!$C$2:$C$500=C217)*(檢查項目!$B$2:$B$500=""),0),0)),"⚠ 找不到項目")))</f>
        <v/>
      </c>
      <c r="J217" s="2">
        <f>IF(A217="","",IF(B217="","共用",IF(H217="Y","排除（"&amp;B217&amp;"）",IF(SUMPRODUCT(($A$2:$A$500=A217)*($C$2:$C$500=C217)*($D$2:$D$500=D217)*($B$2:$B$500=""))&gt;0,"覆蓋共用（"&amp;B217&amp;"）","單元新增（"&amp;B217&amp;"）"))))</f>
        <v/>
      </c>
      <c r="K217" s="2">
        <f>IF(A217="","",IF(H217="Y","—",IF(AND(F217&lt;&gt;"",G217&lt;&gt;""),F217&amp;" ~ "&amp;G217,IF(G217&lt;&gt;"","≤ "&amp;G217,IF(F217&lt;&gt;"","≥ "&amp;F217,"只記錄、不檢核")))))</f>
        <v/>
      </c>
      <c r="L217" s="2">
        <f>IF(A217="","",IF(TRIM(IF(SUMPRODUCT(($A$2:$A$500=A217)*($B$2:$B$500=B217)*($C$2:$C$500=C217)*($D$2:$D$500=D217))&gt;1,"⚠ 欄位名稱重複 ","")&amp;IF(AND(B217&lt;&gt;"",NOT(ISNUMBER(SEARCH("、"&amp;B217&amp;"、","、"&amp;IFERROR(INDEX(表單!$I$2:$I$500,MATCH(A217,表單!$A$2:$A$500,0)),"")&amp;"、")))),"⚠ 單元不在適用單元內 ","")&amp;IF(AND(H217="Y",B217=""),"⚠ 排除只能用在單元列 ","")&amp;IF(AND(H217="Y",B217&lt;&gt;"",SUMPRODUCT(($A$2:$A$500=A217)*($C$2:$C$500=C217)*($D$2:$D$500=D217)*($B$2:$B$500=""))=0),"⚠ 排除需對應共用欄位 ","")&amp;IF(AND(ISNUMBER(F217),ISNUMBER(G217),F217&gt;G217),"⚠ 下限大於上限 ","")&amp;IF(SUMPRODUCT((檢查項目!$A$2:$A$500=A217)*(檢查項目!$C$2:$C$500=C217)*(檢查項目!$G$2:$G$500="數值"))=0,"⚠ 該項目不是數值類型 ",""))="","✓",TRIM(IF(SUMPRODUCT(($A$2:$A$500=A217)*($B$2:$B$500=B217)*($C$2:$C$500=C217)*($D$2:$D$500=D217))&gt;1,"⚠ 欄位名稱重複 ","")&amp;IF(AND(B217&lt;&gt;"",NOT(ISNUMBER(SEARCH("、"&amp;B217&amp;"、","、"&amp;IFERROR(INDEX(表單!$I$2:$I$500,MATCH(A217,表單!$A$2:$A$500,0)),"")&amp;"、")))),"⚠ 單元不在適用單元內 ","")&amp;IF(AND(H217="Y",B217=""),"⚠ 排除只能用在單元列 ","")&amp;IF(AND(H217="Y",B217&lt;&gt;"",SUMPRODUCT(($A$2:$A$500=A217)*($C$2:$C$500=C217)*($D$2:$D$500=D217)*($B$2:$B$500=""))=0),"⚠ 排除需對應共用欄位 ","")&amp;IF(AND(ISNUMBER(F217),ISNUMBER(G217),F217&gt;G217),"⚠ 下限大於上限 ","")&amp;IF(SUMPRODUCT((檢查項目!$A$2:$A$500=A217)*(檢查項目!$C$2:$C$500=C217)*(檢查項目!$G$2:$G$500="數值"))=0,"⚠ 該項目不是數值類型 ",""))))</f>
        <v/>
      </c>
    </row>
    <row r="218">
      <c r="I218" s="2">
        <f>IF(A218="","",IFERROR(INDEX(檢查項目!$E$2:$E$500,MATCH(1,INDEX((檢查項目!$A$2:$A$500=A218)*(檢查項目!$C$2:$C$500=C218)*(檢查項目!$B$2:$B$500=B218),0),0)),IFERROR(INDEX(檢查項目!$E$2:$E$500,MATCH(1,INDEX((檢查項目!$A$2:$A$500=A218)*(檢查項目!$C$2:$C$500=C218)*(檢查項目!$B$2:$B$500=""),0),0)),"⚠ 找不到項目")))</f>
        <v/>
      </c>
      <c r="J218" s="2">
        <f>IF(A218="","",IF(B218="","共用",IF(H218="Y","排除（"&amp;B218&amp;"）",IF(SUMPRODUCT(($A$2:$A$500=A218)*($C$2:$C$500=C218)*($D$2:$D$500=D218)*($B$2:$B$500=""))&gt;0,"覆蓋共用（"&amp;B218&amp;"）","單元新增（"&amp;B218&amp;"）"))))</f>
        <v/>
      </c>
      <c r="K218" s="2">
        <f>IF(A218="","",IF(H218="Y","—",IF(AND(F218&lt;&gt;"",G218&lt;&gt;""),F218&amp;" ~ "&amp;G218,IF(G218&lt;&gt;"","≤ "&amp;G218,IF(F218&lt;&gt;"","≥ "&amp;F218,"只記錄、不檢核")))))</f>
        <v/>
      </c>
      <c r="L218" s="2">
        <f>IF(A218="","",IF(TRIM(IF(SUMPRODUCT(($A$2:$A$500=A218)*($B$2:$B$500=B218)*($C$2:$C$500=C218)*($D$2:$D$500=D218))&gt;1,"⚠ 欄位名稱重複 ","")&amp;IF(AND(B218&lt;&gt;"",NOT(ISNUMBER(SEARCH("、"&amp;B218&amp;"、","、"&amp;IFERROR(INDEX(表單!$I$2:$I$500,MATCH(A218,表單!$A$2:$A$500,0)),"")&amp;"、")))),"⚠ 單元不在適用單元內 ","")&amp;IF(AND(H218="Y",B218=""),"⚠ 排除只能用在單元列 ","")&amp;IF(AND(H218="Y",B218&lt;&gt;"",SUMPRODUCT(($A$2:$A$500=A218)*($C$2:$C$500=C218)*($D$2:$D$500=D218)*($B$2:$B$500=""))=0),"⚠ 排除需對應共用欄位 ","")&amp;IF(AND(ISNUMBER(F218),ISNUMBER(G218),F218&gt;G218),"⚠ 下限大於上限 ","")&amp;IF(SUMPRODUCT((檢查項目!$A$2:$A$500=A218)*(檢查項目!$C$2:$C$500=C218)*(檢查項目!$G$2:$G$500="數值"))=0,"⚠ 該項目不是數值類型 ",""))="","✓",TRIM(IF(SUMPRODUCT(($A$2:$A$500=A218)*($B$2:$B$500=B218)*($C$2:$C$500=C218)*($D$2:$D$500=D218))&gt;1,"⚠ 欄位名稱重複 ","")&amp;IF(AND(B218&lt;&gt;"",NOT(ISNUMBER(SEARCH("、"&amp;B218&amp;"、","、"&amp;IFERROR(INDEX(表單!$I$2:$I$500,MATCH(A218,表單!$A$2:$A$500,0)),"")&amp;"、")))),"⚠ 單元不在適用單元內 ","")&amp;IF(AND(H218="Y",B218=""),"⚠ 排除只能用在單元列 ","")&amp;IF(AND(H218="Y",B218&lt;&gt;"",SUMPRODUCT(($A$2:$A$500=A218)*($C$2:$C$500=C218)*($D$2:$D$500=D218)*($B$2:$B$500=""))=0),"⚠ 排除需對應共用欄位 ","")&amp;IF(AND(ISNUMBER(F218),ISNUMBER(G218),F218&gt;G218),"⚠ 下限大於上限 ","")&amp;IF(SUMPRODUCT((檢查項目!$A$2:$A$500=A218)*(檢查項目!$C$2:$C$500=C218)*(檢查項目!$G$2:$G$500="數值"))=0,"⚠ 該項目不是數值類型 ",""))))</f>
        <v/>
      </c>
    </row>
    <row r="219">
      <c r="I219" s="2">
        <f>IF(A219="","",IFERROR(INDEX(檢查項目!$E$2:$E$500,MATCH(1,INDEX((檢查項目!$A$2:$A$500=A219)*(檢查項目!$C$2:$C$500=C219)*(檢查項目!$B$2:$B$500=B219),0),0)),IFERROR(INDEX(檢查項目!$E$2:$E$500,MATCH(1,INDEX((檢查項目!$A$2:$A$500=A219)*(檢查項目!$C$2:$C$500=C219)*(檢查項目!$B$2:$B$500=""),0),0)),"⚠ 找不到項目")))</f>
        <v/>
      </c>
      <c r="J219" s="2">
        <f>IF(A219="","",IF(B219="","共用",IF(H219="Y","排除（"&amp;B219&amp;"）",IF(SUMPRODUCT(($A$2:$A$500=A219)*($C$2:$C$500=C219)*($D$2:$D$500=D219)*($B$2:$B$500=""))&gt;0,"覆蓋共用（"&amp;B219&amp;"）","單元新增（"&amp;B219&amp;"）"))))</f>
        <v/>
      </c>
      <c r="K219" s="2">
        <f>IF(A219="","",IF(H219="Y","—",IF(AND(F219&lt;&gt;"",G219&lt;&gt;""),F219&amp;" ~ "&amp;G219,IF(G219&lt;&gt;"","≤ "&amp;G219,IF(F219&lt;&gt;"","≥ "&amp;F219,"只記錄、不檢核")))))</f>
        <v/>
      </c>
      <c r="L219" s="2">
        <f>IF(A219="","",IF(TRIM(IF(SUMPRODUCT(($A$2:$A$500=A219)*($B$2:$B$500=B219)*($C$2:$C$500=C219)*($D$2:$D$500=D219))&gt;1,"⚠ 欄位名稱重複 ","")&amp;IF(AND(B219&lt;&gt;"",NOT(ISNUMBER(SEARCH("、"&amp;B219&amp;"、","、"&amp;IFERROR(INDEX(表單!$I$2:$I$500,MATCH(A219,表單!$A$2:$A$500,0)),"")&amp;"、")))),"⚠ 單元不在適用單元內 ","")&amp;IF(AND(H219="Y",B219=""),"⚠ 排除只能用在單元列 ","")&amp;IF(AND(H219="Y",B219&lt;&gt;"",SUMPRODUCT(($A$2:$A$500=A219)*($C$2:$C$500=C219)*($D$2:$D$500=D219)*($B$2:$B$500=""))=0),"⚠ 排除需對應共用欄位 ","")&amp;IF(AND(ISNUMBER(F219),ISNUMBER(G219),F219&gt;G219),"⚠ 下限大於上限 ","")&amp;IF(SUMPRODUCT((檢查項目!$A$2:$A$500=A219)*(檢查項目!$C$2:$C$500=C219)*(檢查項目!$G$2:$G$500="數值"))=0,"⚠ 該項目不是數值類型 ",""))="","✓",TRIM(IF(SUMPRODUCT(($A$2:$A$500=A219)*($B$2:$B$500=B219)*($C$2:$C$500=C219)*($D$2:$D$500=D219))&gt;1,"⚠ 欄位名稱重複 ","")&amp;IF(AND(B219&lt;&gt;"",NOT(ISNUMBER(SEARCH("、"&amp;B219&amp;"、","、"&amp;IFERROR(INDEX(表單!$I$2:$I$500,MATCH(A219,表單!$A$2:$A$500,0)),"")&amp;"、")))),"⚠ 單元不在適用單元內 ","")&amp;IF(AND(H219="Y",B219=""),"⚠ 排除只能用在單元列 ","")&amp;IF(AND(H219="Y",B219&lt;&gt;"",SUMPRODUCT(($A$2:$A$500=A219)*($C$2:$C$500=C219)*($D$2:$D$500=D219)*($B$2:$B$500=""))=0),"⚠ 排除需對應共用欄位 ","")&amp;IF(AND(ISNUMBER(F219),ISNUMBER(G219),F219&gt;G219),"⚠ 下限大於上限 ","")&amp;IF(SUMPRODUCT((檢查項目!$A$2:$A$500=A219)*(檢查項目!$C$2:$C$500=C219)*(檢查項目!$G$2:$G$500="數值"))=0,"⚠ 該項目不是數值類型 ",""))))</f>
        <v/>
      </c>
    </row>
    <row r="220">
      <c r="I220" s="2">
        <f>IF(A220="","",IFERROR(INDEX(檢查項目!$E$2:$E$500,MATCH(1,INDEX((檢查項目!$A$2:$A$500=A220)*(檢查項目!$C$2:$C$500=C220)*(檢查項目!$B$2:$B$500=B220),0),0)),IFERROR(INDEX(檢查項目!$E$2:$E$500,MATCH(1,INDEX((檢查項目!$A$2:$A$500=A220)*(檢查項目!$C$2:$C$500=C220)*(檢查項目!$B$2:$B$500=""),0),0)),"⚠ 找不到項目")))</f>
        <v/>
      </c>
      <c r="J220" s="2">
        <f>IF(A220="","",IF(B220="","共用",IF(H220="Y","排除（"&amp;B220&amp;"）",IF(SUMPRODUCT(($A$2:$A$500=A220)*($C$2:$C$500=C220)*($D$2:$D$500=D220)*($B$2:$B$500=""))&gt;0,"覆蓋共用（"&amp;B220&amp;"）","單元新增（"&amp;B220&amp;"）"))))</f>
        <v/>
      </c>
      <c r="K220" s="2">
        <f>IF(A220="","",IF(H220="Y","—",IF(AND(F220&lt;&gt;"",G220&lt;&gt;""),F220&amp;" ~ "&amp;G220,IF(G220&lt;&gt;"","≤ "&amp;G220,IF(F220&lt;&gt;"","≥ "&amp;F220,"只記錄、不檢核")))))</f>
        <v/>
      </c>
      <c r="L220" s="2">
        <f>IF(A220="","",IF(TRIM(IF(SUMPRODUCT(($A$2:$A$500=A220)*($B$2:$B$500=B220)*($C$2:$C$500=C220)*($D$2:$D$500=D220))&gt;1,"⚠ 欄位名稱重複 ","")&amp;IF(AND(B220&lt;&gt;"",NOT(ISNUMBER(SEARCH("、"&amp;B220&amp;"、","、"&amp;IFERROR(INDEX(表單!$I$2:$I$500,MATCH(A220,表單!$A$2:$A$500,0)),"")&amp;"、")))),"⚠ 單元不在適用單元內 ","")&amp;IF(AND(H220="Y",B220=""),"⚠ 排除只能用在單元列 ","")&amp;IF(AND(H220="Y",B220&lt;&gt;"",SUMPRODUCT(($A$2:$A$500=A220)*($C$2:$C$500=C220)*($D$2:$D$500=D220)*($B$2:$B$500=""))=0),"⚠ 排除需對應共用欄位 ","")&amp;IF(AND(ISNUMBER(F220),ISNUMBER(G220),F220&gt;G220),"⚠ 下限大於上限 ","")&amp;IF(SUMPRODUCT((檢查項目!$A$2:$A$500=A220)*(檢查項目!$C$2:$C$500=C220)*(檢查項目!$G$2:$G$500="數值"))=0,"⚠ 該項目不是數值類型 ",""))="","✓",TRIM(IF(SUMPRODUCT(($A$2:$A$500=A220)*($B$2:$B$500=B220)*($C$2:$C$500=C220)*($D$2:$D$500=D220))&gt;1,"⚠ 欄位名稱重複 ","")&amp;IF(AND(B220&lt;&gt;"",NOT(ISNUMBER(SEARCH("、"&amp;B220&amp;"、","、"&amp;IFERROR(INDEX(表單!$I$2:$I$500,MATCH(A220,表單!$A$2:$A$500,0)),"")&amp;"、")))),"⚠ 單元不在適用單元內 ","")&amp;IF(AND(H220="Y",B220=""),"⚠ 排除只能用在單元列 ","")&amp;IF(AND(H220="Y",B220&lt;&gt;"",SUMPRODUCT(($A$2:$A$500=A220)*($C$2:$C$500=C220)*($D$2:$D$500=D220)*($B$2:$B$500=""))=0),"⚠ 排除需對應共用欄位 ","")&amp;IF(AND(ISNUMBER(F220),ISNUMBER(G220),F220&gt;G220),"⚠ 下限大於上限 ","")&amp;IF(SUMPRODUCT((檢查項目!$A$2:$A$500=A220)*(檢查項目!$C$2:$C$500=C220)*(檢查項目!$G$2:$G$500="數值"))=0,"⚠ 該項目不是數值類型 ",""))))</f>
        <v/>
      </c>
    </row>
    <row r="221">
      <c r="I221" s="2">
        <f>IF(A221="","",IFERROR(INDEX(檢查項目!$E$2:$E$500,MATCH(1,INDEX((檢查項目!$A$2:$A$500=A221)*(檢查項目!$C$2:$C$500=C221)*(檢查項目!$B$2:$B$500=B221),0),0)),IFERROR(INDEX(檢查項目!$E$2:$E$500,MATCH(1,INDEX((檢查項目!$A$2:$A$500=A221)*(檢查項目!$C$2:$C$500=C221)*(檢查項目!$B$2:$B$500=""),0),0)),"⚠ 找不到項目")))</f>
        <v/>
      </c>
      <c r="J221" s="2">
        <f>IF(A221="","",IF(B221="","共用",IF(H221="Y","排除（"&amp;B221&amp;"）",IF(SUMPRODUCT(($A$2:$A$500=A221)*($C$2:$C$500=C221)*($D$2:$D$500=D221)*($B$2:$B$500=""))&gt;0,"覆蓋共用（"&amp;B221&amp;"）","單元新增（"&amp;B221&amp;"）"))))</f>
        <v/>
      </c>
      <c r="K221" s="2">
        <f>IF(A221="","",IF(H221="Y","—",IF(AND(F221&lt;&gt;"",G221&lt;&gt;""),F221&amp;" ~ "&amp;G221,IF(G221&lt;&gt;"","≤ "&amp;G221,IF(F221&lt;&gt;"","≥ "&amp;F221,"只記錄、不檢核")))))</f>
        <v/>
      </c>
      <c r="L221" s="2">
        <f>IF(A221="","",IF(TRIM(IF(SUMPRODUCT(($A$2:$A$500=A221)*($B$2:$B$500=B221)*($C$2:$C$500=C221)*($D$2:$D$500=D221))&gt;1,"⚠ 欄位名稱重複 ","")&amp;IF(AND(B221&lt;&gt;"",NOT(ISNUMBER(SEARCH("、"&amp;B221&amp;"、","、"&amp;IFERROR(INDEX(表單!$I$2:$I$500,MATCH(A221,表單!$A$2:$A$500,0)),"")&amp;"、")))),"⚠ 單元不在適用單元內 ","")&amp;IF(AND(H221="Y",B221=""),"⚠ 排除只能用在單元列 ","")&amp;IF(AND(H221="Y",B221&lt;&gt;"",SUMPRODUCT(($A$2:$A$500=A221)*($C$2:$C$500=C221)*($D$2:$D$500=D221)*($B$2:$B$500=""))=0),"⚠ 排除需對應共用欄位 ","")&amp;IF(AND(ISNUMBER(F221),ISNUMBER(G221),F221&gt;G221),"⚠ 下限大於上限 ","")&amp;IF(SUMPRODUCT((檢查項目!$A$2:$A$500=A221)*(檢查項目!$C$2:$C$500=C221)*(檢查項目!$G$2:$G$500="數值"))=0,"⚠ 該項目不是數值類型 ",""))="","✓",TRIM(IF(SUMPRODUCT(($A$2:$A$500=A221)*($B$2:$B$500=B221)*($C$2:$C$500=C221)*($D$2:$D$500=D221))&gt;1,"⚠ 欄位名稱重複 ","")&amp;IF(AND(B221&lt;&gt;"",NOT(ISNUMBER(SEARCH("、"&amp;B221&amp;"、","、"&amp;IFERROR(INDEX(表單!$I$2:$I$500,MATCH(A221,表單!$A$2:$A$500,0)),"")&amp;"、")))),"⚠ 單元不在適用單元內 ","")&amp;IF(AND(H221="Y",B221=""),"⚠ 排除只能用在單元列 ","")&amp;IF(AND(H221="Y",B221&lt;&gt;"",SUMPRODUCT(($A$2:$A$500=A221)*($C$2:$C$500=C221)*($D$2:$D$500=D221)*($B$2:$B$500=""))=0),"⚠ 排除需對應共用欄位 ","")&amp;IF(AND(ISNUMBER(F221),ISNUMBER(G221),F221&gt;G221),"⚠ 下限大於上限 ","")&amp;IF(SUMPRODUCT((檢查項目!$A$2:$A$500=A221)*(檢查項目!$C$2:$C$500=C221)*(檢查項目!$G$2:$G$500="數值"))=0,"⚠ 該項目不是數值類型 ",""))))</f>
        <v/>
      </c>
    </row>
    <row r="222">
      <c r="I222" s="2">
        <f>IF(A222="","",IFERROR(INDEX(檢查項目!$E$2:$E$500,MATCH(1,INDEX((檢查項目!$A$2:$A$500=A222)*(檢查項目!$C$2:$C$500=C222)*(檢查項目!$B$2:$B$500=B222),0),0)),IFERROR(INDEX(檢查項目!$E$2:$E$500,MATCH(1,INDEX((檢查項目!$A$2:$A$500=A222)*(檢查項目!$C$2:$C$500=C222)*(檢查項目!$B$2:$B$500=""),0),0)),"⚠ 找不到項目")))</f>
        <v/>
      </c>
      <c r="J222" s="2">
        <f>IF(A222="","",IF(B222="","共用",IF(H222="Y","排除（"&amp;B222&amp;"）",IF(SUMPRODUCT(($A$2:$A$500=A222)*($C$2:$C$500=C222)*($D$2:$D$500=D222)*($B$2:$B$500=""))&gt;0,"覆蓋共用（"&amp;B222&amp;"）","單元新增（"&amp;B222&amp;"）"))))</f>
        <v/>
      </c>
      <c r="K222" s="2">
        <f>IF(A222="","",IF(H222="Y","—",IF(AND(F222&lt;&gt;"",G222&lt;&gt;""),F222&amp;" ~ "&amp;G222,IF(G222&lt;&gt;"","≤ "&amp;G222,IF(F222&lt;&gt;"","≥ "&amp;F222,"只記錄、不檢核")))))</f>
        <v/>
      </c>
      <c r="L222" s="2">
        <f>IF(A222="","",IF(TRIM(IF(SUMPRODUCT(($A$2:$A$500=A222)*($B$2:$B$500=B222)*($C$2:$C$500=C222)*($D$2:$D$500=D222))&gt;1,"⚠ 欄位名稱重複 ","")&amp;IF(AND(B222&lt;&gt;"",NOT(ISNUMBER(SEARCH("、"&amp;B222&amp;"、","、"&amp;IFERROR(INDEX(表單!$I$2:$I$500,MATCH(A222,表單!$A$2:$A$500,0)),"")&amp;"、")))),"⚠ 單元不在適用單元內 ","")&amp;IF(AND(H222="Y",B222=""),"⚠ 排除只能用在單元列 ","")&amp;IF(AND(H222="Y",B222&lt;&gt;"",SUMPRODUCT(($A$2:$A$500=A222)*($C$2:$C$500=C222)*($D$2:$D$500=D222)*($B$2:$B$500=""))=0),"⚠ 排除需對應共用欄位 ","")&amp;IF(AND(ISNUMBER(F222),ISNUMBER(G222),F222&gt;G222),"⚠ 下限大於上限 ","")&amp;IF(SUMPRODUCT((檢查項目!$A$2:$A$500=A222)*(檢查項目!$C$2:$C$500=C222)*(檢查項目!$G$2:$G$500="數值"))=0,"⚠ 該項目不是數值類型 ",""))="","✓",TRIM(IF(SUMPRODUCT(($A$2:$A$500=A222)*($B$2:$B$500=B222)*($C$2:$C$500=C222)*($D$2:$D$500=D222))&gt;1,"⚠ 欄位名稱重複 ","")&amp;IF(AND(B222&lt;&gt;"",NOT(ISNUMBER(SEARCH("、"&amp;B222&amp;"、","、"&amp;IFERROR(INDEX(表單!$I$2:$I$500,MATCH(A222,表單!$A$2:$A$500,0)),"")&amp;"、")))),"⚠ 單元不在適用單元內 ","")&amp;IF(AND(H222="Y",B222=""),"⚠ 排除只能用在單元列 ","")&amp;IF(AND(H222="Y",B222&lt;&gt;"",SUMPRODUCT(($A$2:$A$500=A222)*($C$2:$C$500=C222)*($D$2:$D$500=D222)*($B$2:$B$500=""))=0),"⚠ 排除需對應共用欄位 ","")&amp;IF(AND(ISNUMBER(F222),ISNUMBER(G222),F222&gt;G222),"⚠ 下限大於上限 ","")&amp;IF(SUMPRODUCT((檢查項目!$A$2:$A$500=A222)*(檢查項目!$C$2:$C$500=C222)*(檢查項目!$G$2:$G$500="數值"))=0,"⚠ 該項目不是數值類型 ",""))))</f>
        <v/>
      </c>
    </row>
    <row r="223">
      <c r="I223" s="2">
        <f>IF(A223="","",IFERROR(INDEX(檢查項目!$E$2:$E$500,MATCH(1,INDEX((檢查項目!$A$2:$A$500=A223)*(檢查項目!$C$2:$C$500=C223)*(檢查項目!$B$2:$B$500=B223),0),0)),IFERROR(INDEX(檢查項目!$E$2:$E$500,MATCH(1,INDEX((檢查項目!$A$2:$A$500=A223)*(檢查項目!$C$2:$C$500=C223)*(檢查項目!$B$2:$B$500=""),0),0)),"⚠ 找不到項目")))</f>
        <v/>
      </c>
      <c r="J223" s="2">
        <f>IF(A223="","",IF(B223="","共用",IF(H223="Y","排除（"&amp;B223&amp;"）",IF(SUMPRODUCT(($A$2:$A$500=A223)*($C$2:$C$500=C223)*($D$2:$D$500=D223)*($B$2:$B$500=""))&gt;0,"覆蓋共用（"&amp;B223&amp;"）","單元新增（"&amp;B223&amp;"）"))))</f>
        <v/>
      </c>
      <c r="K223" s="2">
        <f>IF(A223="","",IF(H223="Y","—",IF(AND(F223&lt;&gt;"",G223&lt;&gt;""),F223&amp;" ~ "&amp;G223,IF(G223&lt;&gt;"","≤ "&amp;G223,IF(F223&lt;&gt;"","≥ "&amp;F223,"只記錄、不檢核")))))</f>
        <v/>
      </c>
      <c r="L223" s="2">
        <f>IF(A223="","",IF(TRIM(IF(SUMPRODUCT(($A$2:$A$500=A223)*($B$2:$B$500=B223)*($C$2:$C$500=C223)*($D$2:$D$500=D223))&gt;1,"⚠ 欄位名稱重複 ","")&amp;IF(AND(B223&lt;&gt;"",NOT(ISNUMBER(SEARCH("、"&amp;B223&amp;"、","、"&amp;IFERROR(INDEX(表單!$I$2:$I$500,MATCH(A223,表單!$A$2:$A$500,0)),"")&amp;"、")))),"⚠ 單元不在適用單元內 ","")&amp;IF(AND(H223="Y",B223=""),"⚠ 排除只能用在單元列 ","")&amp;IF(AND(H223="Y",B223&lt;&gt;"",SUMPRODUCT(($A$2:$A$500=A223)*($C$2:$C$500=C223)*($D$2:$D$500=D223)*($B$2:$B$500=""))=0),"⚠ 排除需對應共用欄位 ","")&amp;IF(AND(ISNUMBER(F223),ISNUMBER(G223),F223&gt;G223),"⚠ 下限大於上限 ","")&amp;IF(SUMPRODUCT((檢查項目!$A$2:$A$500=A223)*(檢查項目!$C$2:$C$500=C223)*(檢查項目!$G$2:$G$500="數值"))=0,"⚠ 該項目不是數值類型 ",""))="","✓",TRIM(IF(SUMPRODUCT(($A$2:$A$500=A223)*($B$2:$B$500=B223)*($C$2:$C$500=C223)*($D$2:$D$500=D223))&gt;1,"⚠ 欄位名稱重複 ","")&amp;IF(AND(B223&lt;&gt;"",NOT(ISNUMBER(SEARCH("、"&amp;B223&amp;"、","、"&amp;IFERROR(INDEX(表單!$I$2:$I$500,MATCH(A223,表單!$A$2:$A$500,0)),"")&amp;"、")))),"⚠ 單元不在適用單元內 ","")&amp;IF(AND(H223="Y",B223=""),"⚠ 排除只能用在單元列 ","")&amp;IF(AND(H223="Y",B223&lt;&gt;"",SUMPRODUCT(($A$2:$A$500=A223)*($C$2:$C$500=C223)*($D$2:$D$500=D223)*($B$2:$B$500=""))=0),"⚠ 排除需對應共用欄位 ","")&amp;IF(AND(ISNUMBER(F223),ISNUMBER(G223),F223&gt;G223),"⚠ 下限大於上限 ","")&amp;IF(SUMPRODUCT((檢查項目!$A$2:$A$500=A223)*(檢查項目!$C$2:$C$500=C223)*(檢查項目!$G$2:$G$500="數值"))=0,"⚠ 該項目不是數值類型 ",""))))</f>
        <v/>
      </c>
    </row>
    <row r="224">
      <c r="I224" s="2">
        <f>IF(A224="","",IFERROR(INDEX(檢查項目!$E$2:$E$500,MATCH(1,INDEX((檢查項目!$A$2:$A$500=A224)*(檢查項目!$C$2:$C$500=C224)*(檢查項目!$B$2:$B$500=B224),0),0)),IFERROR(INDEX(檢查項目!$E$2:$E$500,MATCH(1,INDEX((檢查項目!$A$2:$A$500=A224)*(檢查項目!$C$2:$C$500=C224)*(檢查項目!$B$2:$B$500=""),0),0)),"⚠ 找不到項目")))</f>
        <v/>
      </c>
      <c r="J224" s="2">
        <f>IF(A224="","",IF(B224="","共用",IF(H224="Y","排除（"&amp;B224&amp;"）",IF(SUMPRODUCT(($A$2:$A$500=A224)*($C$2:$C$500=C224)*($D$2:$D$500=D224)*($B$2:$B$500=""))&gt;0,"覆蓋共用（"&amp;B224&amp;"）","單元新增（"&amp;B224&amp;"）"))))</f>
        <v/>
      </c>
      <c r="K224" s="2">
        <f>IF(A224="","",IF(H224="Y","—",IF(AND(F224&lt;&gt;"",G224&lt;&gt;""),F224&amp;" ~ "&amp;G224,IF(G224&lt;&gt;"","≤ "&amp;G224,IF(F224&lt;&gt;"","≥ "&amp;F224,"只記錄、不檢核")))))</f>
        <v/>
      </c>
      <c r="L224" s="2">
        <f>IF(A224="","",IF(TRIM(IF(SUMPRODUCT(($A$2:$A$500=A224)*($B$2:$B$500=B224)*($C$2:$C$500=C224)*($D$2:$D$500=D224))&gt;1,"⚠ 欄位名稱重複 ","")&amp;IF(AND(B224&lt;&gt;"",NOT(ISNUMBER(SEARCH("、"&amp;B224&amp;"、","、"&amp;IFERROR(INDEX(表單!$I$2:$I$500,MATCH(A224,表單!$A$2:$A$500,0)),"")&amp;"、")))),"⚠ 單元不在適用單元內 ","")&amp;IF(AND(H224="Y",B224=""),"⚠ 排除只能用在單元列 ","")&amp;IF(AND(H224="Y",B224&lt;&gt;"",SUMPRODUCT(($A$2:$A$500=A224)*($C$2:$C$500=C224)*($D$2:$D$500=D224)*($B$2:$B$500=""))=0),"⚠ 排除需對應共用欄位 ","")&amp;IF(AND(ISNUMBER(F224),ISNUMBER(G224),F224&gt;G224),"⚠ 下限大於上限 ","")&amp;IF(SUMPRODUCT((檢查項目!$A$2:$A$500=A224)*(檢查項目!$C$2:$C$500=C224)*(檢查項目!$G$2:$G$500="數值"))=0,"⚠ 該項目不是數值類型 ",""))="","✓",TRIM(IF(SUMPRODUCT(($A$2:$A$500=A224)*($B$2:$B$500=B224)*($C$2:$C$500=C224)*($D$2:$D$500=D224))&gt;1,"⚠ 欄位名稱重複 ","")&amp;IF(AND(B224&lt;&gt;"",NOT(ISNUMBER(SEARCH("、"&amp;B224&amp;"、","、"&amp;IFERROR(INDEX(表單!$I$2:$I$500,MATCH(A224,表單!$A$2:$A$500,0)),"")&amp;"、")))),"⚠ 單元不在適用單元內 ","")&amp;IF(AND(H224="Y",B224=""),"⚠ 排除只能用在單元列 ","")&amp;IF(AND(H224="Y",B224&lt;&gt;"",SUMPRODUCT(($A$2:$A$500=A224)*($C$2:$C$500=C224)*($D$2:$D$500=D224)*($B$2:$B$500=""))=0),"⚠ 排除需對應共用欄位 ","")&amp;IF(AND(ISNUMBER(F224),ISNUMBER(G224),F224&gt;G224),"⚠ 下限大於上限 ","")&amp;IF(SUMPRODUCT((檢查項目!$A$2:$A$500=A224)*(檢查項目!$C$2:$C$500=C224)*(檢查項目!$G$2:$G$500="數值"))=0,"⚠ 該項目不是數值類型 ",""))))</f>
        <v/>
      </c>
    </row>
    <row r="225">
      <c r="I225" s="2">
        <f>IF(A225="","",IFERROR(INDEX(檢查項目!$E$2:$E$500,MATCH(1,INDEX((檢查項目!$A$2:$A$500=A225)*(檢查項目!$C$2:$C$500=C225)*(檢查項目!$B$2:$B$500=B225),0),0)),IFERROR(INDEX(檢查項目!$E$2:$E$500,MATCH(1,INDEX((檢查項目!$A$2:$A$500=A225)*(檢查項目!$C$2:$C$500=C225)*(檢查項目!$B$2:$B$500=""),0),0)),"⚠ 找不到項目")))</f>
        <v/>
      </c>
      <c r="J225" s="2">
        <f>IF(A225="","",IF(B225="","共用",IF(H225="Y","排除（"&amp;B225&amp;"）",IF(SUMPRODUCT(($A$2:$A$500=A225)*($C$2:$C$500=C225)*($D$2:$D$500=D225)*($B$2:$B$500=""))&gt;0,"覆蓋共用（"&amp;B225&amp;"）","單元新增（"&amp;B225&amp;"）"))))</f>
        <v/>
      </c>
      <c r="K225" s="2">
        <f>IF(A225="","",IF(H225="Y","—",IF(AND(F225&lt;&gt;"",G225&lt;&gt;""),F225&amp;" ~ "&amp;G225,IF(G225&lt;&gt;"","≤ "&amp;G225,IF(F225&lt;&gt;"","≥ "&amp;F225,"只記錄、不檢核")))))</f>
        <v/>
      </c>
      <c r="L225" s="2">
        <f>IF(A225="","",IF(TRIM(IF(SUMPRODUCT(($A$2:$A$500=A225)*($B$2:$B$500=B225)*($C$2:$C$500=C225)*($D$2:$D$500=D225))&gt;1,"⚠ 欄位名稱重複 ","")&amp;IF(AND(B225&lt;&gt;"",NOT(ISNUMBER(SEARCH("、"&amp;B225&amp;"、","、"&amp;IFERROR(INDEX(表單!$I$2:$I$500,MATCH(A225,表單!$A$2:$A$500,0)),"")&amp;"、")))),"⚠ 單元不在適用單元內 ","")&amp;IF(AND(H225="Y",B225=""),"⚠ 排除只能用在單元列 ","")&amp;IF(AND(H225="Y",B225&lt;&gt;"",SUMPRODUCT(($A$2:$A$500=A225)*($C$2:$C$500=C225)*($D$2:$D$500=D225)*($B$2:$B$500=""))=0),"⚠ 排除需對應共用欄位 ","")&amp;IF(AND(ISNUMBER(F225),ISNUMBER(G225),F225&gt;G225),"⚠ 下限大於上限 ","")&amp;IF(SUMPRODUCT((檢查項目!$A$2:$A$500=A225)*(檢查項目!$C$2:$C$500=C225)*(檢查項目!$G$2:$G$500="數值"))=0,"⚠ 該項目不是數值類型 ",""))="","✓",TRIM(IF(SUMPRODUCT(($A$2:$A$500=A225)*($B$2:$B$500=B225)*($C$2:$C$500=C225)*($D$2:$D$500=D225))&gt;1,"⚠ 欄位名稱重複 ","")&amp;IF(AND(B225&lt;&gt;"",NOT(ISNUMBER(SEARCH("、"&amp;B225&amp;"、","、"&amp;IFERROR(INDEX(表單!$I$2:$I$500,MATCH(A225,表單!$A$2:$A$500,0)),"")&amp;"、")))),"⚠ 單元不在適用單元內 ","")&amp;IF(AND(H225="Y",B225=""),"⚠ 排除只能用在單元列 ","")&amp;IF(AND(H225="Y",B225&lt;&gt;"",SUMPRODUCT(($A$2:$A$500=A225)*($C$2:$C$500=C225)*($D$2:$D$500=D225)*($B$2:$B$500=""))=0),"⚠ 排除需對應共用欄位 ","")&amp;IF(AND(ISNUMBER(F225),ISNUMBER(G225),F225&gt;G225),"⚠ 下限大於上限 ","")&amp;IF(SUMPRODUCT((檢查項目!$A$2:$A$500=A225)*(檢查項目!$C$2:$C$500=C225)*(檢查項目!$G$2:$G$500="數值"))=0,"⚠ 該項目不是數值類型 ",""))))</f>
        <v/>
      </c>
    </row>
    <row r="226">
      <c r="I226" s="2">
        <f>IF(A226="","",IFERROR(INDEX(檢查項目!$E$2:$E$500,MATCH(1,INDEX((檢查項目!$A$2:$A$500=A226)*(檢查項目!$C$2:$C$500=C226)*(檢查項目!$B$2:$B$500=B226),0),0)),IFERROR(INDEX(檢查項目!$E$2:$E$500,MATCH(1,INDEX((檢查項目!$A$2:$A$500=A226)*(檢查項目!$C$2:$C$500=C226)*(檢查項目!$B$2:$B$500=""),0),0)),"⚠ 找不到項目")))</f>
        <v/>
      </c>
      <c r="J226" s="2">
        <f>IF(A226="","",IF(B226="","共用",IF(H226="Y","排除（"&amp;B226&amp;"）",IF(SUMPRODUCT(($A$2:$A$500=A226)*($C$2:$C$500=C226)*($D$2:$D$500=D226)*($B$2:$B$500=""))&gt;0,"覆蓋共用（"&amp;B226&amp;"）","單元新增（"&amp;B226&amp;"）"))))</f>
        <v/>
      </c>
      <c r="K226" s="2">
        <f>IF(A226="","",IF(H226="Y","—",IF(AND(F226&lt;&gt;"",G226&lt;&gt;""),F226&amp;" ~ "&amp;G226,IF(G226&lt;&gt;"","≤ "&amp;G226,IF(F226&lt;&gt;"","≥ "&amp;F226,"只記錄、不檢核")))))</f>
        <v/>
      </c>
      <c r="L226" s="2">
        <f>IF(A226="","",IF(TRIM(IF(SUMPRODUCT(($A$2:$A$500=A226)*($B$2:$B$500=B226)*($C$2:$C$500=C226)*($D$2:$D$500=D226))&gt;1,"⚠ 欄位名稱重複 ","")&amp;IF(AND(B226&lt;&gt;"",NOT(ISNUMBER(SEARCH("、"&amp;B226&amp;"、","、"&amp;IFERROR(INDEX(表單!$I$2:$I$500,MATCH(A226,表單!$A$2:$A$500,0)),"")&amp;"、")))),"⚠ 單元不在適用單元內 ","")&amp;IF(AND(H226="Y",B226=""),"⚠ 排除只能用在單元列 ","")&amp;IF(AND(H226="Y",B226&lt;&gt;"",SUMPRODUCT(($A$2:$A$500=A226)*($C$2:$C$500=C226)*($D$2:$D$500=D226)*($B$2:$B$500=""))=0),"⚠ 排除需對應共用欄位 ","")&amp;IF(AND(ISNUMBER(F226),ISNUMBER(G226),F226&gt;G226),"⚠ 下限大於上限 ","")&amp;IF(SUMPRODUCT((檢查項目!$A$2:$A$500=A226)*(檢查項目!$C$2:$C$500=C226)*(檢查項目!$G$2:$G$500="數值"))=0,"⚠ 該項目不是數值類型 ",""))="","✓",TRIM(IF(SUMPRODUCT(($A$2:$A$500=A226)*($B$2:$B$500=B226)*($C$2:$C$500=C226)*($D$2:$D$500=D226))&gt;1,"⚠ 欄位名稱重複 ","")&amp;IF(AND(B226&lt;&gt;"",NOT(ISNUMBER(SEARCH("、"&amp;B226&amp;"、","、"&amp;IFERROR(INDEX(表單!$I$2:$I$500,MATCH(A226,表單!$A$2:$A$500,0)),"")&amp;"、")))),"⚠ 單元不在適用單元內 ","")&amp;IF(AND(H226="Y",B226=""),"⚠ 排除只能用在單元列 ","")&amp;IF(AND(H226="Y",B226&lt;&gt;"",SUMPRODUCT(($A$2:$A$500=A226)*($C$2:$C$500=C226)*($D$2:$D$500=D226)*($B$2:$B$500=""))=0),"⚠ 排除需對應共用欄位 ","")&amp;IF(AND(ISNUMBER(F226),ISNUMBER(G226),F226&gt;G226),"⚠ 下限大於上限 ","")&amp;IF(SUMPRODUCT((檢查項目!$A$2:$A$500=A226)*(檢查項目!$C$2:$C$500=C226)*(檢查項目!$G$2:$G$500="數值"))=0,"⚠ 該項目不是數值類型 ",""))))</f>
        <v/>
      </c>
    </row>
    <row r="227">
      <c r="I227" s="2">
        <f>IF(A227="","",IFERROR(INDEX(檢查項目!$E$2:$E$500,MATCH(1,INDEX((檢查項目!$A$2:$A$500=A227)*(檢查項目!$C$2:$C$500=C227)*(檢查項目!$B$2:$B$500=B227),0),0)),IFERROR(INDEX(檢查項目!$E$2:$E$500,MATCH(1,INDEX((檢查項目!$A$2:$A$500=A227)*(檢查項目!$C$2:$C$500=C227)*(檢查項目!$B$2:$B$500=""),0),0)),"⚠ 找不到項目")))</f>
        <v/>
      </c>
      <c r="J227" s="2">
        <f>IF(A227="","",IF(B227="","共用",IF(H227="Y","排除（"&amp;B227&amp;"）",IF(SUMPRODUCT(($A$2:$A$500=A227)*($C$2:$C$500=C227)*($D$2:$D$500=D227)*($B$2:$B$500=""))&gt;0,"覆蓋共用（"&amp;B227&amp;"）","單元新增（"&amp;B227&amp;"）"))))</f>
        <v/>
      </c>
      <c r="K227" s="2">
        <f>IF(A227="","",IF(H227="Y","—",IF(AND(F227&lt;&gt;"",G227&lt;&gt;""),F227&amp;" ~ "&amp;G227,IF(G227&lt;&gt;"","≤ "&amp;G227,IF(F227&lt;&gt;"","≥ "&amp;F227,"只記錄、不檢核")))))</f>
        <v/>
      </c>
      <c r="L227" s="2">
        <f>IF(A227="","",IF(TRIM(IF(SUMPRODUCT(($A$2:$A$500=A227)*($B$2:$B$500=B227)*($C$2:$C$500=C227)*($D$2:$D$500=D227))&gt;1,"⚠ 欄位名稱重複 ","")&amp;IF(AND(B227&lt;&gt;"",NOT(ISNUMBER(SEARCH("、"&amp;B227&amp;"、","、"&amp;IFERROR(INDEX(表單!$I$2:$I$500,MATCH(A227,表單!$A$2:$A$500,0)),"")&amp;"、")))),"⚠ 單元不在適用單元內 ","")&amp;IF(AND(H227="Y",B227=""),"⚠ 排除只能用在單元列 ","")&amp;IF(AND(H227="Y",B227&lt;&gt;"",SUMPRODUCT(($A$2:$A$500=A227)*($C$2:$C$500=C227)*($D$2:$D$500=D227)*($B$2:$B$500=""))=0),"⚠ 排除需對應共用欄位 ","")&amp;IF(AND(ISNUMBER(F227),ISNUMBER(G227),F227&gt;G227),"⚠ 下限大於上限 ","")&amp;IF(SUMPRODUCT((檢查項目!$A$2:$A$500=A227)*(檢查項目!$C$2:$C$500=C227)*(檢查項目!$G$2:$G$500="數值"))=0,"⚠ 該項目不是數值類型 ",""))="","✓",TRIM(IF(SUMPRODUCT(($A$2:$A$500=A227)*($B$2:$B$500=B227)*($C$2:$C$500=C227)*($D$2:$D$500=D227))&gt;1,"⚠ 欄位名稱重複 ","")&amp;IF(AND(B227&lt;&gt;"",NOT(ISNUMBER(SEARCH("、"&amp;B227&amp;"、","、"&amp;IFERROR(INDEX(表單!$I$2:$I$500,MATCH(A227,表單!$A$2:$A$500,0)),"")&amp;"、")))),"⚠ 單元不在適用單元內 ","")&amp;IF(AND(H227="Y",B227=""),"⚠ 排除只能用在單元列 ","")&amp;IF(AND(H227="Y",B227&lt;&gt;"",SUMPRODUCT(($A$2:$A$500=A227)*($C$2:$C$500=C227)*($D$2:$D$500=D227)*($B$2:$B$500=""))=0),"⚠ 排除需對應共用欄位 ","")&amp;IF(AND(ISNUMBER(F227),ISNUMBER(G227),F227&gt;G227),"⚠ 下限大於上限 ","")&amp;IF(SUMPRODUCT((檢查項目!$A$2:$A$500=A227)*(檢查項目!$C$2:$C$500=C227)*(檢查項目!$G$2:$G$500="數值"))=0,"⚠ 該項目不是數值類型 ",""))))</f>
        <v/>
      </c>
    </row>
    <row r="228">
      <c r="I228" s="2">
        <f>IF(A228="","",IFERROR(INDEX(檢查項目!$E$2:$E$500,MATCH(1,INDEX((檢查項目!$A$2:$A$500=A228)*(檢查項目!$C$2:$C$500=C228)*(檢查項目!$B$2:$B$500=B228),0),0)),IFERROR(INDEX(檢查項目!$E$2:$E$500,MATCH(1,INDEX((檢查項目!$A$2:$A$500=A228)*(檢查項目!$C$2:$C$500=C228)*(檢查項目!$B$2:$B$500=""),0),0)),"⚠ 找不到項目")))</f>
        <v/>
      </c>
      <c r="J228" s="2">
        <f>IF(A228="","",IF(B228="","共用",IF(H228="Y","排除（"&amp;B228&amp;"）",IF(SUMPRODUCT(($A$2:$A$500=A228)*($C$2:$C$500=C228)*($D$2:$D$500=D228)*($B$2:$B$500=""))&gt;0,"覆蓋共用（"&amp;B228&amp;"）","單元新增（"&amp;B228&amp;"）"))))</f>
        <v/>
      </c>
      <c r="K228" s="2">
        <f>IF(A228="","",IF(H228="Y","—",IF(AND(F228&lt;&gt;"",G228&lt;&gt;""),F228&amp;" ~ "&amp;G228,IF(G228&lt;&gt;"","≤ "&amp;G228,IF(F228&lt;&gt;"","≥ "&amp;F228,"只記錄、不檢核")))))</f>
        <v/>
      </c>
      <c r="L228" s="2">
        <f>IF(A228="","",IF(TRIM(IF(SUMPRODUCT(($A$2:$A$500=A228)*($B$2:$B$500=B228)*($C$2:$C$500=C228)*($D$2:$D$500=D228))&gt;1,"⚠ 欄位名稱重複 ","")&amp;IF(AND(B228&lt;&gt;"",NOT(ISNUMBER(SEARCH("、"&amp;B228&amp;"、","、"&amp;IFERROR(INDEX(表單!$I$2:$I$500,MATCH(A228,表單!$A$2:$A$500,0)),"")&amp;"、")))),"⚠ 單元不在適用單元內 ","")&amp;IF(AND(H228="Y",B228=""),"⚠ 排除只能用在單元列 ","")&amp;IF(AND(H228="Y",B228&lt;&gt;"",SUMPRODUCT(($A$2:$A$500=A228)*($C$2:$C$500=C228)*($D$2:$D$500=D228)*($B$2:$B$500=""))=0),"⚠ 排除需對應共用欄位 ","")&amp;IF(AND(ISNUMBER(F228),ISNUMBER(G228),F228&gt;G228),"⚠ 下限大於上限 ","")&amp;IF(SUMPRODUCT((檢查項目!$A$2:$A$500=A228)*(檢查項目!$C$2:$C$500=C228)*(檢查項目!$G$2:$G$500="數值"))=0,"⚠ 該項目不是數值類型 ",""))="","✓",TRIM(IF(SUMPRODUCT(($A$2:$A$500=A228)*($B$2:$B$500=B228)*($C$2:$C$500=C228)*($D$2:$D$500=D228))&gt;1,"⚠ 欄位名稱重複 ","")&amp;IF(AND(B228&lt;&gt;"",NOT(ISNUMBER(SEARCH("、"&amp;B228&amp;"、","、"&amp;IFERROR(INDEX(表單!$I$2:$I$500,MATCH(A228,表單!$A$2:$A$500,0)),"")&amp;"、")))),"⚠ 單元不在適用單元內 ","")&amp;IF(AND(H228="Y",B228=""),"⚠ 排除只能用在單元列 ","")&amp;IF(AND(H228="Y",B228&lt;&gt;"",SUMPRODUCT(($A$2:$A$500=A228)*($C$2:$C$500=C228)*($D$2:$D$500=D228)*($B$2:$B$500=""))=0),"⚠ 排除需對應共用欄位 ","")&amp;IF(AND(ISNUMBER(F228),ISNUMBER(G228),F228&gt;G228),"⚠ 下限大於上限 ","")&amp;IF(SUMPRODUCT((檢查項目!$A$2:$A$500=A228)*(檢查項目!$C$2:$C$500=C228)*(檢查項目!$G$2:$G$500="數值"))=0,"⚠ 該項目不是數值類型 ",""))))</f>
        <v/>
      </c>
    </row>
    <row r="229">
      <c r="I229" s="2">
        <f>IF(A229="","",IFERROR(INDEX(檢查項目!$E$2:$E$500,MATCH(1,INDEX((檢查項目!$A$2:$A$500=A229)*(檢查項目!$C$2:$C$500=C229)*(檢查項目!$B$2:$B$500=B229),0),0)),IFERROR(INDEX(檢查項目!$E$2:$E$500,MATCH(1,INDEX((檢查項目!$A$2:$A$500=A229)*(檢查項目!$C$2:$C$500=C229)*(檢查項目!$B$2:$B$500=""),0),0)),"⚠ 找不到項目")))</f>
        <v/>
      </c>
      <c r="J229" s="2">
        <f>IF(A229="","",IF(B229="","共用",IF(H229="Y","排除（"&amp;B229&amp;"）",IF(SUMPRODUCT(($A$2:$A$500=A229)*($C$2:$C$500=C229)*($D$2:$D$500=D229)*($B$2:$B$500=""))&gt;0,"覆蓋共用（"&amp;B229&amp;"）","單元新增（"&amp;B229&amp;"）"))))</f>
        <v/>
      </c>
      <c r="K229" s="2">
        <f>IF(A229="","",IF(H229="Y","—",IF(AND(F229&lt;&gt;"",G229&lt;&gt;""),F229&amp;" ~ "&amp;G229,IF(G229&lt;&gt;"","≤ "&amp;G229,IF(F229&lt;&gt;"","≥ "&amp;F229,"只記錄、不檢核")))))</f>
        <v/>
      </c>
      <c r="L229" s="2">
        <f>IF(A229="","",IF(TRIM(IF(SUMPRODUCT(($A$2:$A$500=A229)*($B$2:$B$500=B229)*($C$2:$C$500=C229)*($D$2:$D$500=D229))&gt;1,"⚠ 欄位名稱重複 ","")&amp;IF(AND(B229&lt;&gt;"",NOT(ISNUMBER(SEARCH("、"&amp;B229&amp;"、","、"&amp;IFERROR(INDEX(表單!$I$2:$I$500,MATCH(A229,表單!$A$2:$A$500,0)),"")&amp;"、")))),"⚠ 單元不在適用單元內 ","")&amp;IF(AND(H229="Y",B229=""),"⚠ 排除只能用在單元列 ","")&amp;IF(AND(H229="Y",B229&lt;&gt;"",SUMPRODUCT(($A$2:$A$500=A229)*($C$2:$C$500=C229)*($D$2:$D$500=D229)*($B$2:$B$500=""))=0),"⚠ 排除需對應共用欄位 ","")&amp;IF(AND(ISNUMBER(F229),ISNUMBER(G229),F229&gt;G229),"⚠ 下限大於上限 ","")&amp;IF(SUMPRODUCT((檢查項目!$A$2:$A$500=A229)*(檢查項目!$C$2:$C$500=C229)*(檢查項目!$G$2:$G$500="數值"))=0,"⚠ 該項目不是數值類型 ",""))="","✓",TRIM(IF(SUMPRODUCT(($A$2:$A$500=A229)*($B$2:$B$500=B229)*($C$2:$C$500=C229)*($D$2:$D$500=D229))&gt;1,"⚠ 欄位名稱重複 ","")&amp;IF(AND(B229&lt;&gt;"",NOT(ISNUMBER(SEARCH("、"&amp;B229&amp;"、","、"&amp;IFERROR(INDEX(表單!$I$2:$I$500,MATCH(A229,表單!$A$2:$A$500,0)),"")&amp;"、")))),"⚠ 單元不在適用單元內 ","")&amp;IF(AND(H229="Y",B229=""),"⚠ 排除只能用在單元列 ","")&amp;IF(AND(H229="Y",B229&lt;&gt;"",SUMPRODUCT(($A$2:$A$500=A229)*($C$2:$C$500=C229)*($D$2:$D$500=D229)*($B$2:$B$500=""))=0),"⚠ 排除需對應共用欄位 ","")&amp;IF(AND(ISNUMBER(F229),ISNUMBER(G229),F229&gt;G229),"⚠ 下限大於上限 ","")&amp;IF(SUMPRODUCT((檢查項目!$A$2:$A$500=A229)*(檢查項目!$C$2:$C$500=C229)*(檢查項目!$G$2:$G$500="數值"))=0,"⚠ 該項目不是數值類型 ",""))))</f>
        <v/>
      </c>
    </row>
    <row r="230">
      <c r="I230" s="2">
        <f>IF(A230="","",IFERROR(INDEX(檢查項目!$E$2:$E$500,MATCH(1,INDEX((檢查項目!$A$2:$A$500=A230)*(檢查項目!$C$2:$C$500=C230)*(檢查項目!$B$2:$B$500=B230),0),0)),IFERROR(INDEX(檢查項目!$E$2:$E$500,MATCH(1,INDEX((檢查項目!$A$2:$A$500=A230)*(檢查項目!$C$2:$C$500=C230)*(檢查項目!$B$2:$B$500=""),0),0)),"⚠ 找不到項目")))</f>
        <v/>
      </c>
      <c r="J230" s="2">
        <f>IF(A230="","",IF(B230="","共用",IF(H230="Y","排除（"&amp;B230&amp;"）",IF(SUMPRODUCT(($A$2:$A$500=A230)*($C$2:$C$500=C230)*($D$2:$D$500=D230)*($B$2:$B$500=""))&gt;0,"覆蓋共用（"&amp;B230&amp;"）","單元新增（"&amp;B230&amp;"）"))))</f>
        <v/>
      </c>
      <c r="K230" s="2">
        <f>IF(A230="","",IF(H230="Y","—",IF(AND(F230&lt;&gt;"",G230&lt;&gt;""),F230&amp;" ~ "&amp;G230,IF(G230&lt;&gt;"","≤ "&amp;G230,IF(F230&lt;&gt;"","≥ "&amp;F230,"只記錄、不檢核")))))</f>
        <v/>
      </c>
      <c r="L230" s="2">
        <f>IF(A230="","",IF(TRIM(IF(SUMPRODUCT(($A$2:$A$500=A230)*($B$2:$B$500=B230)*($C$2:$C$500=C230)*($D$2:$D$500=D230))&gt;1,"⚠ 欄位名稱重複 ","")&amp;IF(AND(B230&lt;&gt;"",NOT(ISNUMBER(SEARCH("、"&amp;B230&amp;"、","、"&amp;IFERROR(INDEX(表單!$I$2:$I$500,MATCH(A230,表單!$A$2:$A$500,0)),"")&amp;"、")))),"⚠ 單元不在適用單元內 ","")&amp;IF(AND(H230="Y",B230=""),"⚠ 排除只能用在單元列 ","")&amp;IF(AND(H230="Y",B230&lt;&gt;"",SUMPRODUCT(($A$2:$A$500=A230)*($C$2:$C$500=C230)*($D$2:$D$500=D230)*($B$2:$B$500=""))=0),"⚠ 排除需對應共用欄位 ","")&amp;IF(AND(ISNUMBER(F230),ISNUMBER(G230),F230&gt;G230),"⚠ 下限大於上限 ","")&amp;IF(SUMPRODUCT((檢查項目!$A$2:$A$500=A230)*(檢查項目!$C$2:$C$500=C230)*(檢查項目!$G$2:$G$500="數值"))=0,"⚠ 該項目不是數值類型 ",""))="","✓",TRIM(IF(SUMPRODUCT(($A$2:$A$500=A230)*($B$2:$B$500=B230)*($C$2:$C$500=C230)*($D$2:$D$500=D230))&gt;1,"⚠ 欄位名稱重複 ","")&amp;IF(AND(B230&lt;&gt;"",NOT(ISNUMBER(SEARCH("、"&amp;B230&amp;"、","、"&amp;IFERROR(INDEX(表單!$I$2:$I$500,MATCH(A230,表單!$A$2:$A$500,0)),"")&amp;"、")))),"⚠ 單元不在適用單元內 ","")&amp;IF(AND(H230="Y",B230=""),"⚠ 排除只能用在單元列 ","")&amp;IF(AND(H230="Y",B230&lt;&gt;"",SUMPRODUCT(($A$2:$A$500=A230)*($C$2:$C$500=C230)*($D$2:$D$500=D230)*($B$2:$B$500=""))=0),"⚠ 排除需對應共用欄位 ","")&amp;IF(AND(ISNUMBER(F230),ISNUMBER(G230),F230&gt;G230),"⚠ 下限大於上限 ","")&amp;IF(SUMPRODUCT((檢查項目!$A$2:$A$500=A230)*(檢查項目!$C$2:$C$500=C230)*(檢查項目!$G$2:$G$500="數值"))=0,"⚠ 該項目不是數值類型 ",""))))</f>
        <v/>
      </c>
    </row>
    <row r="231">
      <c r="I231" s="2">
        <f>IF(A231="","",IFERROR(INDEX(檢查項目!$E$2:$E$500,MATCH(1,INDEX((檢查項目!$A$2:$A$500=A231)*(檢查項目!$C$2:$C$500=C231)*(檢查項目!$B$2:$B$500=B231),0),0)),IFERROR(INDEX(檢查項目!$E$2:$E$500,MATCH(1,INDEX((檢查項目!$A$2:$A$500=A231)*(檢查項目!$C$2:$C$500=C231)*(檢查項目!$B$2:$B$500=""),0),0)),"⚠ 找不到項目")))</f>
        <v/>
      </c>
      <c r="J231" s="2">
        <f>IF(A231="","",IF(B231="","共用",IF(H231="Y","排除（"&amp;B231&amp;"）",IF(SUMPRODUCT(($A$2:$A$500=A231)*($C$2:$C$500=C231)*($D$2:$D$500=D231)*($B$2:$B$500=""))&gt;0,"覆蓋共用（"&amp;B231&amp;"）","單元新增（"&amp;B231&amp;"）"))))</f>
        <v/>
      </c>
      <c r="K231" s="2">
        <f>IF(A231="","",IF(H231="Y","—",IF(AND(F231&lt;&gt;"",G231&lt;&gt;""),F231&amp;" ~ "&amp;G231,IF(G231&lt;&gt;"","≤ "&amp;G231,IF(F231&lt;&gt;"","≥ "&amp;F231,"只記錄、不檢核")))))</f>
        <v/>
      </c>
      <c r="L231" s="2">
        <f>IF(A231="","",IF(TRIM(IF(SUMPRODUCT(($A$2:$A$500=A231)*($B$2:$B$500=B231)*($C$2:$C$500=C231)*($D$2:$D$500=D231))&gt;1,"⚠ 欄位名稱重複 ","")&amp;IF(AND(B231&lt;&gt;"",NOT(ISNUMBER(SEARCH("、"&amp;B231&amp;"、","、"&amp;IFERROR(INDEX(表單!$I$2:$I$500,MATCH(A231,表單!$A$2:$A$500,0)),"")&amp;"、")))),"⚠ 單元不在適用單元內 ","")&amp;IF(AND(H231="Y",B231=""),"⚠ 排除只能用在單元列 ","")&amp;IF(AND(H231="Y",B231&lt;&gt;"",SUMPRODUCT(($A$2:$A$500=A231)*($C$2:$C$500=C231)*($D$2:$D$500=D231)*($B$2:$B$500=""))=0),"⚠ 排除需對應共用欄位 ","")&amp;IF(AND(ISNUMBER(F231),ISNUMBER(G231),F231&gt;G231),"⚠ 下限大於上限 ","")&amp;IF(SUMPRODUCT((檢查項目!$A$2:$A$500=A231)*(檢查項目!$C$2:$C$500=C231)*(檢查項目!$G$2:$G$500="數值"))=0,"⚠ 該項目不是數值類型 ",""))="","✓",TRIM(IF(SUMPRODUCT(($A$2:$A$500=A231)*($B$2:$B$500=B231)*($C$2:$C$500=C231)*($D$2:$D$500=D231))&gt;1,"⚠ 欄位名稱重複 ","")&amp;IF(AND(B231&lt;&gt;"",NOT(ISNUMBER(SEARCH("、"&amp;B231&amp;"、","、"&amp;IFERROR(INDEX(表單!$I$2:$I$500,MATCH(A231,表單!$A$2:$A$500,0)),"")&amp;"、")))),"⚠ 單元不在適用單元內 ","")&amp;IF(AND(H231="Y",B231=""),"⚠ 排除只能用在單元列 ","")&amp;IF(AND(H231="Y",B231&lt;&gt;"",SUMPRODUCT(($A$2:$A$500=A231)*($C$2:$C$500=C231)*($D$2:$D$500=D231)*($B$2:$B$500=""))=0),"⚠ 排除需對應共用欄位 ","")&amp;IF(AND(ISNUMBER(F231),ISNUMBER(G231),F231&gt;G231),"⚠ 下限大於上限 ","")&amp;IF(SUMPRODUCT((檢查項目!$A$2:$A$500=A231)*(檢查項目!$C$2:$C$500=C231)*(檢查項目!$G$2:$G$500="數值"))=0,"⚠ 該項目不是數值類型 ",""))))</f>
        <v/>
      </c>
    </row>
    <row r="232">
      <c r="I232" s="2">
        <f>IF(A232="","",IFERROR(INDEX(檢查項目!$E$2:$E$500,MATCH(1,INDEX((檢查項目!$A$2:$A$500=A232)*(檢查項目!$C$2:$C$500=C232)*(檢查項目!$B$2:$B$500=B232),0),0)),IFERROR(INDEX(檢查項目!$E$2:$E$500,MATCH(1,INDEX((檢查項目!$A$2:$A$500=A232)*(檢查項目!$C$2:$C$500=C232)*(檢查項目!$B$2:$B$500=""),0),0)),"⚠ 找不到項目")))</f>
        <v/>
      </c>
      <c r="J232" s="2">
        <f>IF(A232="","",IF(B232="","共用",IF(H232="Y","排除（"&amp;B232&amp;"）",IF(SUMPRODUCT(($A$2:$A$500=A232)*($C$2:$C$500=C232)*($D$2:$D$500=D232)*($B$2:$B$500=""))&gt;0,"覆蓋共用（"&amp;B232&amp;"）","單元新增（"&amp;B232&amp;"）"))))</f>
        <v/>
      </c>
      <c r="K232" s="2">
        <f>IF(A232="","",IF(H232="Y","—",IF(AND(F232&lt;&gt;"",G232&lt;&gt;""),F232&amp;" ~ "&amp;G232,IF(G232&lt;&gt;"","≤ "&amp;G232,IF(F232&lt;&gt;"","≥ "&amp;F232,"只記錄、不檢核")))))</f>
        <v/>
      </c>
      <c r="L232" s="2">
        <f>IF(A232="","",IF(TRIM(IF(SUMPRODUCT(($A$2:$A$500=A232)*($B$2:$B$500=B232)*($C$2:$C$500=C232)*($D$2:$D$500=D232))&gt;1,"⚠ 欄位名稱重複 ","")&amp;IF(AND(B232&lt;&gt;"",NOT(ISNUMBER(SEARCH("、"&amp;B232&amp;"、","、"&amp;IFERROR(INDEX(表單!$I$2:$I$500,MATCH(A232,表單!$A$2:$A$500,0)),"")&amp;"、")))),"⚠ 單元不在適用單元內 ","")&amp;IF(AND(H232="Y",B232=""),"⚠ 排除只能用在單元列 ","")&amp;IF(AND(H232="Y",B232&lt;&gt;"",SUMPRODUCT(($A$2:$A$500=A232)*($C$2:$C$500=C232)*($D$2:$D$500=D232)*($B$2:$B$500=""))=0),"⚠ 排除需對應共用欄位 ","")&amp;IF(AND(ISNUMBER(F232),ISNUMBER(G232),F232&gt;G232),"⚠ 下限大於上限 ","")&amp;IF(SUMPRODUCT((檢查項目!$A$2:$A$500=A232)*(檢查項目!$C$2:$C$500=C232)*(檢查項目!$G$2:$G$500="數值"))=0,"⚠ 該項目不是數值類型 ",""))="","✓",TRIM(IF(SUMPRODUCT(($A$2:$A$500=A232)*($B$2:$B$500=B232)*($C$2:$C$500=C232)*($D$2:$D$500=D232))&gt;1,"⚠ 欄位名稱重複 ","")&amp;IF(AND(B232&lt;&gt;"",NOT(ISNUMBER(SEARCH("、"&amp;B232&amp;"、","、"&amp;IFERROR(INDEX(表單!$I$2:$I$500,MATCH(A232,表單!$A$2:$A$500,0)),"")&amp;"、")))),"⚠ 單元不在適用單元內 ","")&amp;IF(AND(H232="Y",B232=""),"⚠ 排除只能用在單元列 ","")&amp;IF(AND(H232="Y",B232&lt;&gt;"",SUMPRODUCT(($A$2:$A$500=A232)*($C$2:$C$500=C232)*($D$2:$D$500=D232)*($B$2:$B$500=""))=0),"⚠ 排除需對應共用欄位 ","")&amp;IF(AND(ISNUMBER(F232),ISNUMBER(G232),F232&gt;G232),"⚠ 下限大於上限 ","")&amp;IF(SUMPRODUCT((檢查項目!$A$2:$A$500=A232)*(檢查項目!$C$2:$C$500=C232)*(檢查項目!$G$2:$G$500="數值"))=0,"⚠ 該項目不是數值類型 ",""))))</f>
        <v/>
      </c>
    </row>
    <row r="233">
      <c r="I233" s="2">
        <f>IF(A233="","",IFERROR(INDEX(檢查項目!$E$2:$E$500,MATCH(1,INDEX((檢查項目!$A$2:$A$500=A233)*(檢查項目!$C$2:$C$500=C233)*(檢查項目!$B$2:$B$500=B233),0),0)),IFERROR(INDEX(檢查項目!$E$2:$E$500,MATCH(1,INDEX((檢查項目!$A$2:$A$500=A233)*(檢查項目!$C$2:$C$500=C233)*(檢查項目!$B$2:$B$500=""),0),0)),"⚠ 找不到項目")))</f>
        <v/>
      </c>
      <c r="J233" s="2">
        <f>IF(A233="","",IF(B233="","共用",IF(H233="Y","排除（"&amp;B233&amp;"）",IF(SUMPRODUCT(($A$2:$A$500=A233)*($C$2:$C$500=C233)*($D$2:$D$500=D233)*($B$2:$B$500=""))&gt;0,"覆蓋共用（"&amp;B233&amp;"）","單元新增（"&amp;B233&amp;"）"))))</f>
        <v/>
      </c>
      <c r="K233" s="2">
        <f>IF(A233="","",IF(H233="Y","—",IF(AND(F233&lt;&gt;"",G233&lt;&gt;""),F233&amp;" ~ "&amp;G233,IF(G233&lt;&gt;"","≤ "&amp;G233,IF(F233&lt;&gt;"","≥ "&amp;F233,"只記錄、不檢核")))))</f>
        <v/>
      </c>
      <c r="L233" s="2">
        <f>IF(A233="","",IF(TRIM(IF(SUMPRODUCT(($A$2:$A$500=A233)*($B$2:$B$500=B233)*($C$2:$C$500=C233)*($D$2:$D$500=D233))&gt;1,"⚠ 欄位名稱重複 ","")&amp;IF(AND(B233&lt;&gt;"",NOT(ISNUMBER(SEARCH("、"&amp;B233&amp;"、","、"&amp;IFERROR(INDEX(表單!$I$2:$I$500,MATCH(A233,表單!$A$2:$A$500,0)),"")&amp;"、")))),"⚠ 單元不在適用單元內 ","")&amp;IF(AND(H233="Y",B233=""),"⚠ 排除只能用在單元列 ","")&amp;IF(AND(H233="Y",B233&lt;&gt;"",SUMPRODUCT(($A$2:$A$500=A233)*($C$2:$C$500=C233)*($D$2:$D$500=D233)*($B$2:$B$500=""))=0),"⚠ 排除需對應共用欄位 ","")&amp;IF(AND(ISNUMBER(F233),ISNUMBER(G233),F233&gt;G233),"⚠ 下限大於上限 ","")&amp;IF(SUMPRODUCT((檢查項目!$A$2:$A$500=A233)*(檢查項目!$C$2:$C$500=C233)*(檢查項目!$G$2:$G$500="數值"))=0,"⚠ 該項目不是數值類型 ",""))="","✓",TRIM(IF(SUMPRODUCT(($A$2:$A$500=A233)*($B$2:$B$500=B233)*($C$2:$C$500=C233)*($D$2:$D$500=D233))&gt;1,"⚠ 欄位名稱重複 ","")&amp;IF(AND(B233&lt;&gt;"",NOT(ISNUMBER(SEARCH("、"&amp;B233&amp;"、","、"&amp;IFERROR(INDEX(表單!$I$2:$I$500,MATCH(A233,表單!$A$2:$A$500,0)),"")&amp;"、")))),"⚠ 單元不在適用單元內 ","")&amp;IF(AND(H233="Y",B233=""),"⚠ 排除只能用在單元列 ","")&amp;IF(AND(H233="Y",B233&lt;&gt;"",SUMPRODUCT(($A$2:$A$500=A233)*($C$2:$C$500=C233)*($D$2:$D$500=D233)*($B$2:$B$500=""))=0),"⚠ 排除需對應共用欄位 ","")&amp;IF(AND(ISNUMBER(F233),ISNUMBER(G233),F233&gt;G233),"⚠ 下限大於上限 ","")&amp;IF(SUMPRODUCT((檢查項目!$A$2:$A$500=A233)*(檢查項目!$C$2:$C$500=C233)*(檢查項目!$G$2:$G$500="數值"))=0,"⚠ 該項目不是數值類型 ",""))))</f>
        <v/>
      </c>
    </row>
    <row r="234">
      <c r="I234" s="2">
        <f>IF(A234="","",IFERROR(INDEX(檢查項目!$E$2:$E$500,MATCH(1,INDEX((檢查項目!$A$2:$A$500=A234)*(檢查項目!$C$2:$C$500=C234)*(檢查項目!$B$2:$B$500=B234),0),0)),IFERROR(INDEX(檢查項目!$E$2:$E$500,MATCH(1,INDEX((檢查項目!$A$2:$A$500=A234)*(檢查項目!$C$2:$C$500=C234)*(檢查項目!$B$2:$B$500=""),0),0)),"⚠ 找不到項目")))</f>
        <v/>
      </c>
      <c r="J234" s="2">
        <f>IF(A234="","",IF(B234="","共用",IF(H234="Y","排除（"&amp;B234&amp;"）",IF(SUMPRODUCT(($A$2:$A$500=A234)*($C$2:$C$500=C234)*($D$2:$D$500=D234)*($B$2:$B$500=""))&gt;0,"覆蓋共用（"&amp;B234&amp;"）","單元新增（"&amp;B234&amp;"）"))))</f>
        <v/>
      </c>
      <c r="K234" s="2">
        <f>IF(A234="","",IF(H234="Y","—",IF(AND(F234&lt;&gt;"",G234&lt;&gt;""),F234&amp;" ~ "&amp;G234,IF(G234&lt;&gt;"","≤ "&amp;G234,IF(F234&lt;&gt;"","≥ "&amp;F234,"只記錄、不檢核")))))</f>
        <v/>
      </c>
      <c r="L234" s="2">
        <f>IF(A234="","",IF(TRIM(IF(SUMPRODUCT(($A$2:$A$500=A234)*($B$2:$B$500=B234)*($C$2:$C$500=C234)*($D$2:$D$500=D234))&gt;1,"⚠ 欄位名稱重複 ","")&amp;IF(AND(B234&lt;&gt;"",NOT(ISNUMBER(SEARCH("、"&amp;B234&amp;"、","、"&amp;IFERROR(INDEX(表單!$I$2:$I$500,MATCH(A234,表單!$A$2:$A$500,0)),"")&amp;"、")))),"⚠ 單元不在適用單元內 ","")&amp;IF(AND(H234="Y",B234=""),"⚠ 排除只能用在單元列 ","")&amp;IF(AND(H234="Y",B234&lt;&gt;"",SUMPRODUCT(($A$2:$A$500=A234)*($C$2:$C$500=C234)*($D$2:$D$500=D234)*($B$2:$B$500=""))=0),"⚠ 排除需對應共用欄位 ","")&amp;IF(AND(ISNUMBER(F234),ISNUMBER(G234),F234&gt;G234),"⚠ 下限大於上限 ","")&amp;IF(SUMPRODUCT((檢查項目!$A$2:$A$500=A234)*(檢查項目!$C$2:$C$500=C234)*(檢查項目!$G$2:$G$500="數值"))=0,"⚠ 該項目不是數值類型 ",""))="","✓",TRIM(IF(SUMPRODUCT(($A$2:$A$500=A234)*($B$2:$B$500=B234)*($C$2:$C$500=C234)*($D$2:$D$500=D234))&gt;1,"⚠ 欄位名稱重複 ","")&amp;IF(AND(B234&lt;&gt;"",NOT(ISNUMBER(SEARCH("、"&amp;B234&amp;"、","、"&amp;IFERROR(INDEX(表單!$I$2:$I$500,MATCH(A234,表單!$A$2:$A$500,0)),"")&amp;"、")))),"⚠ 單元不在適用單元內 ","")&amp;IF(AND(H234="Y",B234=""),"⚠ 排除只能用在單元列 ","")&amp;IF(AND(H234="Y",B234&lt;&gt;"",SUMPRODUCT(($A$2:$A$500=A234)*($C$2:$C$500=C234)*($D$2:$D$500=D234)*($B$2:$B$500=""))=0),"⚠ 排除需對應共用欄位 ","")&amp;IF(AND(ISNUMBER(F234),ISNUMBER(G234),F234&gt;G234),"⚠ 下限大於上限 ","")&amp;IF(SUMPRODUCT((檢查項目!$A$2:$A$500=A234)*(檢查項目!$C$2:$C$500=C234)*(檢查項目!$G$2:$G$500="數值"))=0,"⚠ 該項目不是數值類型 ",""))))</f>
        <v/>
      </c>
    </row>
    <row r="235">
      <c r="I235" s="2">
        <f>IF(A235="","",IFERROR(INDEX(檢查項目!$E$2:$E$500,MATCH(1,INDEX((檢查項目!$A$2:$A$500=A235)*(檢查項目!$C$2:$C$500=C235)*(檢查項目!$B$2:$B$500=B235),0),0)),IFERROR(INDEX(檢查項目!$E$2:$E$500,MATCH(1,INDEX((檢查項目!$A$2:$A$500=A235)*(檢查項目!$C$2:$C$500=C235)*(檢查項目!$B$2:$B$500=""),0),0)),"⚠ 找不到項目")))</f>
        <v/>
      </c>
      <c r="J235" s="2">
        <f>IF(A235="","",IF(B235="","共用",IF(H235="Y","排除（"&amp;B235&amp;"）",IF(SUMPRODUCT(($A$2:$A$500=A235)*($C$2:$C$500=C235)*($D$2:$D$500=D235)*($B$2:$B$500=""))&gt;0,"覆蓋共用（"&amp;B235&amp;"）","單元新增（"&amp;B235&amp;"）"))))</f>
        <v/>
      </c>
      <c r="K235" s="2">
        <f>IF(A235="","",IF(H235="Y","—",IF(AND(F235&lt;&gt;"",G235&lt;&gt;""),F235&amp;" ~ "&amp;G235,IF(G235&lt;&gt;"","≤ "&amp;G235,IF(F235&lt;&gt;"","≥ "&amp;F235,"只記錄、不檢核")))))</f>
        <v/>
      </c>
      <c r="L235" s="2">
        <f>IF(A235="","",IF(TRIM(IF(SUMPRODUCT(($A$2:$A$500=A235)*($B$2:$B$500=B235)*($C$2:$C$500=C235)*($D$2:$D$500=D235))&gt;1,"⚠ 欄位名稱重複 ","")&amp;IF(AND(B235&lt;&gt;"",NOT(ISNUMBER(SEARCH("、"&amp;B235&amp;"、","、"&amp;IFERROR(INDEX(表單!$I$2:$I$500,MATCH(A235,表單!$A$2:$A$500,0)),"")&amp;"、")))),"⚠ 單元不在適用單元內 ","")&amp;IF(AND(H235="Y",B235=""),"⚠ 排除只能用在單元列 ","")&amp;IF(AND(H235="Y",B235&lt;&gt;"",SUMPRODUCT(($A$2:$A$500=A235)*($C$2:$C$500=C235)*($D$2:$D$500=D235)*($B$2:$B$500=""))=0),"⚠ 排除需對應共用欄位 ","")&amp;IF(AND(ISNUMBER(F235),ISNUMBER(G235),F235&gt;G235),"⚠ 下限大於上限 ","")&amp;IF(SUMPRODUCT((檢查項目!$A$2:$A$500=A235)*(檢查項目!$C$2:$C$500=C235)*(檢查項目!$G$2:$G$500="數值"))=0,"⚠ 該項目不是數值類型 ",""))="","✓",TRIM(IF(SUMPRODUCT(($A$2:$A$500=A235)*($B$2:$B$500=B235)*($C$2:$C$500=C235)*($D$2:$D$500=D235))&gt;1,"⚠ 欄位名稱重複 ","")&amp;IF(AND(B235&lt;&gt;"",NOT(ISNUMBER(SEARCH("、"&amp;B235&amp;"、","、"&amp;IFERROR(INDEX(表單!$I$2:$I$500,MATCH(A235,表單!$A$2:$A$500,0)),"")&amp;"、")))),"⚠ 單元不在適用單元內 ","")&amp;IF(AND(H235="Y",B235=""),"⚠ 排除只能用在單元列 ","")&amp;IF(AND(H235="Y",B235&lt;&gt;"",SUMPRODUCT(($A$2:$A$500=A235)*($C$2:$C$500=C235)*($D$2:$D$500=D235)*($B$2:$B$500=""))=0),"⚠ 排除需對應共用欄位 ","")&amp;IF(AND(ISNUMBER(F235),ISNUMBER(G235),F235&gt;G235),"⚠ 下限大於上限 ","")&amp;IF(SUMPRODUCT((檢查項目!$A$2:$A$500=A235)*(檢查項目!$C$2:$C$500=C235)*(檢查項目!$G$2:$G$500="數值"))=0,"⚠ 該項目不是數值類型 ",""))))</f>
        <v/>
      </c>
    </row>
    <row r="236">
      <c r="I236" s="2">
        <f>IF(A236="","",IFERROR(INDEX(檢查項目!$E$2:$E$500,MATCH(1,INDEX((檢查項目!$A$2:$A$500=A236)*(檢查項目!$C$2:$C$500=C236)*(檢查項目!$B$2:$B$500=B236),0),0)),IFERROR(INDEX(檢查項目!$E$2:$E$500,MATCH(1,INDEX((檢查項目!$A$2:$A$500=A236)*(檢查項目!$C$2:$C$500=C236)*(檢查項目!$B$2:$B$500=""),0),0)),"⚠ 找不到項目")))</f>
        <v/>
      </c>
      <c r="J236" s="2">
        <f>IF(A236="","",IF(B236="","共用",IF(H236="Y","排除（"&amp;B236&amp;"）",IF(SUMPRODUCT(($A$2:$A$500=A236)*($C$2:$C$500=C236)*($D$2:$D$500=D236)*($B$2:$B$500=""))&gt;0,"覆蓋共用（"&amp;B236&amp;"）","單元新增（"&amp;B236&amp;"）"))))</f>
        <v/>
      </c>
      <c r="K236" s="2">
        <f>IF(A236="","",IF(H236="Y","—",IF(AND(F236&lt;&gt;"",G236&lt;&gt;""),F236&amp;" ~ "&amp;G236,IF(G236&lt;&gt;"","≤ "&amp;G236,IF(F236&lt;&gt;"","≥ "&amp;F236,"只記錄、不檢核")))))</f>
        <v/>
      </c>
      <c r="L236" s="2">
        <f>IF(A236="","",IF(TRIM(IF(SUMPRODUCT(($A$2:$A$500=A236)*($B$2:$B$500=B236)*($C$2:$C$500=C236)*($D$2:$D$500=D236))&gt;1,"⚠ 欄位名稱重複 ","")&amp;IF(AND(B236&lt;&gt;"",NOT(ISNUMBER(SEARCH("、"&amp;B236&amp;"、","、"&amp;IFERROR(INDEX(表單!$I$2:$I$500,MATCH(A236,表單!$A$2:$A$500,0)),"")&amp;"、")))),"⚠ 單元不在適用單元內 ","")&amp;IF(AND(H236="Y",B236=""),"⚠ 排除只能用在單元列 ","")&amp;IF(AND(H236="Y",B236&lt;&gt;"",SUMPRODUCT(($A$2:$A$500=A236)*($C$2:$C$500=C236)*($D$2:$D$500=D236)*($B$2:$B$500=""))=0),"⚠ 排除需對應共用欄位 ","")&amp;IF(AND(ISNUMBER(F236),ISNUMBER(G236),F236&gt;G236),"⚠ 下限大於上限 ","")&amp;IF(SUMPRODUCT((檢查項目!$A$2:$A$500=A236)*(檢查項目!$C$2:$C$500=C236)*(檢查項目!$G$2:$G$500="數值"))=0,"⚠ 該項目不是數值類型 ",""))="","✓",TRIM(IF(SUMPRODUCT(($A$2:$A$500=A236)*($B$2:$B$500=B236)*($C$2:$C$500=C236)*($D$2:$D$500=D236))&gt;1,"⚠ 欄位名稱重複 ","")&amp;IF(AND(B236&lt;&gt;"",NOT(ISNUMBER(SEARCH("、"&amp;B236&amp;"、","、"&amp;IFERROR(INDEX(表單!$I$2:$I$500,MATCH(A236,表單!$A$2:$A$500,0)),"")&amp;"、")))),"⚠ 單元不在適用單元內 ","")&amp;IF(AND(H236="Y",B236=""),"⚠ 排除只能用在單元列 ","")&amp;IF(AND(H236="Y",B236&lt;&gt;"",SUMPRODUCT(($A$2:$A$500=A236)*($C$2:$C$500=C236)*($D$2:$D$500=D236)*($B$2:$B$500=""))=0),"⚠ 排除需對應共用欄位 ","")&amp;IF(AND(ISNUMBER(F236),ISNUMBER(G236),F236&gt;G236),"⚠ 下限大於上限 ","")&amp;IF(SUMPRODUCT((檢查項目!$A$2:$A$500=A236)*(檢查項目!$C$2:$C$500=C236)*(檢查項目!$G$2:$G$500="數值"))=0,"⚠ 該項目不是數值類型 ",""))))</f>
        <v/>
      </c>
    </row>
    <row r="237">
      <c r="I237" s="2">
        <f>IF(A237="","",IFERROR(INDEX(檢查項目!$E$2:$E$500,MATCH(1,INDEX((檢查項目!$A$2:$A$500=A237)*(檢查項目!$C$2:$C$500=C237)*(檢查項目!$B$2:$B$500=B237),0),0)),IFERROR(INDEX(檢查項目!$E$2:$E$500,MATCH(1,INDEX((檢查項目!$A$2:$A$500=A237)*(檢查項目!$C$2:$C$500=C237)*(檢查項目!$B$2:$B$500=""),0),0)),"⚠ 找不到項目")))</f>
        <v/>
      </c>
      <c r="J237" s="2">
        <f>IF(A237="","",IF(B237="","共用",IF(H237="Y","排除（"&amp;B237&amp;"）",IF(SUMPRODUCT(($A$2:$A$500=A237)*($C$2:$C$500=C237)*($D$2:$D$500=D237)*($B$2:$B$500=""))&gt;0,"覆蓋共用（"&amp;B237&amp;"）","單元新增（"&amp;B237&amp;"）"))))</f>
        <v/>
      </c>
      <c r="K237" s="2">
        <f>IF(A237="","",IF(H237="Y","—",IF(AND(F237&lt;&gt;"",G237&lt;&gt;""),F237&amp;" ~ "&amp;G237,IF(G237&lt;&gt;"","≤ "&amp;G237,IF(F237&lt;&gt;"","≥ "&amp;F237,"只記錄、不檢核")))))</f>
        <v/>
      </c>
      <c r="L237" s="2">
        <f>IF(A237="","",IF(TRIM(IF(SUMPRODUCT(($A$2:$A$500=A237)*($B$2:$B$500=B237)*($C$2:$C$500=C237)*($D$2:$D$500=D237))&gt;1,"⚠ 欄位名稱重複 ","")&amp;IF(AND(B237&lt;&gt;"",NOT(ISNUMBER(SEARCH("、"&amp;B237&amp;"、","、"&amp;IFERROR(INDEX(表單!$I$2:$I$500,MATCH(A237,表單!$A$2:$A$500,0)),"")&amp;"、")))),"⚠ 單元不在適用單元內 ","")&amp;IF(AND(H237="Y",B237=""),"⚠ 排除只能用在單元列 ","")&amp;IF(AND(H237="Y",B237&lt;&gt;"",SUMPRODUCT(($A$2:$A$500=A237)*($C$2:$C$500=C237)*($D$2:$D$500=D237)*($B$2:$B$500=""))=0),"⚠ 排除需對應共用欄位 ","")&amp;IF(AND(ISNUMBER(F237),ISNUMBER(G237),F237&gt;G237),"⚠ 下限大於上限 ","")&amp;IF(SUMPRODUCT((檢查項目!$A$2:$A$500=A237)*(檢查項目!$C$2:$C$500=C237)*(檢查項目!$G$2:$G$500="數值"))=0,"⚠ 該項目不是數值類型 ",""))="","✓",TRIM(IF(SUMPRODUCT(($A$2:$A$500=A237)*($B$2:$B$500=B237)*($C$2:$C$500=C237)*($D$2:$D$500=D237))&gt;1,"⚠ 欄位名稱重複 ","")&amp;IF(AND(B237&lt;&gt;"",NOT(ISNUMBER(SEARCH("、"&amp;B237&amp;"、","、"&amp;IFERROR(INDEX(表單!$I$2:$I$500,MATCH(A237,表單!$A$2:$A$500,0)),"")&amp;"、")))),"⚠ 單元不在適用單元內 ","")&amp;IF(AND(H237="Y",B237=""),"⚠ 排除只能用在單元列 ","")&amp;IF(AND(H237="Y",B237&lt;&gt;"",SUMPRODUCT(($A$2:$A$500=A237)*($C$2:$C$500=C237)*($D$2:$D$500=D237)*($B$2:$B$500=""))=0),"⚠ 排除需對應共用欄位 ","")&amp;IF(AND(ISNUMBER(F237),ISNUMBER(G237),F237&gt;G237),"⚠ 下限大於上限 ","")&amp;IF(SUMPRODUCT((檢查項目!$A$2:$A$500=A237)*(檢查項目!$C$2:$C$500=C237)*(檢查項目!$G$2:$G$500="數值"))=0,"⚠ 該項目不是數值類型 ",""))))</f>
        <v/>
      </c>
    </row>
    <row r="238">
      <c r="I238" s="2">
        <f>IF(A238="","",IFERROR(INDEX(檢查項目!$E$2:$E$500,MATCH(1,INDEX((檢查項目!$A$2:$A$500=A238)*(檢查項目!$C$2:$C$500=C238)*(檢查項目!$B$2:$B$500=B238),0),0)),IFERROR(INDEX(檢查項目!$E$2:$E$500,MATCH(1,INDEX((檢查項目!$A$2:$A$500=A238)*(檢查項目!$C$2:$C$500=C238)*(檢查項目!$B$2:$B$500=""),0),0)),"⚠ 找不到項目")))</f>
        <v/>
      </c>
      <c r="J238" s="2">
        <f>IF(A238="","",IF(B238="","共用",IF(H238="Y","排除（"&amp;B238&amp;"）",IF(SUMPRODUCT(($A$2:$A$500=A238)*($C$2:$C$500=C238)*($D$2:$D$500=D238)*($B$2:$B$500=""))&gt;0,"覆蓋共用（"&amp;B238&amp;"）","單元新增（"&amp;B238&amp;"）"))))</f>
        <v/>
      </c>
      <c r="K238" s="2">
        <f>IF(A238="","",IF(H238="Y","—",IF(AND(F238&lt;&gt;"",G238&lt;&gt;""),F238&amp;" ~ "&amp;G238,IF(G238&lt;&gt;"","≤ "&amp;G238,IF(F238&lt;&gt;"","≥ "&amp;F238,"只記錄、不檢核")))))</f>
        <v/>
      </c>
      <c r="L238" s="2">
        <f>IF(A238="","",IF(TRIM(IF(SUMPRODUCT(($A$2:$A$500=A238)*($B$2:$B$500=B238)*($C$2:$C$500=C238)*($D$2:$D$500=D238))&gt;1,"⚠ 欄位名稱重複 ","")&amp;IF(AND(B238&lt;&gt;"",NOT(ISNUMBER(SEARCH("、"&amp;B238&amp;"、","、"&amp;IFERROR(INDEX(表單!$I$2:$I$500,MATCH(A238,表單!$A$2:$A$500,0)),"")&amp;"、")))),"⚠ 單元不在適用單元內 ","")&amp;IF(AND(H238="Y",B238=""),"⚠ 排除只能用在單元列 ","")&amp;IF(AND(H238="Y",B238&lt;&gt;"",SUMPRODUCT(($A$2:$A$500=A238)*($C$2:$C$500=C238)*($D$2:$D$500=D238)*($B$2:$B$500=""))=0),"⚠ 排除需對應共用欄位 ","")&amp;IF(AND(ISNUMBER(F238),ISNUMBER(G238),F238&gt;G238),"⚠ 下限大於上限 ","")&amp;IF(SUMPRODUCT((檢查項目!$A$2:$A$500=A238)*(檢查項目!$C$2:$C$500=C238)*(檢查項目!$G$2:$G$500="數值"))=0,"⚠ 該項目不是數值類型 ",""))="","✓",TRIM(IF(SUMPRODUCT(($A$2:$A$500=A238)*($B$2:$B$500=B238)*($C$2:$C$500=C238)*($D$2:$D$500=D238))&gt;1,"⚠ 欄位名稱重複 ","")&amp;IF(AND(B238&lt;&gt;"",NOT(ISNUMBER(SEARCH("、"&amp;B238&amp;"、","、"&amp;IFERROR(INDEX(表單!$I$2:$I$500,MATCH(A238,表單!$A$2:$A$500,0)),"")&amp;"、")))),"⚠ 單元不在適用單元內 ","")&amp;IF(AND(H238="Y",B238=""),"⚠ 排除只能用在單元列 ","")&amp;IF(AND(H238="Y",B238&lt;&gt;"",SUMPRODUCT(($A$2:$A$500=A238)*($C$2:$C$500=C238)*($D$2:$D$500=D238)*($B$2:$B$500=""))=0),"⚠ 排除需對應共用欄位 ","")&amp;IF(AND(ISNUMBER(F238),ISNUMBER(G238),F238&gt;G238),"⚠ 下限大於上限 ","")&amp;IF(SUMPRODUCT((檢查項目!$A$2:$A$500=A238)*(檢查項目!$C$2:$C$500=C238)*(檢查項目!$G$2:$G$500="數值"))=0,"⚠ 該項目不是數值類型 ",""))))</f>
        <v/>
      </c>
    </row>
    <row r="239">
      <c r="I239" s="2">
        <f>IF(A239="","",IFERROR(INDEX(檢查項目!$E$2:$E$500,MATCH(1,INDEX((檢查項目!$A$2:$A$500=A239)*(檢查項目!$C$2:$C$500=C239)*(檢查項目!$B$2:$B$500=B239),0),0)),IFERROR(INDEX(檢查項目!$E$2:$E$500,MATCH(1,INDEX((檢查項目!$A$2:$A$500=A239)*(檢查項目!$C$2:$C$500=C239)*(檢查項目!$B$2:$B$500=""),0),0)),"⚠ 找不到項目")))</f>
        <v/>
      </c>
      <c r="J239" s="2">
        <f>IF(A239="","",IF(B239="","共用",IF(H239="Y","排除（"&amp;B239&amp;"）",IF(SUMPRODUCT(($A$2:$A$500=A239)*($C$2:$C$500=C239)*($D$2:$D$500=D239)*($B$2:$B$500=""))&gt;0,"覆蓋共用（"&amp;B239&amp;"）","單元新增（"&amp;B239&amp;"）"))))</f>
        <v/>
      </c>
      <c r="K239" s="2">
        <f>IF(A239="","",IF(H239="Y","—",IF(AND(F239&lt;&gt;"",G239&lt;&gt;""),F239&amp;" ~ "&amp;G239,IF(G239&lt;&gt;"","≤ "&amp;G239,IF(F239&lt;&gt;"","≥ "&amp;F239,"只記錄、不檢核")))))</f>
        <v/>
      </c>
      <c r="L239" s="2">
        <f>IF(A239="","",IF(TRIM(IF(SUMPRODUCT(($A$2:$A$500=A239)*($B$2:$B$500=B239)*($C$2:$C$500=C239)*($D$2:$D$500=D239))&gt;1,"⚠ 欄位名稱重複 ","")&amp;IF(AND(B239&lt;&gt;"",NOT(ISNUMBER(SEARCH("、"&amp;B239&amp;"、","、"&amp;IFERROR(INDEX(表單!$I$2:$I$500,MATCH(A239,表單!$A$2:$A$500,0)),"")&amp;"、")))),"⚠ 單元不在適用單元內 ","")&amp;IF(AND(H239="Y",B239=""),"⚠ 排除只能用在單元列 ","")&amp;IF(AND(H239="Y",B239&lt;&gt;"",SUMPRODUCT(($A$2:$A$500=A239)*($C$2:$C$500=C239)*($D$2:$D$500=D239)*($B$2:$B$500=""))=0),"⚠ 排除需對應共用欄位 ","")&amp;IF(AND(ISNUMBER(F239),ISNUMBER(G239),F239&gt;G239),"⚠ 下限大於上限 ","")&amp;IF(SUMPRODUCT((檢查項目!$A$2:$A$500=A239)*(檢查項目!$C$2:$C$500=C239)*(檢查項目!$G$2:$G$500="數值"))=0,"⚠ 該項目不是數值類型 ",""))="","✓",TRIM(IF(SUMPRODUCT(($A$2:$A$500=A239)*($B$2:$B$500=B239)*($C$2:$C$500=C239)*($D$2:$D$500=D239))&gt;1,"⚠ 欄位名稱重複 ","")&amp;IF(AND(B239&lt;&gt;"",NOT(ISNUMBER(SEARCH("、"&amp;B239&amp;"、","、"&amp;IFERROR(INDEX(表單!$I$2:$I$500,MATCH(A239,表單!$A$2:$A$500,0)),"")&amp;"、")))),"⚠ 單元不在適用單元內 ","")&amp;IF(AND(H239="Y",B239=""),"⚠ 排除只能用在單元列 ","")&amp;IF(AND(H239="Y",B239&lt;&gt;"",SUMPRODUCT(($A$2:$A$500=A239)*($C$2:$C$500=C239)*($D$2:$D$500=D239)*($B$2:$B$500=""))=0),"⚠ 排除需對應共用欄位 ","")&amp;IF(AND(ISNUMBER(F239),ISNUMBER(G239),F239&gt;G239),"⚠ 下限大於上限 ","")&amp;IF(SUMPRODUCT((檢查項目!$A$2:$A$500=A239)*(檢查項目!$C$2:$C$500=C239)*(檢查項目!$G$2:$G$500="數值"))=0,"⚠ 該項目不是數值類型 ",""))))</f>
        <v/>
      </c>
    </row>
    <row r="240">
      <c r="I240" s="2">
        <f>IF(A240="","",IFERROR(INDEX(檢查項目!$E$2:$E$500,MATCH(1,INDEX((檢查項目!$A$2:$A$500=A240)*(檢查項目!$C$2:$C$500=C240)*(檢查項目!$B$2:$B$500=B240),0),0)),IFERROR(INDEX(檢查項目!$E$2:$E$500,MATCH(1,INDEX((檢查項目!$A$2:$A$500=A240)*(檢查項目!$C$2:$C$500=C240)*(檢查項目!$B$2:$B$500=""),0),0)),"⚠ 找不到項目")))</f>
        <v/>
      </c>
      <c r="J240" s="2">
        <f>IF(A240="","",IF(B240="","共用",IF(H240="Y","排除（"&amp;B240&amp;"）",IF(SUMPRODUCT(($A$2:$A$500=A240)*($C$2:$C$500=C240)*($D$2:$D$500=D240)*($B$2:$B$500=""))&gt;0,"覆蓋共用（"&amp;B240&amp;"）","單元新增（"&amp;B240&amp;"）"))))</f>
        <v/>
      </c>
      <c r="K240" s="2">
        <f>IF(A240="","",IF(H240="Y","—",IF(AND(F240&lt;&gt;"",G240&lt;&gt;""),F240&amp;" ~ "&amp;G240,IF(G240&lt;&gt;"","≤ "&amp;G240,IF(F240&lt;&gt;"","≥ "&amp;F240,"只記錄、不檢核")))))</f>
        <v/>
      </c>
      <c r="L240" s="2">
        <f>IF(A240="","",IF(TRIM(IF(SUMPRODUCT(($A$2:$A$500=A240)*($B$2:$B$500=B240)*($C$2:$C$500=C240)*($D$2:$D$500=D240))&gt;1,"⚠ 欄位名稱重複 ","")&amp;IF(AND(B240&lt;&gt;"",NOT(ISNUMBER(SEARCH("、"&amp;B240&amp;"、","、"&amp;IFERROR(INDEX(表單!$I$2:$I$500,MATCH(A240,表單!$A$2:$A$500,0)),"")&amp;"、")))),"⚠ 單元不在適用單元內 ","")&amp;IF(AND(H240="Y",B240=""),"⚠ 排除只能用在單元列 ","")&amp;IF(AND(H240="Y",B240&lt;&gt;"",SUMPRODUCT(($A$2:$A$500=A240)*($C$2:$C$500=C240)*($D$2:$D$500=D240)*($B$2:$B$500=""))=0),"⚠ 排除需對應共用欄位 ","")&amp;IF(AND(ISNUMBER(F240),ISNUMBER(G240),F240&gt;G240),"⚠ 下限大於上限 ","")&amp;IF(SUMPRODUCT((檢查項目!$A$2:$A$500=A240)*(檢查項目!$C$2:$C$500=C240)*(檢查項目!$G$2:$G$500="數值"))=0,"⚠ 該項目不是數值類型 ",""))="","✓",TRIM(IF(SUMPRODUCT(($A$2:$A$500=A240)*($B$2:$B$500=B240)*($C$2:$C$500=C240)*($D$2:$D$500=D240))&gt;1,"⚠ 欄位名稱重複 ","")&amp;IF(AND(B240&lt;&gt;"",NOT(ISNUMBER(SEARCH("、"&amp;B240&amp;"、","、"&amp;IFERROR(INDEX(表單!$I$2:$I$500,MATCH(A240,表單!$A$2:$A$500,0)),"")&amp;"、")))),"⚠ 單元不在適用單元內 ","")&amp;IF(AND(H240="Y",B240=""),"⚠ 排除只能用在單元列 ","")&amp;IF(AND(H240="Y",B240&lt;&gt;"",SUMPRODUCT(($A$2:$A$500=A240)*($C$2:$C$500=C240)*($D$2:$D$500=D240)*($B$2:$B$500=""))=0),"⚠ 排除需對應共用欄位 ","")&amp;IF(AND(ISNUMBER(F240),ISNUMBER(G240),F240&gt;G240),"⚠ 下限大於上限 ","")&amp;IF(SUMPRODUCT((檢查項目!$A$2:$A$500=A240)*(檢查項目!$C$2:$C$500=C240)*(檢查項目!$G$2:$G$500="數值"))=0,"⚠ 該項目不是數值類型 ",""))))</f>
        <v/>
      </c>
    </row>
    <row r="241">
      <c r="I241" s="2">
        <f>IF(A241="","",IFERROR(INDEX(檢查項目!$E$2:$E$500,MATCH(1,INDEX((檢查項目!$A$2:$A$500=A241)*(檢查項目!$C$2:$C$500=C241)*(檢查項目!$B$2:$B$500=B241),0),0)),IFERROR(INDEX(檢查項目!$E$2:$E$500,MATCH(1,INDEX((檢查項目!$A$2:$A$500=A241)*(檢查項目!$C$2:$C$500=C241)*(檢查項目!$B$2:$B$500=""),0),0)),"⚠ 找不到項目")))</f>
        <v/>
      </c>
      <c r="J241" s="2">
        <f>IF(A241="","",IF(B241="","共用",IF(H241="Y","排除（"&amp;B241&amp;"）",IF(SUMPRODUCT(($A$2:$A$500=A241)*($C$2:$C$500=C241)*($D$2:$D$500=D241)*($B$2:$B$500=""))&gt;0,"覆蓋共用（"&amp;B241&amp;"）","單元新增（"&amp;B241&amp;"）"))))</f>
        <v/>
      </c>
      <c r="K241" s="2">
        <f>IF(A241="","",IF(H241="Y","—",IF(AND(F241&lt;&gt;"",G241&lt;&gt;""),F241&amp;" ~ "&amp;G241,IF(G241&lt;&gt;"","≤ "&amp;G241,IF(F241&lt;&gt;"","≥ "&amp;F241,"只記錄、不檢核")))))</f>
        <v/>
      </c>
      <c r="L241" s="2">
        <f>IF(A241="","",IF(TRIM(IF(SUMPRODUCT(($A$2:$A$500=A241)*($B$2:$B$500=B241)*($C$2:$C$500=C241)*($D$2:$D$500=D241))&gt;1,"⚠ 欄位名稱重複 ","")&amp;IF(AND(B241&lt;&gt;"",NOT(ISNUMBER(SEARCH("、"&amp;B241&amp;"、","、"&amp;IFERROR(INDEX(表單!$I$2:$I$500,MATCH(A241,表單!$A$2:$A$500,0)),"")&amp;"、")))),"⚠ 單元不在適用單元內 ","")&amp;IF(AND(H241="Y",B241=""),"⚠ 排除只能用在單元列 ","")&amp;IF(AND(H241="Y",B241&lt;&gt;"",SUMPRODUCT(($A$2:$A$500=A241)*($C$2:$C$500=C241)*($D$2:$D$500=D241)*($B$2:$B$500=""))=0),"⚠ 排除需對應共用欄位 ","")&amp;IF(AND(ISNUMBER(F241),ISNUMBER(G241),F241&gt;G241),"⚠ 下限大於上限 ","")&amp;IF(SUMPRODUCT((檢查項目!$A$2:$A$500=A241)*(檢查項目!$C$2:$C$500=C241)*(檢查項目!$G$2:$G$500="數值"))=0,"⚠ 該項目不是數值類型 ",""))="","✓",TRIM(IF(SUMPRODUCT(($A$2:$A$500=A241)*($B$2:$B$500=B241)*($C$2:$C$500=C241)*($D$2:$D$500=D241))&gt;1,"⚠ 欄位名稱重複 ","")&amp;IF(AND(B241&lt;&gt;"",NOT(ISNUMBER(SEARCH("、"&amp;B241&amp;"、","、"&amp;IFERROR(INDEX(表單!$I$2:$I$500,MATCH(A241,表單!$A$2:$A$500,0)),"")&amp;"、")))),"⚠ 單元不在適用單元內 ","")&amp;IF(AND(H241="Y",B241=""),"⚠ 排除只能用在單元列 ","")&amp;IF(AND(H241="Y",B241&lt;&gt;"",SUMPRODUCT(($A$2:$A$500=A241)*($C$2:$C$500=C241)*($D$2:$D$500=D241)*($B$2:$B$500=""))=0),"⚠ 排除需對應共用欄位 ","")&amp;IF(AND(ISNUMBER(F241),ISNUMBER(G241),F241&gt;G241),"⚠ 下限大於上限 ","")&amp;IF(SUMPRODUCT((檢查項目!$A$2:$A$500=A241)*(檢查項目!$C$2:$C$500=C241)*(檢查項目!$G$2:$G$500="數值"))=0,"⚠ 該項目不是數值類型 ",""))))</f>
        <v/>
      </c>
    </row>
    <row r="242">
      <c r="I242" s="2">
        <f>IF(A242="","",IFERROR(INDEX(檢查項目!$E$2:$E$500,MATCH(1,INDEX((檢查項目!$A$2:$A$500=A242)*(檢查項目!$C$2:$C$500=C242)*(檢查項目!$B$2:$B$500=B242),0),0)),IFERROR(INDEX(檢查項目!$E$2:$E$500,MATCH(1,INDEX((檢查項目!$A$2:$A$500=A242)*(檢查項目!$C$2:$C$500=C242)*(檢查項目!$B$2:$B$500=""),0),0)),"⚠ 找不到項目")))</f>
        <v/>
      </c>
      <c r="J242" s="2">
        <f>IF(A242="","",IF(B242="","共用",IF(H242="Y","排除（"&amp;B242&amp;"）",IF(SUMPRODUCT(($A$2:$A$500=A242)*($C$2:$C$500=C242)*($D$2:$D$500=D242)*($B$2:$B$500=""))&gt;0,"覆蓋共用（"&amp;B242&amp;"）","單元新增（"&amp;B242&amp;"）"))))</f>
        <v/>
      </c>
      <c r="K242" s="2">
        <f>IF(A242="","",IF(H242="Y","—",IF(AND(F242&lt;&gt;"",G242&lt;&gt;""),F242&amp;" ~ "&amp;G242,IF(G242&lt;&gt;"","≤ "&amp;G242,IF(F242&lt;&gt;"","≥ "&amp;F242,"只記錄、不檢核")))))</f>
        <v/>
      </c>
      <c r="L242" s="2">
        <f>IF(A242="","",IF(TRIM(IF(SUMPRODUCT(($A$2:$A$500=A242)*($B$2:$B$500=B242)*($C$2:$C$500=C242)*($D$2:$D$500=D242))&gt;1,"⚠ 欄位名稱重複 ","")&amp;IF(AND(B242&lt;&gt;"",NOT(ISNUMBER(SEARCH("、"&amp;B242&amp;"、","、"&amp;IFERROR(INDEX(表單!$I$2:$I$500,MATCH(A242,表單!$A$2:$A$500,0)),"")&amp;"、")))),"⚠ 單元不在適用單元內 ","")&amp;IF(AND(H242="Y",B242=""),"⚠ 排除只能用在單元列 ","")&amp;IF(AND(H242="Y",B242&lt;&gt;"",SUMPRODUCT(($A$2:$A$500=A242)*($C$2:$C$500=C242)*($D$2:$D$500=D242)*($B$2:$B$500=""))=0),"⚠ 排除需對應共用欄位 ","")&amp;IF(AND(ISNUMBER(F242),ISNUMBER(G242),F242&gt;G242),"⚠ 下限大於上限 ","")&amp;IF(SUMPRODUCT((檢查項目!$A$2:$A$500=A242)*(檢查項目!$C$2:$C$500=C242)*(檢查項目!$G$2:$G$500="數值"))=0,"⚠ 該項目不是數值類型 ",""))="","✓",TRIM(IF(SUMPRODUCT(($A$2:$A$500=A242)*($B$2:$B$500=B242)*($C$2:$C$500=C242)*($D$2:$D$500=D242))&gt;1,"⚠ 欄位名稱重複 ","")&amp;IF(AND(B242&lt;&gt;"",NOT(ISNUMBER(SEARCH("、"&amp;B242&amp;"、","、"&amp;IFERROR(INDEX(表單!$I$2:$I$500,MATCH(A242,表單!$A$2:$A$500,0)),"")&amp;"、")))),"⚠ 單元不在適用單元內 ","")&amp;IF(AND(H242="Y",B242=""),"⚠ 排除只能用在單元列 ","")&amp;IF(AND(H242="Y",B242&lt;&gt;"",SUMPRODUCT(($A$2:$A$500=A242)*($C$2:$C$500=C242)*($D$2:$D$500=D242)*($B$2:$B$500=""))=0),"⚠ 排除需對應共用欄位 ","")&amp;IF(AND(ISNUMBER(F242),ISNUMBER(G242),F242&gt;G242),"⚠ 下限大於上限 ","")&amp;IF(SUMPRODUCT((檢查項目!$A$2:$A$500=A242)*(檢查項目!$C$2:$C$500=C242)*(檢查項目!$G$2:$G$500="數值"))=0,"⚠ 該項目不是數值類型 ",""))))</f>
        <v/>
      </c>
    </row>
    <row r="243">
      <c r="I243" s="2">
        <f>IF(A243="","",IFERROR(INDEX(檢查項目!$E$2:$E$500,MATCH(1,INDEX((檢查項目!$A$2:$A$500=A243)*(檢查項目!$C$2:$C$500=C243)*(檢查項目!$B$2:$B$500=B243),0),0)),IFERROR(INDEX(檢查項目!$E$2:$E$500,MATCH(1,INDEX((檢查項目!$A$2:$A$500=A243)*(檢查項目!$C$2:$C$500=C243)*(檢查項目!$B$2:$B$500=""),0),0)),"⚠ 找不到項目")))</f>
        <v/>
      </c>
      <c r="J243" s="2">
        <f>IF(A243="","",IF(B243="","共用",IF(H243="Y","排除（"&amp;B243&amp;"）",IF(SUMPRODUCT(($A$2:$A$500=A243)*($C$2:$C$500=C243)*($D$2:$D$500=D243)*($B$2:$B$500=""))&gt;0,"覆蓋共用（"&amp;B243&amp;"）","單元新增（"&amp;B243&amp;"）"))))</f>
        <v/>
      </c>
      <c r="K243" s="2">
        <f>IF(A243="","",IF(H243="Y","—",IF(AND(F243&lt;&gt;"",G243&lt;&gt;""),F243&amp;" ~ "&amp;G243,IF(G243&lt;&gt;"","≤ "&amp;G243,IF(F243&lt;&gt;"","≥ "&amp;F243,"只記錄、不檢核")))))</f>
        <v/>
      </c>
      <c r="L243" s="2">
        <f>IF(A243="","",IF(TRIM(IF(SUMPRODUCT(($A$2:$A$500=A243)*($B$2:$B$500=B243)*($C$2:$C$500=C243)*($D$2:$D$500=D243))&gt;1,"⚠ 欄位名稱重複 ","")&amp;IF(AND(B243&lt;&gt;"",NOT(ISNUMBER(SEARCH("、"&amp;B243&amp;"、","、"&amp;IFERROR(INDEX(表單!$I$2:$I$500,MATCH(A243,表單!$A$2:$A$500,0)),"")&amp;"、")))),"⚠ 單元不在適用單元內 ","")&amp;IF(AND(H243="Y",B243=""),"⚠ 排除只能用在單元列 ","")&amp;IF(AND(H243="Y",B243&lt;&gt;"",SUMPRODUCT(($A$2:$A$500=A243)*($C$2:$C$500=C243)*($D$2:$D$500=D243)*($B$2:$B$500=""))=0),"⚠ 排除需對應共用欄位 ","")&amp;IF(AND(ISNUMBER(F243),ISNUMBER(G243),F243&gt;G243),"⚠ 下限大於上限 ","")&amp;IF(SUMPRODUCT((檢查項目!$A$2:$A$500=A243)*(檢查項目!$C$2:$C$500=C243)*(檢查項目!$G$2:$G$500="數值"))=0,"⚠ 該項目不是數值類型 ",""))="","✓",TRIM(IF(SUMPRODUCT(($A$2:$A$500=A243)*($B$2:$B$500=B243)*($C$2:$C$500=C243)*($D$2:$D$500=D243))&gt;1,"⚠ 欄位名稱重複 ","")&amp;IF(AND(B243&lt;&gt;"",NOT(ISNUMBER(SEARCH("、"&amp;B243&amp;"、","、"&amp;IFERROR(INDEX(表單!$I$2:$I$500,MATCH(A243,表單!$A$2:$A$500,0)),"")&amp;"、")))),"⚠ 單元不在適用單元內 ","")&amp;IF(AND(H243="Y",B243=""),"⚠ 排除只能用在單元列 ","")&amp;IF(AND(H243="Y",B243&lt;&gt;"",SUMPRODUCT(($A$2:$A$500=A243)*($C$2:$C$500=C243)*($D$2:$D$500=D243)*($B$2:$B$500=""))=0),"⚠ 排除需對應共用欄位 ","")&amp;IF(AND(ISNUMBER(F243),ISNUMBER(G243),F243&gt;G243),"⚠ 下限大於上限 ","")&amp;IF(SUMPRODUCT((檢查項目!$A$2:$A$500=A243)*(檢查項目!$C$2:$C$500=C243)*(檢查項目!$G$2:$G$500="數值"))=0,"⚠ 該項目不是數值類型 ",""))))</f>
        <v/>
      </c>
    </row>
    <row r="244">
      <c r="I244" s="2">
        <f>IF(A244="","",IFERROR(INDEX(檢查項目!$E$2:$E$500,MATCH(1,INDEX((檢查項目!$A$2:$A$500=A244)*(檢查項目!$C$2:$C$500=C244)*(檢查項目!$B$2:$B$500=B244),0),0)),IFERROR(INDEX(檢查項目!$E$2:$E$500,MATCH(1,INDEX((檢查項目!$A$2:$A$500=A244)*(檢查項目!$C$2:$C$500=C244)*(檢查項目!$B$2:$B$500=""),0),0)),"⚠ 找不到項目")))</f>
        <v/>
      </c>
      <c r="J244" s="2">
        <f>IF(A244="","",IF(B244="","共用",IF(H244="Y","排除（"&amp;B244&amp;"）",IF(SUMPRODUCT(($A$2:$A$500=A244)*($C$2:$C$500=C244)*($D$2:$D$500=D244)*($B$2:$B$500=""))&gt;0,"覆蓋共用（"&amp;B244&amp;"）","單元新增（"&amp;B244&amp;"）"))))</f>
        <v/>
      </c>
      <c r="K244" s="2">
        <f>IF(A244="","",IF(H244="Y","—",IF(AND(F244&lt;&gt;"",G244&lt;&gt;""),F244&amp;" ~ "&amp;G244,IF(G244&lt;&gt;"","≤ "&amp;G244,IF(F244&lt;&gt;"","≥ "&amp;F244,"只記錄、不檢核")))))</f>
        <v/>
      </c>
      <c r="L244" s="2">
        <f>IF(A244="","",IF(TRIM(IF(SUMPRODUCT(($A$2:$A$500=A244)*($B$2:$B$500=B244)*($C$2:$C$500=C244)*($D$2:$D$500=D244))&gt;1,"⚠ 欄位名稱重複 ","")&amp;IF(AND(B244&lt;&gt;"",NOT(ISNUMBER(SEARCH("、"&amp;B244&amp;"、","、"&amp;IFERROR(INDEX(表單!$I$2:$I$500,MATCH(A244,表單!$A$2:$A$500,0)),"")&amp;"、")))),"⚠ 單元不在適用單元內 ","")&amp;IF(AND(H244="Y",B244=""),"⚠ 排除只能用在單元列 ","")&amp;IF(AND(H244="Y",B244&lt;&gt;"",SUMPRODUCT(($A$2:$A$500=A244)*($C$2:$C$500=C244)*($D$2:$D$500=D244)*($B$2:$B$500=""))=0),"⚠ 排除需對應共用欄位 ","")&amp;IF(AND(ISNUMBER(F244),ISNUMBER(G244),F244&gt;G244),"⚠ 下限大於上限 ","")&amp;IF(SUMPRODUCT((檢查項目!$A$2:$A$500=A244)*(檢查項目!$C$2:$C$500=C244)*(檢查項目!$G$2:$G$500="數值"))=0,"⚠ 該項目不是數值類型 ",""))="","✓",TRIM(IF(SUMPRODUCT(($A$2:$A$500=A244)*($B$2:$B$500=B244)*($C$2:$C$500=C244)*($D$2:$D$500=D244))&gt;1,"⚠ 欄位名稱重複 ","")&amp;IF(AND(B244&lt;&gt;"",NOT(ISNUMBER(SEARCH("、"&amp;B244&amp;"、","、"&amp;IFERROR(INDEX(表單!$I$2:$I$500,MATCH(A244,表單!$A$2:$A$500,0)),"")&amp;"、")))),"⚠ 單元不在適用單元內 ","")&amp;IF(AND(H244="Y",B244=""),"⚠ 排除只能用在單元列 ","")&amp;IF(AND(H244="Y",B244&lt;&gt;"",SUMPRODUCT(($A$2:$A$500=A244)*($C$2:$C$500=C244)*($D$2:$D$500=D244)*($B$2:$B$500=""))=0),"⚠ 排除需對應共用欄位 ","")&amp;IF(AND(ISNUMBER(F244),ISNUMBER(G244),F244&gt;G244),"⚠ 下限大於上限 ","")&amp;IF(SUMPRODUCT((檢查項目!$A$2:$A$500=A244)*(檢查項目!$C$2:$C$500=C244)*(檢查項目!$G$2:$G$500="數值"))=0,"⚠ 該項目不是數值類型 ",""))))</f>
        <v/>
      </c>
    </row>
    <row r="245">
      <c r="I245" s="2">
        <f>IF(A245="","",IFERROR(INDEX(檢查項目!$E$2:$E$500,MATCH(1,INDEX((檢查項目!$A$2:$A$500=A245)*(檢查項目!$C$2:$C$500=C245)*(檢查項目!$B$2:$B$500=B245),0),0)),IFERROR(INDEX(檢查項目!$E$2:$E$500,MATCH(1,INDEX((檢查項目!$A$2:$A$500=A245)*(檢查項目!$C$2:$C$500=C245)*(檢查項目!$B$2:$B$500=""),0),0)),"⚠ 找不到項目")))</f>
        <v/>
      </c>
      <c r="J245" s="2">
        <f>IF(A245="","",IF(B245="","共用",IF(H245="Y","排除（"&amp;B245&amp;"）",IF(SUMPRODUCT(($A$2:$A$500=A245)*($C$2:$C$500=C245)*($D$2:$D$500=D245)*($B$2:$B$500=""))&gt;0,"覆蓋共用（"&amp;B245&amp;"）","單元新增（"&amp;B245&amp;"）"))))</f>
        <v/>
      </c>
      <c r="K245" s="2">
        <f>IF(A245="","",IF(H245="Y","—",IF(AND(F245&lt;&gt;"",G245&lt;&gt;""),F245&amp;" ~ "&amp;G245,IF(G245&lt;&gt;"","≤ "&amp;G245,IF(F245&lt;&gt;"","≥ "&amp;F245,"只記錄、不檢核")))))</f>
        <v/>
      </c>
      <c r="L245" s="2">
        <f>IF(A245="","",IF(TRIM(IF(SUMPRODUCT(($A$2:$A$500=A245)*($B$2:$B$500=B245)*($C$2:$C$500=C245)*($D$2:$D$500=D245))&gt;1,"⚠ 欄位名稱重複 ","")&amp;IF(AND(B245&lt;&gt;"",NOT(ISNUMBER(SEARCH("、"&amp;B245&amp;"、","、"&amp;IFERROR(INDEX(表單!$I$2:$I$500,MATCH(A245,表單!$A$2:$A$500,0)),"")&amp;"、")))),"⚠ 單元不在適用單元內 ","")&amp;IF(AND(H245="Y",B245=""),"⚠ 排除只能用在單元列 ","")&amp;IF(AND(H245="Y",B245&lt;&gt;"",SUMPRODUCT(($A$2:$A$500=A245)*($C$2:$C$500=C245)*($D$2:$D$500=D245)*($B$2:$B$500=""))=0),"⚠ 排除需對應共用欄位 ","")&amp;IF(AND(ISNUMBER(F245),ISNUMBER(G245),F245&gt;G245),"⚠ 下限大於上限 ","")&amp;IF(SUMPRODUCT((檢查項目!$A$2:$A$500=A245)*(檢查項目!$C$2:$C$500=C245)*(檢查項目!$G$2:$G$500="數值"))=0,"⚠ 該項目不是數值類型 ",""))="","✓",TRIM(IF(SUMPRODUCT(($A$2:$A$500=A245)*($B$2:$B$500=B245)*($C$2:$C$500=C245)*($D$2:$D$500=D245))&gt;1,"⚠ 欄位名稱重複 ","")&amp;IF(AND(B245&lt;&gt;"",NOT(ISNUMBER(SEARCH("、"&amp;B245&amp;"、","、"&amp;IFERROR(INDEX(表單!$I$2:$I$500,MATCH(A245,表單!$A$2:$A$500,0)),"")&amp;"、")))),"⚠ 單元不在適用單元內 ","")&amp;IF(AND(H245="Y",B245=""),"⚠ 排除只能用在單元列 ","")&amp;IF(AND(H245="Y",B245&lt;&gt;"",SUMPRODUCT(($A$2:$A$500=A245)*($C$2:$C$500=C245)*($D$2:$D$500=D245)*($B$2:$B$500=""))=0),"⚠ 排除需對應共用欄位 ","")&amp;IF(AND(ISNUMBER(F245),ISNUMBER(G245),F245&gt;G245),"⚠ 下限大於上限 ","")&amp;IF(SUMPRODUCT((檢查項目!$A$2:$A$500=A245)*(檢查項目!$C$2:$C$500=C245)*(檢查項目!$G$2:$G$500="數值"))=0,"⚠ 該項目不是數值類型 ",""))))</f>
        <v/>
      </c>
    </row>
    <row r="246">
      <c r="I246" s="2">
        <f>IF(A246="","",IFERROR(INDEX(檢查項目!$E$2:$E$500,MATCH(1,INDEX((檢查項目!$A$2:$A$500=A246)*(檢查項目!$C$2:$C$500=C246)*(檢查項目!$B$2:$B$500=B246),0),0)),IFERROR(INDEX(檢查項目!$E$2:$E$500,MATCH(1,INDEX((檢查項目!$A$2:$A$500=A246)*(檢查項目!$C$2:$C$500=C246)*(檢查項目!$B$2:$B$500=""),0),0)),"⚠ 找不到項目")))</f>
        <v/>
      </c>
      <c r="J246" s="2">
        <f>IF(A246="","",IF(B246="","共用",IF(H246="Y","排除（"&amp;B246&amp;"）",IF(SUMPRODUCT(($A$2:$A$500=A246)*($C$2:$C$500=C246)*($D$2:$D$500=D246)*($B$2:$B$500=""))&gt;0,"覆蓋共用（"&amp;B246&amp;"）","單元新增（"&amp;B246&amp;"）"))))</f>
        <v/>
      </c>
      <c r="K246" s="2">
        <f>IF(A246="","",IF(H246="Y","—",IF(AND(F246&lt;&gt;"",G246&lt;&gt;""),F246&amp;" ~ "&amp;G246,IF(G246&lt;&gt;"","≤ "&amp;G246,IF(F246&lt;&gt;"","≥ "&amp;F246,"只記錄、不檢核")))))</f>
        <v/>
      </c>
      <c r="L246" s="2">
        <f>IF(A246="","",IF(TRIM(IF(SUMPRODUCT(($A$2:$A$500=A246)*($B$2:$B$500=B246)*($C$2:$C$500=C246)*($D$2:$D$500=D246))&gt;1,"⚠ 欄位名稱重複 ","")&amp;IF(AND(B246&lt;&gt;"",NOT(ISNUMBER(SEARCH("、"&amp;B246&amp;"、","、"&amp;IFERROR(INDEX(表單!$I$2:$I$500,MATCH(A246,表單!$A$2:$A$500,0)),"")&amp;"、")))),"⚠ 單元不在適用單元內 ","")&amp;IF(AND(H246="Y",B246=""),"⚠ 排除只能用在單元列 ","")&amp;IF(AND(H246="Y",B246&lt;&gt;"",SUMPRODUCT(($A$2:$A$500=A246)*($C$2:$C$500=C246)*($D$2:$D$500=D246)*($B$2:$B$500=""))=0),"⚠ 排除需對應共用欄位 ","")&amp;IF(AND(ISNUMBER(F246),ISNUMBER(G246),F246&gt;G246),"⚠ 下限大於上限 ","")&amp;IF(SUMPRODUCT((檢查項目!$A$2:$A$500=A246)*(檢查項目!$C$2:$C$500=C246)*(檢查項目!$G$2:$G$500="數值"))=0,"⚠ 該項目不是數值類型 ",""))="","✓",TRIM(IF(SUMPRODUCT(($A$2:$A$500=A246)*($B$2:$B$500=B246)*($C$2:$C$500=C246)*($D$2:$D$500=D246))&gt;1,"⚠ 欄位名稱重複 ","")&amp;IF(AND(B246&lt;&gt;"",NOT(ISNUMBER(SEARCH("、"&amp;B246&amp;"、","、"&amp;IFERROR(INDEX(表單!$I$2:$I$500,MATCH(A246,表單!$A$2:$A$500,0)),"")&amp;"、")))),"⚠ 單元不在適用單元內 ","")&amp;IF(AND(H246="Y",B246=""),"⚠ 排除只能用在單元列 ","")&amp;IF(AND(H246="Y",B246&lt;&gt;"",SUMPRODUCT(($A$2:$A$500=A246)*($C$2:$C$500=C246)*($D$2:$D$500=D246)*($B$2:$B$500=""))=0),"⚠ 排除需對應共用欄位 ","")&amp;IF(AND(ISNUMBER(F246),ISNUMBER(G246),F246&gt;G246),"⚠ 下限大於上限 ","")&amp;IF(SUMPRODUCT((檢查項目!$A$2:$A$500=A246)*(檢查項目!$C$2:$C$500=C246)*(檢查項目!$G$2:$G$500="數值"))=0,"⚠ 該項目不是數值類型 ",""))))</f>
        <v/>
      </c>
    </row>
    <row r="247">
      <c r="I247" s="2">
        <f>IF(A247="","",IFERROR(INDEX(檢查項目!$E$2:$E$500,MATCH(1,INDEX((檢查項目!$A$2:$A$500=A247)*(檢查項目!$C$2:$C$500=C247)*(檢查項目!$B$2:$B$500=B247),0),0)),IFERROR(INDEX(檢查項目!$E$2:$E$500,MATCH(1,INDEX((檢查項目!$A$2:$A$500=A247)*(檢查項目!$C$2:$C$500=C247)*(檢查項目!$B$2:$B$500=""),0),0)),"⚠ 找不到項目")))</f>
        <v/>
      </c>
      <c r="J247" s="2">
        <f>IF(A247="","",IF(B247="","共用",IF(H247="Y","排除（"&amp;B247&amp;"）",IF(SUMPRODUCT(($A$2:$A$500=A247)*($C$2:$C$500=C247)*($D$2:$D$500=D247)*($B$2:$B$500=""))&gt;0,"覆蓋共用（"&amp;B247&amp;"）","單元新增（"&amp;B247&amp;"）"))))</f>
        <v/>
      </c>
      <c r="K247" s="2">
        <f>IF(A247="","",IF(H247="Y","—",IF(AND(F247&lt;&gt;"",G247&lt;&gt;""),F247&amp;" ~ "&amp;G247,IF(G247&lt;&gt;"","≤ "&amp;G247,IF(F247&lt;&gt;"","≥ "&amp;F247,"只記錄、不檢核")))))</f>
        <v/>
      </c>
      <c r="L247" s="2">
        <f>IF(A247="","",IF(TRIM(IF(SUMPRODUCT(($A$2:$A$500=A247)*($B$2:$B$500=B247)*($C$2:$C$500=C247)*($D$2:$D$500=D247))&gt;1,"⚠ 欄位名稱重複 ","")&amp;IF(AND(B247&lt;&gt;"",NOT(ISNUMBER(SEARCH("、"&amp;B247&amp;"、","、"&amp;IFERROR(INDEX(表單!$I$2:$I$500,MATCH(A247,表單!$A$2:$A$500,0)),"")&amp;"、")))),"⚠ 單元不在適用單元內 ","")&amp;IF(AND(H247="Y",B247=""),"⚠ 排除只能用在單元列 ","")&amp;IF(AND(H247="Y",B247&lt;&gt;"",SUMPRODUCT(($A$2:$A$500=A247)*($C$2:$C$500=C247)*($D$2:$D$500=D247)*($B$2:$B$500=""))=0),"⚠ 排除需對應共用欄位 ","")&amp;IF(AND(ISNUMBER(F247),ISNUMBER(G247),F247&gt;G247),"⚠ 下限大於上限 ","")&amp;IF(SUMPRODUCT((檢查項目!$A$2:$A$500=A247)*(檢查項目!$C$2:$C$500=C247)*(檢查項目!$G$2:$G$500="數值"))=0,"⚠ 該項目不是數值類型 ",""))="","✓",TRIM(IF(SUMPRODUCT(($A$2:$A$500=A247)*($B$2:$B$500=B247)*($C$2:$C$500=C247)*($D$2:$D$500=D247))&gt;1,"⚠ 欄位名稱重複 ","")&amp;IF(AND(B247&lt;&gt;"",NOT(ISNUMBER(SEARCH("、"&amp;B247&amp;"、","、"&amp;IFERROR(INDEX(表單!$I$2:$I$500,MATCH(A247,表單!$A$2:$A$500,0)),"")&amp;"、")))),"⚠ 單元不在適用單元內 ","")&amp;IF(AND(H247="Y",B247=""),"⚠ 排除只能用在單元列 ","")&amp;IF(AND(H247="Y",B247&lt;&gt;"",SUMPRODUCT(($A$2:$A$500=A247)*($C$2:$C$500=C247)*($D$2:$D$500=D247)*($B$2:$B$500=""))=0),"⚠ 排除需對應共用欄位 ","")&amp;IF(AND(ISNUMBER(F247),ISNUMBER(G247),F247&gt;G247),"⚠ 下限大於上限 ","")&amp;IF(SUMPRODUCT((檢查項目!$A$2:$A$500=A247)*(檢查項目!$C$2:$C$500=C247)*(檢查項目!$G$2:$G$500="數值"))=0,"⚠ 該項目不是數值類型 ",""))))</f>
        <v/>
      </c>
    </row>
    <row r="248">
      <c r="I248" s="2">
        <f>IF(A248="","",IFERROR(INDEX(檢查項目!$E$2:$E$500,MATCH(1,INDEX((檢查項目!$A$2:$A$500=A248)*(檢查項目!$C$2:$C$500=C248)*(檢查項目!$B$2:$B$500=B248),0),0)),IFERROR(INDEX(檢查項目!$E$2:$E$500,MATCH(1,INDEX((檢查項目!$A$2:$A$500=A248)*(檢查項目!$C$2:$C$500=C248)*(檢查項目!$B$2:$B$500=""),0),0)),"⚠ 找不到項目")))</f>
        <v/>
      </c>
      <c r="J248" s="2">
        <f>IF(A248="","",IF(B248="","共用",IF(H248="Y","排除（"&amp;B248&amp;"）",IF(SUMPRODUCT(($A$2:$A$500=A248)*($C$2:$C$500=C248)*($D$2:$D$500=D248)*($B$2:$B$500=""))&gt;0,"覆蓋共用（"&amp;B248&amp;"）","單元新增（"&amp;B248&amp;"）"))))</f>
        <v/>
      </c>
      <c r="K248" s="2">
        <f>IF(A248="","",IF(H248="Y","—",IF(AND(F248&lt;&gt;"",G248&lt;&gt;""),F248&amp;" ~ "&amp;G248,IF(G248&lt;&gt;"","≤ "&amp;G248,IF(F248&lt;&gt;"","≥ "&amp;F248,"只記錄、不檢核")))))</f>
        <v/>
      </c>
      <c r="L248" s="2">
        <f>IF(A248="","",IF(TRIM(IF(SUMPRODUCT(($A$2:$A$500=A248)*($B$2:$B$500=B248)*($C$2:$C$500=C248)*($D$2:$D$500=D248))&gt;1,"⚠ 欄位名稱重複 ","")&amp;IF(AND(B248&lt;&gt;"",NOT(ISNUMBER(SEARCH("、"&amp;B248&amp;"、","、"&amp;IFERROR(INDEX(表單!$I$2:$I$500,MATCH(A248,表單!$A$2:$A$500,0)),"")&amp;"、")))),"⚠ 單元不在適用單元內 ","")&amp;IF(AND(H248="Y",B248=""),"⚠ 排除只能用在單元列 ","")&amp;IF(AND(H248="Y",B248&lt;&gt;"",SUMPRODUCT(($A$2:$A$500=A248)*($C$2:$C$500=C248)*($D$2:$D$500=D248)*($B$2:$B$500=""))=0),"⚠ 排除需對應共用欄位 ","")&amp;IF(AND(ISNUMBER(F248),ISNUMBER(G248),F248&gt;G248),"⚠ 下限大於上限 ","")&amp;IF(SUMPRODUCT((檢查項目!$A$2:$A$500=A248)*(檢查項目!$C$2:$C$500=C248)*(檢查項目!$G$2:$G$500="數值"))=0,"⚠ 該項目不是數值類型 ",""))="","✓",TRIM(IF(SUMPRODUCT(($A$2:$A$500=A248)*($B$2:$B$500=B248)*($C$2:$C$500=C248)*($D$2:$D$500=D248))&gt;1,"⚠ 欄位名稱重複 ","")&amp;IF(AND(B248&lt;&gt;"",NOT(ISNUMBER(SEARCH("、"&amp;B248&amp;"、","、"&amp;IFERROR(INDEX(表單!$I$2:$I$500,MATCH(A248,表單!$A$2:$A$500,0)),"")&amp;"、")))),"⚠ 單元不在適用單元內 ","")&amp;IF(AND(H248="Y",B248=""),"⚠ 排除只能用在單元列 ","")&amp;IF(AND(H248="Y",B248&lt;&gt;"",SUMPRODUCT(($A$2:$A$500=A248)*($C$2:$C$500=C248)*($D$2:$D$500=D248)*($B$2:$B$500=""))=0),"⚠ 排除需對應共用欄位 ","")&amp;IF(AND(ISNUMBER(F248),ISNUMBER(G248),F248&gt;G248),"⚠ 下限大於上限 ","")&amp;IF(SUMPRODUCT((檢查項目!$A$2:$A$500=A248)*(檢查項目!$C$2:$C$500=C248)*(檢查項目!$G$2:$G$500="數值"))=0,"⚠ 該項目不是數值類型 ",""))))</f>
        <v/>
      </c>
    </row>
    <row r="249">
      <c r="I249" s="2">
        <f>IF(A249="","",IFERROR(INDEX(檢查項目!$E$2:$E$500,MATCH(1,INDEX((檢查項目!$A$2:$A$500=A249)*(檢查項目!$C$2:$C$500=C249)*(檢查項目!$B$2:$B$500=B249),0),0)),IFERROR(INDEX(檢查項目!$E$2:$E$500,MATCH(1,INDEX((檢查項目!$A$2:$A$500=A249)*(檢查項目!$C$2:$C$500=C249)*(檢查項目!$B$2:$B$500=""),0),0)),"⚠ 找不到項目")))</f>
        <v/>
      </c>
      <c r="J249" s="2">
        <f>IF(A249="","",IF(B249="","共用",IF(H249="Y","排除（"&amp;B249&amp;"）",IF(SUMPRODUCT(($A$2:$A$500=A249)*($C$2:$C$500=C249)*($D$2:$D$500=D249)*($B$2:$B$500=""))&gt;0,"覆蓋共用（"&amp;B249&amp;"）","單元新增（"&amp;B249&amp;"）"))))</f>
        <v/>
      </c>
      <c r="K249" s="2">
        <f>IF(A249="","",IF(H249="Y","—",IF(AND(F249&lt;&gt;"",G249&lt;&gt;""),F249&amp;" ~ "&amp;G249,IF(G249&lt;&gt;"","≤ "&amp;G249,IF(F249&lt;&gt;"","≥ "&amp;F249,"只記錄、不檢核")))))</f>
        <v/>
      </c>
      <c r="L249" s="2">
        <f>IF(A249="","",IF(TRIM(IF(SUMPRODUCT(($A$2:$A$500=A249)*($B$2:$B$500=B249)*($C$2:$C$500=C249)*($D$2:$D$500=D249))&gt;1,"⚠ 欄位名稱重複 ","")&amp;IF(AND(B249&lt;&gt;"",NOT(ISNUMBER(SEARCH("、"&amp;B249&amp;"、","、"&amp;IFERROR(INDEX(表單!$I$2:$I$500,MATCH(A249,表單!$A$2:$A$500,0)),"")&amp;"、")))),"⚠ 單元不在適用單元內 ","")&amp;IF(AND(H249="Y",B249=""),"⚠ 排除只能用在單元列 ","")&amp;IF(AND(H249="Y",B249&lt;&gt;"",SUMPRODUCT(($A$2:$A$500=A249)*($C$2:$C$500=C249)*($D$2:$D$500=D249)*($B$2:$B$500=""))=0),"⚠ 排除需對應共用欄位 ","")&amp;IF(AND(ISNUMBER(F249),ISNUMBER(G249),F249&gt;G249),"⚠ 下限大於上限 ","")&amp;IF(SUMPRODUCT((檢查項目!$A$2:$A$500=A249)*(檢查項目!$C$2:$C$500=C249)*(檢查項目!$G$2:$G$500="數值"))=0,"⚠ 該項目不是數值類型 ",""))="","✓",TRIM(IF(SUMPRODUCT(($A$2:$A$500=A249)*($B$2:$B$500=B249)*($C$2:$C$500=C249)*($D$2:$D$500=D249))&gt;1,"⚠ 欄位名稱重複 ","")&amp;IF(AND(B249&lt;&gt;"",NOT(ISNUMBER(SEARCH("、"&amp;B249&amp;"、","、"&amp;IFERROR(INDEX(表單!$I$2:$I$500,MATCH(A249,表單!$A$2:$A$500,0)),"")&amp;"、")))),"⚠ 單元不在適用單元內 ","")&amp;IF(AND(H249="Y",B249=""),"⚠ 排除只能用在單元列 ","")&amp;IF(AND(H249="Y",B249&lt;&gt;"",SUMPRODUCT(($A$2:$A$500=A249)*($C$2:$C$500=C249)*($D$2:$D$500=D249)*($B$2:$B$500=""))=0),"⚠ 排除需對應共用欄位 ","")&amp;IF(AND(ISNUMBER(F249),ISNUMBER(G249),F249&gt;G249),"⚠ 下限大於上限 ","")&amp;IF(SUMPRODUCT((檢查項目!$A$2:$A$500=A249)*(檢查項目!$C$2:$C$500=C249)*(檢查項目!$G$2:$G$500="數值"))=0,"⚠ 該項目不是數值類型 ",""))))</f>
        <v/>
      </c>
    </row>
    <row r="250">
      <c r="I250" s="2">
        <f>IF(A250="","",IFERROR(INDEX(檢查項目!$E$2:$E$500,MATCH(1,INDEX((檢查項目!$A$2:$A$500=A250)*(檢查項目!$C$2:$C$500=C250)*(檢查項目!$B$2:$B$500=B250),0),0)),IFERROR(INDEX(檢查項目!$E$2:$E$500,MATCH(1,INDEX((檢查項目!$A$2:$A$500=A250)*(檢查項目!$C$2:$C$500=C250)*(檢查項目!$B$2:$B$500=""),0),0)),"⚠ 找不到項目")))</f>
        <v/>
      </c>
      <c r="J250" s="2">
        <f>IF(A250="","",IF(B250="","共用",IF(H250="Y","排除（"&amp;B250&amp;"）",IF(SUMPRODUCT(($A$2:$A$500=A250)*($C$2:$C$500=C250)*($D$2:$D$500=D250)*($B$2:$B$500=""))&gt;0,"覆蓋共用（"&amp;B250&amp;"）","單元新增（"&amp;B250&amp;"）"))))</f>
        <v/>
      </c>
      <c r="K250" s="2">
        <f>IF(A250="","",IF(H250="Y","—",IF(AND(F250&lt;&gt;"",G250&lt;&gt;""),F250&amp;" ~ "&amp;G250,IF(G250&lt;&gt;"","≤ "&amp;G250,IF(F250&lt;&gt;"","≥ "&amp;F250,"只記錄、不檢核")))))</f>
        <v/>
      </c>
      <c r="L250" s="2">
        <f>IF(A250="","",IF(TRIM(IF(SUMPRODUCT(($A$2:$A$500=A250)*($B$2:$B$500=B250)*($C$2:$C$500=C250)*($D$2:$D$500=D250))&gt;1,"⚠ 欄位名稱重複 ","")&amp;IF(AND(B250&lt;&gt;"",NOT(ISNUMBER(SEARCH("、"&amp;B250&amp;"、","、"&amp;IFERROR(INDEX(表單!$I$2:$I$500,MATCH(A250,表單!$A$2:$A$500,0)),"")&amp;"、")))),"⚠ 單元不在適用單元內 ","")&amp;IF(AND(H250="Y",B250=""),"⚠ 排除只能用在單元列 ","")&amp;IF(AND(H250="Y",B250&lt;&gt;"",SUMPRODUCT(($A$2:$A$500=A250)*($C$2:$C$500=C250)*($D$2:$D$500=D250)*($B$2:$B$500=""))=0),"⚠ 排除需對應共用欄位 ","")&amp;IF(AND(ISNUMBER(F250),ISNUMBER(G250),F250&gt;G250),"⚠ 下限大於上限 ","")&amp;IF(SUMPRODUCT((檢查項目!$A$2:$A$500=A250)*(檢查項目!$C$2:$C$500=C250)*(檢查項目!$G$2:$G$500="數值"))=0,"⚠ 該項目不是數值類型 ",""))="","✓",TRIM(IF(SUMPRODUCT(($A$2:$A$500=A250)*($B$2:$B$500=B250)*($C$2:$C$500=C250)*($D$2:$D$500=D250))&gt;1,"⚠ 欄位名稱重複 ","")&amp;IF(AND(B250&lt;&gt;"",NOT(ISNUMBER(SEARCH("、"&amp;B250&amp;"、","、"&amp;IFERROR(INDEX(表單!$I$2:$I$500,MATCH(A250,表單!$A$2:$A$500,0)),"")&amp;"、")))),"⚠ 單元不在適用單元內 ","")&amp;IF(AND(H250="Y",B250=""),"⚠ 排除只能用在單元列 ","")&amp;IF(AND(H250="Y",B250&lt;&gt;"",SUMPRODUCT(($A$2:$A$500=A250)*($C$2:$C$500=C250)*($D$2:$D$500=D250)*($B$2:$B$500=""))=0),"⚠ 排除需對應共用欄位 ","")&amp;IF(AND(ISNUMBER(F250),ISNUMBER(G250),F250&gt;G250),"⚠ 下限大於上限 ","")&amp;IF(SUMPRODUCT((檢查項目!$A$2:$A$500=A250)*(檢查項目!$C$2:$C$500=C250)*(檢查項目!$G$2:$G$500="數值"))=0,"⚠ 該項目不是數值類型 ",""))))</f>
        <v/>
      </c>
    </row>
    <row r="251">
      <c r="I251" s="2">
        <f>IF(A251="","",IFERROR(INDEX(檢查項目!$E$2:$E$500,MATCH(1,INDEX((檢查項目!$A$2:$A$500=A251)*(檢查項目!$C$2:$C$500=C251)*(檢查項目!$B$2:$B$500=B251),0),0)),IFERROR(INDEX(檢查項目!$E$2:$E$500,MATCH(1,INDEX((檢查項目!$A$2:$A$500=A251)*(檢查項目!$C$2:$C$500=C251)*(檢查項目!$B$2:$B$500=""),0),0)),"⚠ 找不到項目")))</f>
        <v/>
      </c>
      <c r="J251" s="2">
        <f>IF(A251="","",IF(B251="","共用",IF(H251="Y","排除（"&amp;B251&amp;"）",IF(SUMPRODUCT(($A$2:$A$500=A251)*($C$2:$C$500=C251)*($D$2:$D$500=D251)*($B$2:$B$500=""))&gt;0,"覆蓋共用（"&amp;B251&amp;"）","單元新增（"&amp;B251&amp;"）"))))</f>
        <v/>
      </c>
      <c r="K251" s="2">
        <f>IF(A251="","",IF(H251="Y","—",IF(AND(F251&lt;&gt;"",G251&lt;&gt;""),F251&amp;" ~ "&amp;G251,IF(G251&lt;&gt;"","≤ "&amp;G251,IF(F251&lt;&gt;"","≥ "&amp;F251,"只記錄、不檢核")))))</f>
        <v/>
      </c>
      <c r="L251" s="2">
        <f>IF(A251="","",IF(TRIM(IF(SUMPRODUCT(($A$2:$A$500=A251)*($B$2:$B$500=B251)*($C$2:$C$500=C251)*($D$2:$D$500=D251))&gt;1,"⚠ 欄位名稱重複 ","")&amp;IF(AND(B251&lt;&gt;"",NOT(ISNUMBER(SEARCH("、"&amp;B251&amp;"、","、"&amp;IFERROR(INDEX(表單!$I$2:$I$500,MATCH(A251,表單!$A$2:$A$500,0)),"")&amp;"、")))),"⚠ 單元不在適用單元內 ","")&amp;IF(AND(H251="Y",B251=""),"⚠ 排除只能用在單元列 ","")&amp;IF(AND(H251="Y",B251&lt;&gt;"",SUMPRODUCT(($A$2:$A$500=A251)*($C$2:$C$500=C251)*($D$2:$D$500=D251)*($B$2:$B$500=""))=0),"⚠ 排除需對應共用欄位 ","")&amp;IF(AND(ISNUMBER(F251),ISNUMBER(G251),F251&gt;G251),"⚠ 下限大於上限 ","")&amp;IF(SUMPRODUCT((檢查項目!$A$2:$A$500=A251)*(檢查項目!$C$2:$C$500=C251)*(檢查項目!$G$2:$G$500="數值"))=0,"⚠ 該項目不是數值類型 ",""))="","✓",TRIM(IF(SUMPRODUCT(($A$2:$A$500=A251)*($B$2:$B$500=B251)*($C$2:$C$500=C251)*($D$2:$D$500=D251))&gt;1,"⚠ 欄位名稱重複 ","")&amp;IF(AND(B251&lt;&gt;"",NOT(ISNUMBER(SEARCH("、"&amp;B251&amp;"、","、"&amp;IFERROR(INDEX(表單!$I$2:$I$500,MATCH(A251,表單!$A$2:$A$500,0)),"")&amp;"、")))),"⚠ 單元不在適用單元內 ","")&amp;IF(AND(H251="Y",B251=""),"⚠ 排除只能用在單元列 ","")&amp;IF(AND(H251="Y",B251&lt;&gt;"",SUMPRODUCT(($A$2:$A$500=A251)*($C$2:$C$500=C251)*($D$2:$D$500=D251)*($B$2:$B$500=""))=0),"⚠ 排除需對應共用欄位 ","")&amp;IF(AND(ISNUMBER(F251),ISNUMBER(G251),F251&gt;G251),"⚠ 下限大於上限 ","")&amp;IF(SUMPRODUCT((檢查項目!$A$2:$A$500=A251)*(檢查項目!$C$2:$C$500=C251)*(檢查項目!$G$2:$G$500="數值"))=0,"⚠ 該項目不是數值類型 ",""))))</f>
        <v/>
      </c>
    </row>
    <row r="252">
      <c r="I252" s="2">
        <f>IF(A252="","",IFERROR(INDEX(檢查項目!$E$2:$E$500,MATCH(1,INDEX((檢查項目!$A$2:$A$500=A252)*(檢查項目!$C$2:$C$500=C252)*(檢查項目!$B$2:$B$500=B252),0),0)),IFERROR(INDEX(檢查項目!$E$2:$E$500,MATCH(1,INDEX((檢查項目!$A$2:$A$500=A252)*(檢查項目!$C$2:$C$500=C252)*(檢查項目!$B$2:$B$500=""),0),0)),"⚠ 找不到項目")))</f>
        <v/>
      </c>
      <c r="J252" s="2">
        <f>IF(A252="","",IF(B252="","共用",IF(H252="Y","排除（"&amp;B252&amp;"）",IF(SUMPRODUCT(($A$2:$A$500=A252)*($C$2:$C$500=C252)*($D$2:$D$500=D252)*($B$2:$B$500=""))&gt;0,"覆蓋共用（"&amp;B252&amp;"）","單元新增（"&amp;B252&amp;"）"))))</f>
        <v/>
      </c>
      <c r="K252" s="2">
        <f>IF(A252="","",IF(H252="Y","—",IF(AND(F252&lt;&gt;"",G252&lt;&gt;""),F252&amp;" ~ "&amp;G252,IF(G252&lt;&gt;"","≤ "&amp;G252,IF(F252&lt;&gt;"","≥ "&amp;F252,"只記錄、不檢核")))))</f>
        <v/>
      </c>
      <c r="L252" s="2">
        <f>IF(A252="","",IF(TRIM(IF(SUMPRODUCT(($A$2:$A$500=A252)*($B$2:$B$500=B252)*($C$2:$C$500=C252)*($D$2:$D$500=D252))&gt;1,"⚠ 欄位名稱重複 ","")&amp;IF(AND(B252&lt;&gt;"",NOT(ISNUMBER(SEARCH("、"&amp;B252&amp;"、","、"&amp;IFERROR(INDEX(表單!$I$2:$I$500,MATCH(A252,表單!$A$2:$A$500,0)),"")&amp;"、")))),"⚠ 單元不在適用單元內 ","")&amp;IF(AND(H252="Y",B252=""),"⚠ 排除只能用在單元列 ","")&amp;IF(AND(H252="Y",B252&lt;&gt;"",SUMPRODUCT(($A$2:$A$500=A252)*($C$2:$C$500=C252)*($D$2:$D$500=D252)*($B$2:$B$500=""))=0),"⚠ 排除需對應共用欄位 ","")&amp;IF(AND(ISNUMBER(F252),ISNUMBER(G252),F252&gt;G252),"⚠ 下限大於上限 ","")&amp;IF(SUMPRODUCT((檢查項目!$A$2:$A$500=A252)*(檢查項目!$C$2:$C$500=C252)*(檢查項目!$G$2:$G$500="數值"))=0,"⚠ 該項目不是數值類型 ",""))="","✓",TRIM(IF(SUMPRODUCT(($A$2:$A$500=A252)*($B$2:$B$500=B252)*($C$2:$C$500=C252)*($D$2:$D$500=D252))&gt;1,"⚠ 欄位名稱重複 ","")&amp;IF(AND(B252&lt;&gt;"",NOT(ISNUMBER(SEARCH("、"&amp;B252&amp;"、","、"&amp;IFERROR(INDEX(表單!$I$2:$I$500,MATCH(A252,表單!$A$2:$A$500,0)),"")&amp;"、")))),"⚠ 單元不在適用單元內 ","")&amp;IF(AND(H252="Y",B252=""),"⚠ 排除只能用在單元列 ","")&amp;IF(AND(H252="Y",B252&lt;&gt;"",SUMPRODUCT(($A$2:$A$500=A252)*($C$2:$C$500=C252)*($D$2:$D$500=D252)*($B$2:$B$500=""))=0),"⚠ 排除需對應共用欄位 ","")&amp;IF(AND(ISNUMBER(F252),ISNUMBER(G252),F252&gt;G252),"⚠ 下限大於上限 ","")&amp;IF(SUMPRODUCT((檢查項目!$A$2:$A$500=A252)*(檢查項目!$C$2:$C$500=C252)*(檢查項目!$G$2:$G$500="數值"))=0,"⚠ 該項目不是數值類型 ",""))))</f>
        <v/>
      </c>
    </row>
    <row r="253">
      <c r="I253" s="2">
        <f>IF(A253="","",IFERROR(INDEX(檢查項目!$E$2:$E$500,MATCH(1,INDEX((檢查項目!$A$2:$A$500=A253)*(檢查項目!$C$2:$C$500=C253)*(檢查項目!$B$2:$B$500=B253),0),0)),IFERROR(INDEX(檢查項目!$E$2:$E$500,MATCH(1,INDEX((檢查項目!$A$2:$A$500=A253)*(檢查項目!$C$2:$C$500=C253)*(檢查項目!$B$2:$B$500=""),0),0)),"⚠ 找不到項目")))</f>
        <v/>
      </c>
      <c r="J253" s="2">
        <f>IF(A253="","",IF(B253="","共用",IF(H253="Y","排除（"&amp;B253&amp;"）",IF(SUMPRODUCT(($A$2:$A$500=A253)*($C$2:$C$500=C253)*($D$2:$D$500=D253)*($B$2:$B$500=""))&gt;0,"覆蓋共用（"&amp;B253&amp;"）","單元新增（"&amp;B253&amp;"）"))))</f>
        <v/>
      </c>
      <c r="K253" s="2">
        <f>IF(A253="","",IF(H253="Y","—",IF(AND(F253&lt;&gt;"",G253&lt;&gt;""),F253&amp;" ~ "&amp;G253,IF(G253&lt;&gt;"","≤ "&amp;G253,IF(F253&lt;&gt;"","≥ "&amp;F253,"只記錄、不檢核")))))</f>
        <v/>
      </c>
      <c r="L253" s="2">
        <f>IF(A253="","",IF(TRIM(IF(SUMPRODUCT(($A$2:$A$500=A253)*($B$2:$B$500=B253)*($C$2:$C$500=C253)*($D$2:$D$500=D253))&gt;1,"⚠ 欄位名稱重複 ","")&amp;IF(AND(B253&lt;&gt;"",NOT(ISNUMBER(SEARCH("、"&amp;B253&amp;"、","、"&amp;IFERROR(INDEX(表單!$I$2:$I$500,MATCH(A253,表單!$A$2:$A$500,0)),"")&amp;"、")))),"⚠ 單元不在適用單元內 ","")&amp;IF(AND(H253="Y",B253=""),"⚠ 排除只能用在單元列 ","")&amp;IF(AND(H253="Y",B253&lt;&gt;"",SUMPRODUCT(($A$2:$A$500=A253)*($C$2:$C$500=C253)*($D$2:$D$500=D253)*($B$2:$B$500=""))=0),"⚠ 排除需對應共用欄位 ","")&amp;IF(AND(ISNUMBER(F253),ISNUMBER(G253),F253&gt;G253),"⚠ 下限大於上限 ","")&amp;IF(SUMPRODUCT((檢查項目!$A$2:$A$500=A253)*(檢查項目!$C$2:$C$500=C253)*(檢查項目!$G$2:$G$500="數值"))=0,"⚠ 該項目不是數值類型 ",""))="","✓",TRIM(IF(SUMPRODUCT(($A$2:$A$500=A253)*($B$2:$B$500=B253)*($C$2:$C$500=C253)*($D$2:$D$500=D253))&gt;1,"⚠ 欄位名稱重複 ","")&amp;IF(AND(B253&lt;&gt;"",NOT(ISNUMBER(SEARCH("、"&amp;B253&amp;"、","、"&amp;IFERROR(INDEX(表單!$I$2:$I$500,MATCH(A253,表單!$A$2:$A$500,0)),"")&amp;"、")))),"⚠ 單元不在適用單元內 ","")&amp;IF(AND(H253="Y",B253=""),"⚠ 排除只能用在單元列 ","")&amp;IF(AND(H253="Y",B253&lt;&gt;"",SUMPRODUCT(($A$2:$A$500=A253)*($C$2:$C$500=C253)*($D$2:$D$500=D253)*($B$2:$B$500=""))=0),"⚠ 排除需對應共用欄位 ","")&amp;IF(AND(ISNUMBER(F253),ISNUMBER(G253),F253&gt;G253),"⚠ 下限大於上限 ","")&amp;IF(SUMPRODUCT((檢查項目!$A$2:$A$500=A253)*(檢查項目!$C$2:$C$500=C253)*(檢查項目!$G$2:$G$500="數值"))=0,"⚠ 該項目不是數值類型 ",""))))</f>
        <v/>
      </c>
    </row>
    <row r="254">
      <c r="I254" s="2">
        <f>IF(A254="","",IFERROR(INDEX(檢查項目!$E$2:$E$500,MATCH(1,INDEX((檢查項目!$A$2:$A$500=A254)*(檢查項目!$C$2:$C$500=C254)*(檢查項目!$B$2:$B$500=B254),0),0)),IFERROR(INDEX(檢查項目!$E$2:$E$500,MATCH(1,INDEX((檢查項目!$A$2:$A$500=A254)*(檢查項目!$C$2:$C$500=C254)*(檢查項目!$B$2:$B$500=""),0),0)),"⚠ 找不到項目")))</f>
        <v/>
      </c>
      <c r="J254" s="2">
        <f>IF(A254="","",IF(B254="","共用",IF(H254="Y","排除（"&amp;B254&amp;"）",IF(SUMPRODUCT(($A$2:$A$500=A254)*($C$2:$C$500=C254)*($D$2:$D$500=D254)*($B$2:$B$500=""))&gt;0,"覆蓋共用（"&amp;B254&amp;"）","單元新增（"&amp;B254&amp;"）"))))</f>
        <v/>
      </c>
      <c r="K254" s="2">
        <f>IF(A254="","",IF(H254="Y","—",IF(AND(F254&lt;&gt;"",G254&lt;&gt;""),F254&amp;" ~ "&amp;G254,IF(G254&lt;&gt;"","≤ "&amp;G254,IF(F254&lt;&gt;"","≥ "&amp;F254,"只記錄、不檢核")))))</f>
        <v/>
      </c>
      <c r="L254" s="2">
        <f>IF(A254="","",IF(TRIM(IF(SUMPRODUCT(($A$2:$A$500=A254)*($B$2:$B$500=B254)*($C$2:$C$500=C254)*($D$2:$D$500=D254))&gt;1,"⚠ 欄位名稱重複 ","")&amp;IF(AND(B254&lt;&gt;"",NOT(ISNUMBER(SEARCH("、"&amp;B254&amp;"、","、"&amp;IFERROR(INDEX(表單!$I$2:$I$500,MATCH(A254,表單!$A$2:$A$500,0)),"")&amp;"、")))),"⚠ 單元不在適用單元內 ","")&amp;IF(AND(H254="Y",B254=""),"⚠ 排除只能用在單元列 ","")&amp;IF(AND(H254="Y",B254&lt;&gt;"",SUMPRODUCT(($A$2:$A$500=A254)*($C$2:$C$500=C254)*($D$2:$D$500=D254)*($B$2:$B$500=""))=0),"⚠ 排除需對應共用欄位 ","")&amp;IF(AND(ISNUMBER(F254),ISNUMBER(G254),F254&gt;G254),"⚠ 下限大於上限 ","")&amp;IF(SUMPRODUCT((檢查項目!$A$2:$A$500=A254)*(檢查項目!$C$2:$C$500=C254)*(檢查項目!$G$2:$G$500="數值"))=0,"⚠ 該項目不是數值類型 ",""))="","✓",TRIM(IF(SUMPRODUCT(($A$2:$A$500=A254)*($B$2:$B$500=B254)*($C$2:$C$500=C254)*($D$2:$D$500=D254))&gt;1,"⚠ 欄位名稱重複 ","")&amp;IF(AND(B254&lt;&gt;"",NOT(ISNUMBER(SEARCH("、"&amp;B254&amp;"、","、"&amp;IFERROR(INDEX(表單!$I$2:$I$500,MATCH(A254,表單!$A$2:$A$500,0)),"")&amp;"、")))),"⚠ 單元不在適用單元內 ","")&amp;IF(AND(H254="Y",B254=""),"⚠ 排除只能用在單元列 ","")&amp;IF(AND(H254="Y",B254&lt;&gt;"",SUMPRODUCT(($A$2:$A$500=A254)*($C$2:$C$500=C254)*($D$2:$D$500=D254)*($B$2:$B$500=""))=0),"⚠ 排除需對應共用欄位 ","")&amp;IF(AND(ISNUMBER(F254),ISNUMBER(G254),F254&gt;G254),"⚠ 下限大於上限 ","")&amp;IF(SUMPRODUCT((檢查項目!$A$2:$A$500=A254)*(檢查項目!$C$2:$C$500=C254)*(檢查項目!$G$2:$G$500="數值"))=0,"⚠ 該項目不是數值類型 ",""))))</f>
        <v/>
      </c>
    </row>
    <row r="255">
      <c r="I255" s="2">
        <f>IF(A255="","",IFERROR(INDEX(檢查項目!$E$2:$E$500,MATCH(1,INDEX((檢查項目!$A$2:$A$500=A255)*(檢查項目!$C$2:$C$500=C255)*(檢查項目!$B$2:$B$500=B255),0),0)),IFERROR(INDEX(檢查項目!$E$2:$E$500,MATCH(1,INDEX((檢查項目!$A$2:$A$500=A255)*(檢查項目!$C$2:$C$500=C255)*(檢查項目!$B$2:$B$500=""),0),0)),"⚠ 找不到項目")))</f>
        <v/>
      </c>
      <c r="J255" s="2">
        <f>IF(A255="","",IF(B255="","共用",IF(H255="Y","排除（"&amp;B255&amp;"）",IF(SUMPRODUCT(($A$2:$A$500=A255)*($C$2:$C$500=C255)*($D$2:$D$500=D255)*($B$2:$B$500=""))&gt;0,"覆蓋共用（"&amp;B255&amp;"）","單元新增（"&amp;B255&amp;"）"))))</f>
        <v/>
      </c>
      <c r="K255" s="2">
        <f>IF(A255="","",IF(H255="Y","—",IF(AND(F255&lt;&gt;"",G255&lt;&gt;""),F255&amp;" ~ "&amp;G255,IF(G255&lt;&gt;"","≤ "&amp;G255,IF(F255&lt;&gt;"","≥ "&amp;F255,"只記錄、不檢核")))))</f>
        <v/>
      </c>
      <c r="L255" s="2">
        <f>IF(A255="","",IF(TRIM(IF(SUMPRODUCT(($A$2:$A$500=A255)*($B$2:$B$500=B255)*($C$2:$C$500=C255)*($D$2:$D$500=D255))&gt;1,"⚠ 欄位名稱重複 ","")&amp;IF(AND(B255&lt;&gt;"",NOT(ISNUMBER(SEARCH("、"&amp;B255&amp;"、","、"&amp;IFERROR(INDEX(表單!$I$2:$I$500,MATCH(A255,表單!$A$2:$A$500,0)),"")&amp;"、")))),"⚠ 單元不在適用單元內 ","")&amp;IF(AND(H255="Y",B255=""),"⚠ 排除只能用在單元列 ","")&amp;IF(AND(H255="Y",B255&lt;&gt;"",SUMPRODUCT(($A$2:$A$500=A255)*($C$2:$C$500=C255)*($D$2:$D$500=D255)*($B$2:$B$500=""))=0),"⚠ 排除需對應共用欄位 ","")&amp;IF(AND(ISNUMBER(F255),ISNUMBER(G255),F255&gt;G255),"⚠ 下限大於上限 ","")&amp;IF(SUMPRODUCT((檢查項目!$A$2:$A$500=A255)*(檢查項目!$C$2:$C$500=C255)*(檢查項目!$G$2:$G$500="數值"))=0,"⚠ 該項目不是數值類型 ",""))="","✓",TRIM(IF(SUMPRODUCT(($A$2:$A$500=A255)*($B$2:$B$500=B255)*($C$2:$C$500=C255)*($D$2:$D$500=D255))&gt;1,"⚠ 欄位名稱重複 ","")&amp;IF(AND(B255&lt;&gt;"",NOT(ISNUMBER(SEARCH("、"&amp;B255&amp;"、","、"&amp;IFERROR(INDEX(表單!$I$2:$I$500,MATCH(A255,表單!$A$2:$A$500,0)),"")&amp;"、")))),"⚠ 單元不在適用單元內 ","")&amp;IF(AND(H255="Y",B255=""),"⚠ 排除只能用在單元列 ","")&amp;IF(AND(H255="Y",B255&lt;&gt;"",SUMPRODUCT(($A$2:$A$500=A255)*($C$2:$C$500=C255)*($D$2:$D$500=D255)*($B$2:$B$500=""))=0),"⚠ 排除需對應共用欄位 ","")&amp;IF(AND(ISNUMBER(F255),ISNUMBER(G255),F255&gt;G255),"⚠ 下限大於上限 ","")&amp;IF(SUMPRODUCT((檢查項目!$A$2:$A$500=A255)*(檢查項目!$C$2:$C$500=C255)*(檢查項目!$G$2:$G$500="數值"))=0,"⚠ 該項目不是數值類型 ",""))))</f>
        <v/>
      </c>
    </row>
    <row r="256">
      <c r="I256" s="2">
        <f>IF(A256="","",IFERROR(INDEX(檢查項目!$E$2:$E$500,MATCH(1,INDEX((檢查項目!$A$2:$A$500=A256)*(檢查項目!$C$2:$C$500=C256)*(檢查項目!$B$2:$B$500=B256),0),0)),IFERROR(INDEX(檢查項目!$E$2:$E$500,MATCH(1,INDEX((檢查項目!$A$2:$A$500=A256)*(檢查項目!$C$2:$C$500=C256)*(檢查項目!$B$2:$B$500=""),0),0)),"⚠ 找不到項目")))</f>
        <v/>
      </c>
      <c r="J256" s="2">
        <f>IF(A256="","",IF(B256="","共用",IF(H256="Y","排除（"&amp;B256&amp;"）",IF(SUMPRODUCT(($A$2:$A$500=A256)*($C$2:$C$500=C256)*($D$2:$D$500=D256)*($B$2:$B$500=""))&gt;0,"覆蓋共用（"&amp;B256&amp;"）","單元新增（"&amp;B256&amp;"）"))))</f>
        <v/>
      </c>
      <c r="K256" s="2">
        <f>IF(A256="","",IF(H256="Y","—",IF(AND(F256&lt;&gt;"",G256&lt;&gt;""),F256&amp;" ~ "&amp;G256,IF(G256&lt;&gt;"","≤ "&amp;G256,IF(F256&lt;&gt;"","≥ "&amp;F256,"只記錄、不檢核")))))</f>
        <v/>
      </c>
      <c r="L256" s="2">
        <f>IF(A256="","",IF(TRIM(IF(SUMPRODUCT(($A$2:$A$500=A256)*($B$2:$B$500=B256)*($C$2:$C$500=C256)*($D$2:$D$500=D256))&gt;1,"⚠ 欄位名稱重複 ","")&amp;IF(AND(B256&lt;&gt;"",NOT(ISNUMBER(SEARCH("、"&amp;B256&amp;"、","、"&amp;IFERROR(INDEX(表單!$I$2:$I$500,MATCH(A256,表單!$A$2:$A$500,0)),"")&amp;"、")))),"⚠ 單元不在適用單元內 ","")&amp;IF(AND(H256="Y",B256=""),"⚠ 排除只能用在單元列 ","")&amp;IF(AND(H256="Y",B256&lt;&gt;"",SUMPRODUCT(($A$2:$A$500=A256)*($C$2:$C$500=C256)*($D$2:$D$500=D256)*($B$2:$B$500=""))=0),"⚠ 排除需對應共用欄位 ","")&amp;IF(AND(ISNUMBER(F256),ISNUMBER(G256),F256&gt;G256),"⚠ 下限大於上限 ","")&amp;IF(SUMPRODUCT((檢查項目!$A$2:$A$500=A256)*(檢查項目!$C$2:$C$500=C256)*(檢查項目!$G$2:$G$500="數值"))=0,"⚠ 該項目不是數值類型 ",""))="","✓",TRIM(IF(SUMPRODUCT(($A$2:$A$500=A256)*($B$2:$B$500=B256)*($C$2:$C$500=C256)*($D$2:$D$500=D256))&gt;1,"⚠ 欄位名稱重複 ","")&amp;IF(AND(B256&lt;&gt;"",NOT(ISNUMBER(SEARCH("、"&amp;B256&amp;"、","、"&amp;IFERROR(INDEX(表單!$I$2:$I$500,MATCH(A256,表單!$A$2:$A$500,0)),"")&amp;"、")))),"⚠ 單元不在適用單元內 ","")&amp;IF(AND(H256="Y",B256=""),"⚠ 排除只能用在單元列 ","")&amp;IF(AND(H256="Y",B256&lt;&gt;"",SUMPRODUCT(($A$2:$A$500=A256)*($C$2:$C$500=C256)*($D$2:$D$500=D256)*($B$2:$B$500=""))=0),"⚠ 排除需對應共用欄位 ","")&amp;IF(AND(ISNUMBER(F256),ISNUMBER(G256),F256&gt;G256),"⚠ 下限大於上限 ","")&amp;IF(SUMPRODUCT((檢查項目!$A$2:$A$500=A256)*(檢查項目!$C$2:$C$500=C256)*(檢查項目!$G$2:$G$500="數值"))=0,"⚠ 該項目不是數值類型 ",""))))</f>
        <v/>
      </c>
    </row>
    <row r="257">
      <c r="I257" s="2">
        <f>IF(A257="","",IFERROR(INDEX(檢查項目!$E$2:$E$500,MATCH(1,INDEX((檢查項目!$A$2:$A$500=A257)*(檢查項目!$C$2:$C$500=C257)*(檢查項目!$B$2:$B$500=B257),0),0)),IFERROR(INDEX(檢查項目!$E$2:$E$500,MATCH(1,INDEX((檢查項目!$A$2:$A$500=A257)*(檢查項目!$C$2:$C$500=C257)*(檢查項目!$B$2:$B$500=""),0),0)),"⚠ 找不到項目")))</f>
        <v/>
      </c>
      <c r="J257" s="2">
        <f>IF(A257="","",IF(B257="","共用",IF(H257="Y","排除（"&amp;B257&amp;"）",IF(SUMPRODUCT(($A$2:$A$500=A257)*($C$2:$C$500=C257)*($D$2:$D$500=D257)*($B$2:$B$500=""))&gt;0,"覆蓋共用（"&amp;B257&amp;"）","單元新增（"&amp;B257&amp;"）"))))</f>
        <v/>
      </c>
      <c r="K257" s="2">
        <f>IF(A257="","",IF(H257="Y","—",IF(AND(F257&lt;&gt;"",G257&lt;&gt;""),F257&amp;" ~ "&amp;G257,IF(G257&lt;&gt;"","≤ "&amp;G257,IF(F257&lt;&gt;"","≥ "&amp;F257,"只記錄、不檢核")))))</f>
        <v/>
      </c>
      <c r="L257" s="2">
        <f>IF(A257="","",IF(TRIM(IF(SUMPRODUCT(($A$2:$A$500=A257)*($B$2:$B$500=B257)*($C$2:$C$500=C257)*($D$2:$D$500=D257))&gt;1,"⚠ 欄位名稱重複 ","")&amp;IF(AND(B257&lt;&gt;"",NOT(ISNUMBER(SEARCH("、"&amp;B257&amp;"、","、"&amp;IFERROR(INDEX(表單!$I$2:$I$500,MATCH(A257,表單!$A$2:$A$500,0)),"")&amp;"、")))),"⚠ 單元不在適用單元內 ","")&amp;IF(AND(H257="Y",B257=""),"⚠ 排除只能用在單元列 ","")&amp;IF(AND(H257="Y",B257&lt;&gt;"",SUMPRODUCT(($A$2:$A$500=A257)*($C$2:$C$500=C257)*($D$2:$D$500=D257)*($B$2:$B$500=""))=0),"⚠ 排除需對應共用欄位 ","")&amp;IF(AND(ISNUMBER(F257),ISNUMBER(G257),F257&gt;G257),"⚠ 下限大於上限 ","")&amp;IF(SUMPRODUCT((檢查項目!$A$2:$A$500=A257)*(檢查項目!$C$2:$C$500=C257)*(檢查項目!$G$2:$G$500="數值"))=0,"⚠ 該項目不是數值類型 ",""))="","✓",TRIM(IF(SUMPRODUCT(($A$2:$A$500=A257)*($B$2:$B$500=B257)*($C$2:$C$500=C257)*($D$2:$D$500=D257))&gt;1,"⚠ 欄位名稱重複 ","")&amp;IF(AND(B257&lt;&gt;"",NOT(ISNUMBER(SEARCH("、"&amp;B257&amp;"、","、"&amp;IFERROR(INDEX(表單!$I$2:$I$500,MATCH(A257,表單!$A$2:$A$500,0)),"")&amp;"、")))),"⚠ 單元不在適用單元內 ","")&amp;IF(AND(H257="Y",B257=""),"⚠ 排除只能用在單元列 ","")&amp;IF(AND(H257="Y",B257&lt;&gt;"",SUMPRODUCT(($A$2:$A$500=A257)*($C$2:$C$500=C257)*($D$2:$D$500=D257)*($B$2:$B$500=""))=0),"⚠ 排除需對應共用欄位 ","")&amp;IF(AND(ISNUMBER(F257),ISNUMBER(G257),F257&gt;G257),"⚠ 下限大於上限 ","")&amp;IF(SUMPRODUCT((檢查項目!$A$2:$A$500=A257)*(檢查項目!$C$2:$C$500=C257)*(檢查項目!$G$2:$G$500="數值"))=0,"⚠ 該項目不是數值類型 ",""))))</f>
        <v/>
      </c>
    </row>
    <row r="258">
      <c r="I258" s="2">
        <f>IF(A258="","",IFERROR(INDEX(檢查項目!$E$2:$E$500,MATCH(1,INDEX((檢查項目!$A$2:$A$500=A258)*(檢查項目!$C$2:$C$500=C258)*(檢查項目!$B$2:$B$500=B258),0),0)),IFERROR(INDEX(檢查項目!$E$2:$E$500,MATCH(1,INDEX((檢查項目!$A$2:$A$500=A258)*(檢查項目!$C$2:$C$500=C258)*(檢查項目!$B$2:$B$500=""),0),0)),"⚠ 找不到項目")))</f>
        <v/>
      </c>
      <c r="J258" s="2">
        <f>IF(A258="","",IF(B258="","共用",IF(H258="Y","排除（"&amp;B258&amp;"）",IF(SUMPRODUCT(($A$2:$A$500=A258)*($C$2:$C$500=C258)*($D$2:$D$500=D258)*($B$2:$B$500=""))&gt;0,"覆蓋共用（"&amp;B258&amp;"）","單元新增（"&amp;B258&amp;"）"))))</f>
        <v/>
      </c>
      <c r="K258" s="2">
        <f>IF(A258="","",IF(H258="Y","—",IF(AND(F258&lt;&gt;"",G258&lt;&gt;""),F258&amp;" ~ "&amp;G258,IF(G258&lt;&gt;"","≤ "&amp;G258,IF(F258&lt;&gt;"","≥ "&amp;F258,"只記錄、不檢核")))))</f>
        <v/>
      </c>
      <c r="L258" s="2">
        <f>IF(A258="","",IF(TRIM(IF(SUMPRODUCT(($A$2:$A$500=A258)*($B$2:$B$500=B258)*($C$2:$C$500=C258)*($D$2:$D$500=D258))&gt;1,"⚠ 欄位名稱重複 ","")&amp;IF(AND(B258&lt;&gt;"",NOT(ISNUMBER(SEARCH("、"&amp;B258&amp;"、","、"&amp;IFERROR(INDEX(表單!$I$2:$I$500,MATCH(A258,表單!$A$2:$A$500,0)),"")&amp;"、")))),"⚠ 單元不在適用單元內 ","")&amp;IF(AND(H258="Y",B258=""),"⚠ 排除只能用在單元列 ","")&amp;IF(AND(H258="Y",B258&lt;&gt;"",SUMPRODUCT(($A$2:$A$500=A258)*($C$2:$C$500=C258)*($D$2:$D$500=D258)*($B$2:$B$500=""))=0),"⚠ 排除需對應共用欄位 ","")&amp;IF(AND(ISNUMBER(F258),ISNUMBER(G258),F258&gt;G258),"⚠ 下限大於上限 ","")&amp;IF(SUMPRODUCT((檢查項目!$A$2:$A$500=A258)*(檢查項目!$C$2:$C$500=C258)*(檢查項目!$G$2:$G$500="數值"))=0,"⚠ 該項目不是數值類型 ",""))="","✓",TRIM(IF(SUMPRODUCT(($A$2:$A$500=A258)*($B$2:$B$500=B258)*($C$2:$C$500=C258)*($D$2:$D$500=D258))&gt;1,"⚠ 欄位名稱重複 ","")&amp;IF(AND(B258&lt;&gt;"",NOT(ISNUMBER(SEARCH("、"&amp;B258&amp;"、","、"&amp;IFERROR(INDEX(表單!$I$2:$I$500,MATCH(A258,表單!$A$2:$A$500,0)),"")&amp;"、")))),"⚠ 單元不在適用單元內 ","")&amp;IF(AND(H258="Y",B258=""),"⚠ 排除只能用在單元列 ","")&amp;IF(AND(H258="Y",B258&lt;&gt;"",SUMPRODUCT(($A$2:$A$500=A258)*($C$2:$C$500=C258)*($D$2:$D$500=D258)*($B$2:$B$500=""))=0),"⚠ 排除需對應共用欄位 ","")&amp;IF(AND(ISNUMBER(F258),ISNUMBER(G258),F258&gt;G258),"⚠ 下限大於上限 ","")&amp;IF(SUMPRODUCT((檢查項目!$A$2:$A$500=A258)*(檢查項目!$C$2:$C$500=C258)*(檢查項目!$G$2:$G$500="數值"))=0,"⚠ 該項目不是數值類型 ",""))))</f>
        <v/>
      </c>
    </row>
    <row r="259">
      <c r="I259" s="2">
        <f>IF(A259="","",IFERROR(INDEX(檢查項目!$E$2:$E$500,MATCH(1,INDEX((檢查項目!$A$2:$A$500=A259)*(檢查項目!$C$2:$C$500=C259)*(檢查項目!$B$2:$B$500=B259),0),0)),IFERROR(INDEX(檢查項目!$E$2:$E$500,MATCH(1,INDEX((檢查項目!$A$2:$A$500=A259)*(檢查項目!$C$2:$C$500=C259)*(檢查項目!$B$2:$B$500=""),0),0)),"⚠ 找不到項目")))</f>
        <v/>
      </c>
      <c r="J259" s="2">
        <f>IF(A259="","",IF(B259="","共用",IF(H259="Y","排除（"&amp;B259&amp;"）",IF(SUMPRODUCT(($A$2:$A$500=A259)*($C$2:$C$500=C259)*($D$2:$D$500=D259)*($B$2:$B$500=""))&gt;0,"覆蓋共用（"&amp;B259&amp;"）","單元新增（"&amp;B259&amp;"）"))))</f>
        <v/>
      </c>
      <c r="K259" s="2">
        <f>IF(A259="","",IF(H259="Y","—",IF(AND(F259&lt;&gt;"",G259&lt;&gt;""),F259&amp;" ~ "&amp;G259,IF(G259&lt;&gt;"","≤ "&amp;G259,IF(F259&lt;&gt;"","≥ "&amp;F259,"只記錄、不檢核")))))</f>
        <v/>
      </c>
      <c r="L259" s="2">
        <f>IF(A259="","",IF(TRIM(IF(SUMPRODUCT(($A$2:$A$500=A259)*($B$2:$B$500=B259)*($C$2:$C$500=C259)*($D$2:$D$500=D259))&gt;1,"⚠ 欄位名稱重複 ","")&amp;IF(AND(B259&lt;&gt;"",NOT(ISNUMBER(SEARCH("、"&amp;B259&amp;"、","、"&amp;IFERROR(INDEX(表單!$I$2:$I$500,MATCH(A259,表單!$A$2:$A$500,0)),"")&amp;"、")))),"⚠ 單元不在適用單元內 ","")&amp;IF(AND(H259="Y",B259=""),"⚠ 排除只能用在單元列 ","")&amp;IF(AND(H259="Y",B259&lt;&gt;"",SUMPRODUCT(($A$2:$A$500=A259)*($C$2:$C$500=C259)*($D$2:$D$500=D259)*($B$2:$B$500=""))=0),"⚠ 排除需對應共用欄位 ","")&amp;IF(AND(ISNUMBER(F259),ISNUMBER(G259),F259&gt;G259),"⚠ 下限大於上限 ","")&amp;IF(SUMPRODUCT((檢查項目!$A$2:$A$500=A259)*(檢查項目!$C$2:$C$500=C259)*(檢查項目!$G$2:$G$500="數值"))=0,"⚠ 該項目不是數值類型 ",""))="","✓",TRIM(IF(SUMPRODUCT(($A$2:$A$500=A259)*($B$2:$B$500=B259)*($C$2:$C$500=C259)*($D$2:$D$500=D259))&gt;1,"⚠ 欄位名稱重複 ","")&amp;IF(AND(B259&lt;&gt;"",NOT(ISNUMBER(SEARCH("、"&amp;B259&amp;"、","、"&amp;IFERROR(INDEX(表單!$I$2:$I$500,MATCH(A259,表單!$A$2:$A$500,0)),"")&amp;"、")))),"⚠ 單元不在適用單元內 ","")&amp;IF(AND(H259="Y",B259=""),"⚠ 排除只能用在單元列 ","")&amp;IF(AND(H259="Y",B259&lt;&gt;"",SUMPRODUCT(($A$2:$A$500=A259)*($C$2:$C$500=C259)*($D$2:$D$500=D259)*($B$2:$B$500=""))=0),"⚠ 排除需對應共用欄位 ","")&amp;IF(AND(ISNUMBER(F259),ISNUMBER(G259),F259&gt;G259),"⚠ 下限大於上限 ","")&amp;IF(SUMPRODUCT((檢查項目!$A$2:$A$500=A259)*(檢查項目!$C$2:$C$500=C259)*(檢查項目!$G$2:$G$500="數值"))=0,"⚠ 該項目不是數值類型 ",""))))</f>
        <v/>
      </c>
    </row>
    <row r="260">
      <c r="I260" s="2">
        <f>IF(A260="","",IFERROR(INDEX(檢查項目!$E$2:$E$500,MATCH(1,INDEX((檢查項目!$A$2:$A$500=A260)*(檢查項目!$C$2:$C$500=C260)*(檢查項目!$B$2:$B$500=B260),0),0)),IFERROR(INDEX(檢查項目!$E$2:$E$500,MATCH(1,INDEX((檢查項目!$A$2:$A$500=A260)*(檢查項目!$C$2:$C$500=C260)*(檢查項目!$B$2:$B$500=""),0),0)),"⚠ 找不到項目")))</f>
        <v/>
      </c>
      <c r="J260" s="2">
        <f>IF(A260="","",IF(B260="","共用",IF(H260="Y","排除（"&amp;B260&amp;"）",IF(SUMPRODUCT(($A$2:$A$500=A260)*($C$2:$C$500=C260)*($D$2:$D$500=D260)*($B$2:$B$500=""))&gt;0,"覆蓋共用（"&amp;B260&amp;"）","單元新增（"&amp;B260&amp;"）"))))</f>
        <v/>
      </c>
      <c r="K260" s="2">
        <f>IF(A260="","",IF(H260="Y","—",IF(AND(F260&lt;&gt;"",G260&lt;&gt;""),F260&amp;" ~ "&amp;G260,IF(G260&lt;&gt;"","≤ "&amp;G260,IF(F260&lt;&gt;"","≥ "&amp;F260,"只記錄、不檢核")))))</f>
        <v/>
      </c>
      <c r="L260" s="2">
        <f>IF(A260="","",IF(TRIM(IF(SUMPRODUCT(($A$2:$A$500=A260)*($B$2:$B$500=B260)*($C$2:$C$500=C260)*($D$2:$D$500=D260))&gt;1,"⚠ 欄位名稱重複 ","")&amp;IF(AND(B260&lt;&gt;"",NOT(ISNUMBER(SEARCH("、"&amp;B260&amp;"、","、"&amp;IFERROR(INDEX(表單!$I$2:$I$500,MATCH(A260,表單!$A$2:$A$500,0)),"")&amp;"、")))),"⚠ 單元不在適用單元內 ","")&amp;IF(AND(H260="Y",B260=""),"⚠ 排除只能用在單元列 ","")&amp;IF(AND(H260="Y",B260&lt;&gt;"",SUMPRODUCT(($A$2:$A$500=A260)*($C$2:$C$500=C260)*($D$2:$D$500=D260)*($B$2:$B$500=""))=0),"⚠ 排除需對應共用欄位 ","")&amp;IF(AND(ISNUMBER(F260),ISNUMBER(G260),F260&gt;G260),"⚠ 下限大於上限 ","")&amp;IF(SUMPRODUCT((檢查項目!$A$2:$A$500=A260)*(檢查項目!$C$2:$C$500=C260)*(檢查項目!$G$2:$G$500="數值"))=0,"⚠ 該項目不是數值類型 ",""))="","✓",TRIM(IF(SUMPRODUCT(($A$2:$A$500=A260)*($B$2:$B$500=B260)*($C$2:$C$500=C260)*($D$2:$D$500=D260))&gt;1,"⚠ 欄位名稱重複 ","")&amp;IF(AND(B260&lt;&gt;"",NOT(ISNUMBER(SEARCH("、"&amp;B260&amp;"、","、"&amp;IFERROR(INDEX(表單!$I$2:$I$500,MATCH(A260,表單!$A$2:$A$500,0)),"")&amp;"、")))),"⚠ 單元不在適用單元內 ","")&amp;IF(AND(H260="Y",B260=""),"⚠ 排除只能用在單元列 ","")&amp;IF(AND(H260="Y",B260&lt;&gt;"",SUMPRODUCT(($A$2:$A$500=A260)*($C$2:$C$500=C260)*($D$2:$D$500=D260)*($B$2:$B$500=""))=0),"⚠ 排除需對應共用欄位 ","")&amp;IF(AND(ISNUMBER(F260),ISNUMBER(G260),F260&gt;G260),"⚠ 下限大於上限 ","")&amp;IF(SUMPRODUCT((檢查項目!$A$2:$A$500=A260)*(檢查項目!$C$2:$C$500=C260)*(檢查項目!$G$2:$G$500="數值"))=0,"⚠ 該項目不是數值類型 ",""))))</f>
        <v/>
      </c>
    </row>
    <row r="261">
      <c r="I261" s="2">
        <f>IF(A261="","",IFERROR(INDEX(檢查項目!$E$2:$E$500,MATCH(1,INDEX((檢查項目!$A$2:$A$500=A261)*(檢查項目!$C$2:$C$500=C261)*(檢查項目!$B$2:$B$500=B261),0),0)),IFERROR(INDEX(檢查項目!$E$2:$E$500,MATCH(1,INDEX((檢查項目!$A$2:$A$500=A261)*(檢查項目!$C$2:$C$500=C261)*(檢查項目!$B$2:$B$500=""),0),0)),"⚠ 找不到項目")))</f>
        <v/>
      </c>
      <c r="J261" s="2">
        <f>IF(A261="","",IF(B261="","共用",IF(H261="Y","排除（"&amp;B261&amp;"）",IF(SUMPRODUCT(($A$2:$A$500=A261)*($C$2:$C$500=C261)*($D$2:$D$500=D261)*($B$2:$B$500=""))&gt;0,"覆蓋共用（"&amp;B261&amp;"）","單元新增（"&amp;B261&amp;"）"))))</f>
        <v/>
      </c>
      <c r="K261" s="2">
        <f>IF(A261="","",IF(H261="Y","—",IF(AND(F261&lt;&gt;"",G261&lt;&gt;""),F261&amp;" ~ "&amp;G261,IF(G261&lt;&gt;"","≤ "&amp;G261,IF(F261&lt;&gt;"","≥ "&amp;F261,"只記錄、不檢核")))))</f>
        <v/>
      </c>
      <c r="L261" s="2">
        <f>IF(A261="","",IF(TRIM(IF(SUMPRODUCT(($A$2:$A$500=A261)*($B$2:$B$500=B261)*($C$2:$C$500=C261)*($D$2:$D$500=D261))&gt;1,"⚠ 欄位名稱重複 ","")&amp;IF(AND(B261&lt;&gt;"",NOT(ISNUMBER(SEARCH("、"&amp;B261&amp;"、","、"&amp;IFERROR(INDEX(表單!$I$2:$I$500,MATCH(A261,表單!$A$2:$A$500,0)),"")&amp;"、")))),"⚠ 單元不在適用單元內 ","")&amp;IF(AND(H261="Y",B261=""),"⚠ 排除只能用在單元列 ","")&amp;IF(AND(H261="Y",B261&lt;&gt;"",SUMPRODUCT(($A$2:$A$500=A261)*($C$2:$C$500=C261)*($D$2:$D$500=D261)*($B$2:$B$500=""))=0),"⚠ 排除需對應共用欄位 ","")&amp;IF(AND(ISNUMBER(F261),ISNUMBER(G261),F261&gt;G261),"⚠ 下限大於上限 ","")&amp;IF(SUMPRODUCT((檢查項目!$A$2:$A$500=A261)*(檢查項目!$C$2:$C$500=C261)*(檢查項目!$G$2:$G$500="數值"))=0,"⚠ 該項目不是數值類型 ",""))="","✓",TRIM(IF(SUMPRODUCT(($A$2:$A$500=A261)*($B$2:$B$500=B261)*($C$2:$C$500=C261)*($D$2:$D$500=D261))&gt;1,"⚠ 欄位名稱重複 ","")&amp;IF(AND(B261&lt;&gt;"",NOT(ISNUMBER(SEARCH("、"&amp;B261&amp;"、","、"&amp;IFERROR(INDEX(表單!$I$2:$I$500,MATCH(A261,表單!$A$2:$A$500,0)),"")&amp;"、")))),"⚠ 單元不在適用單元內 ","")&amp;IF(AND(H261="Y",B261=""),"⚠ 排除只能用在單元列 ","")&amp;IF(AND(H261="Y",B261&lt;&gt;"",SUMPRODUCT(($A$2:$A$500=A261)*($C$2:$C$500=C261)*($D$2:$D$500=D261)*($B$2:$B$500=""))=0),"⚠ 排除需對應共用欄位 ","")&amp;IF(AND(ISNUMBER(F261),ISNUMBER(G261),F261&gt;G261),"⚠ 下限大於上限 ","")&amp;IF(SUMPRODUCT((檢查項目!$A$2:$A$500=A261)*(檢查項目!$C$2:$C$500=C261)*(檢查項目!$G$2:$G$500="數值"))=0,"⚠ 該項目不是數值類型 ",""))))</f>
        <v/>
      </c>
    </row>
    <row r="262">
      <c r="I262" s="2">
        <f>IF(A262="","",IFERROR(INDEX(檢查項目!$E$2:$E$500,MATCH(1,INDEX((檢查項目!$A$2:$A$500=A262)*(檢查項目!$C$2:$C$500=C262)*(檢查項目!$B$2:$B$500=B262),0),0)),IFERROR(INDEX(檢查項目!$E$2:$E$500,MATCH(1,INDEX((檢查項目!$A$2:$A$500=A262)*(檢查項目!$C$2:$C$500=C262)*(檢查項目!$B$2:$B$500=""),0),0)),"⚠ 找不到項目")))</f>
        <v/>
      </c>
      <c r="J262" s="2">
        <f>IF(A262="","",IF(B262="","共用",IF(H262="Y","排除（"&amp;B262&amp;"）",IF(SUMPRODUCT(($A$2:$A$500=A262)*($C$2:$C$500=C262)*($D$2:$D$500=D262)*($B$2:$B$500=""))&gt;0,"覆蓋共用（"&amp;B262&amp;"）","單元新增（"&amp;B262&amp;"）"))))</f>
        <v/>
      </c>
      <c r="K262" s="2">
        <f>IF(A262="","",IF(H262="Y","—",IF(AND(F262&lt;&gt;"",G262&lt;&gt;""),F262&amp;" ~ "&amp;G262,IF(G262&lt;&gt;"","≤ "&amp;G262,IF(F262&lt;&gt;"","≥ "&amp;F262,"只記錄、不檢核")))))</f>
        <v/>
      </c>
      <c r="L262" s="2">
        <f>IF(A262="","",IF(TRIM(IF(SUMPRODUCT(($A$2:$A$500=A262)*($B$2:$B$500=B262)*($C$2:$C$500=C262)*($D$2:$D$500=D262))&gt;1,"⚠ 欄位名稱重複 ","")&amp;IF(AND(B262&lt;&gt;"",NOT(ISNUMBER(SEARCH("、"&amp;B262&amp;"、","、"&amp;IFERROR(INDEX(表單!$I$2:$I$500,MATCH(A262,表單!$A$2:$A$500,0)),"")&amp;"、")))),"⚠ 單元不在適用單元內 ","")&amp;IF(AND(H262="Y",B262=""),"⚠ 排除只能用在單元列 ","")&amp;IF(AND(H262="Y",B262&lt;&gt;"",SUMPRODUCT(($A$2:$A$500=A262)*($C$2:$C$500=C262)*($D$2:$D$500=D262)*($B$2:$B$500=""))=0),"⚠ 排除需對應共用欄位 ","")&amp;IF(AND(ISNUMBER(F262),ISNUMBER(G262),F262&gt;G262),"⚠ 下限大於上限 ","")&amp;IF(SUMPRODUCT((檢查項目!$A$2:$A$500=A262)*(檢查項目!$C$2:$C$500=C262)*(檢查項目!$G$2:$G$500="數值"))=0,"⚠ 該項目不是數值類型 ",""))="","✓",TRIM(IF(SUMPRODUCT(($A$2:$A$500=A262)*($B$2:$B$500=B262)*($C$2:$C$500=C262)*($D$2:$D$500=D262))&gt;1,"⚠ 欄位名稱重複 ","")&amp;IF(AND(B262&lt;&gt;"",NOT(ISNUMBER(SEARCH("、"&amp;B262&amp;"、","、"&amp;IFERROR(INDEX(表單!$I$2:$I$500,MATCH(A262,表單!$A$2:$A$500,0)),"")&amp;"、")))),"⚠ 單元不在適用單元內 ","")&amp;IF(AND(H262="Y",B262=""),"⚠ 排除只能用在單元列 ","")&amp;IF(AND(H262="Y",B262&lt;&gt;"",SUMPRODUCT(($A$2:$A$500=A262)*($C$2:$C$500=C262)*($D$2:$D$500=D262)*($B$2:$B$500=""))=0),"⚠ 排除需對應共用欄位 ","")&amp;IF(AND(ISNUMBER(F262),ISNUMBER(G262),F262&gt;G262),"⚠ 下限大於上限 ","")&amp;IF(SUMPRODUCT((檢查項目!$A$2:$A$500=A262)*(檢查項目!$C$2:$C$500=C262)*(檢查項目!$G$2:$G$500="數值"))=0,"⚠ 該項目不是數值類型 ",""))))</f>
        <v/>
      </c>
    </row>
    <row r="263">
      <c r="I263" s="2">
        <f>IF(A263="","",IFERROR(INDEX(檢查項目!$E$2:$E$500,MATCH(1,INDEX((檢查項目!$A$2:$A$500=A263)*(檢查項目!$C$2:$C$500=C263)*(檢查項目!$B$2:$B$500=B263),0),0)),IFERROR(INDEX(檢查項目!$E$2:$E$500,MATCH(1,INDEX((檢查項目!$A$2:$A$500=A263)*(檢查項目!$C$2:$C$500=C263)*(檢查項目!$B$2:$B$500=""),0),0)),"⚠ 找不到項目")))</f>
        <v/>
      </c>
      <c r="J263" s="2">
        <f>IF(A263="","",IF(B263="","共用",IF(H263="Y","排除（"&amp;B263&amp;"）",IF(SUMPRODUCT(($A$2:$A$500=A263)*($C$2:$C$500=C263)*($D$2:$D$500=D263)*($B$2:$B$500=""))&gt;0,"覆蓋共用（"&amp;B263&amp;"）","單元新增（"&amp;B263&amp;"）"))))</f>
        <v/>
      </c>
      <c r="K263" s="2">
        <f>IF(A263="","",IF(H263="Y","—",IF(AND(F263&lt;&gt;"",G263&lt;&gt;""),F263&amp;" ~ "&amp;G263,IF(G263&lt;&gt;"","≤ "&amp;G263,IF(F263&lt;&gt;"","≥ "&amp;F263,"只記錄、不檢核")))))</f>
        <v/>
      </c>
      <c r="L263" s="2">
        <f>IF(A263="","",IF(TRIM(IF(SUMPRODUCT(($A$2:$A$500=A263)*($B$2:$B$500=B263)*($C$2:$C$500=C263)*($D$2:$D$500=D263))&gt;1,"⚠ 欄位名稱重複 ","")&amp;IF(AND(B263&lt;&gt;"",NOT(ISNUMBER(SEARCH("、"&amp;B263&amp;"、","、"&amp;IFERROR(INDEX(表單!$I$2:$I$500,MATCH(A263,表單!$A$2:$A$500,0)),"")&amp;"、")))),"⚠ 單元不在適用單元內 ","")&amp;IF(AND(H263="Y",B263=""),"⚠ 排除只能用在單元列 ","")&amp;IF(AND(H263="Y",B263&lt;&gt;"",SUMPRODUCT(($A$2:$A$500=A263)*($C$2:$C$500=C263)*($D$2:$D$500=D263)*($B$2:$B$500=""))=0),"⚠ 排除需對應共用欄位 ","")&amp;IF(AND(ISNUMBER(F263),ISNUMBER(G263),F263&gt;G263),"⚠ 下限大於上限 ","")&amp;IF(SUMPRODUCT((檢查項目!$A$2:$A$500=A263)*(檢查項目!$C$2:$C$500=C263)*(檢查項目!$G$2:$G$500="數值"))=0,"⚠ 該項目不是數值類型 ",""))="","✓",TRIM(IF(SUMPRODUCT(($A$2:$A$500=A263)*($B$2:$B$500=B263)*($C$2:$C$500=C263)*($D$2:$D$500=D263))&gt;1,"⚠ 欄位名稱重複 ","")&amp;IF(AND(B263&lt;&gt;"",NOT(ISNUMBER(SEARCH("、"&amp;B263&amp;"、","、"&amp;IFERROR(INDEX(表單!$I$2:$I$500,MATCH(A263,表單!$A$2:$A$500,0)),"")&amp;"、")))),"⚠ 單元不在適用單元內 ","")&amp;IF(AND(H263="Y",B263=""),"⚠ 排除只能用在單元列 ","")&amp;IF(AND(H263="Y",B263&lt;&gt;"",SUMPRODUCT(($A$2:$A$500=A263)*($C$2:$C$500=C263)*($D$2:$D$500=D263)*($B$2:$B$500=""))=0),"⚠ 排除需對應共用欄位 ","")&amp;IF(AND(ISNUMBER(F263),ISNUMBER(G263),F263&gt;G263),"⚠ 下限大於上限 ","")&amp;IF(SUMPRODUCT((檢查項目!$A$2:$A$500=A263)*(檢查項目!$C$2:$C$500=C263)*(檢查項目!$G$2:$G$500="數值"))=0,"⚠ 該項目不是數值類型 ",""))))</f>
        <v/>
      </c>
    </row>
    <row r="264">
      <c r="I264" s="2">
        <f>IF(A264="","",IFERROR(INDEX(檢查項目!$E$2:$E$500,MATCH(1,INDEX((檢查項目!$A$2:$A$500=A264)*(檢查項目!$C$2:$C$500=C264)*(檢查項目!$B$2:$B$500=B264),0),0)),IFERROR(INDEX(檢查項目!$E$2:$E$500,MATCH(1,INDEX((檢查項目!$A$2:$A$500=A264)*(檢查項目!$C$2:$C$500=C264)*(檢查項目!$B$2:$B$500=""),0),0)),"⚠ 找不到項目")))</f>
        <v/>
      </c>
      <c r="J264" s="2">
        <f>IF(A264="","",IF(B264="","共用",IF(H264="Y","排除（"&amp;B264&amp;"）",IF(SUMPRODUCT(($A$2:$A$500=A264)*($C$2:$C$500=C264)*($D$2:$D$500=D264)*($B$2:$B$500=""))&gt;0,"覆蓋共用（"&amp;B264&amp;"）","單元新增（"&amp;B264&amp;"）"))))</f>
        <v/>
      </c>
      <c r="K264" s="2">
        <f>IF(A264="","",IF(H264="Y","—",IF(AND(F264&lt;&gt;"",G264&lt;&gt;""),F264&amp;" ~ "&amp;G264,IF(G264&lt;&gt;"","≤ "&amp;G264,IF(F264&lt;&gt;"","≥ "&amp;F264,"只記錄、不檢核")))))</f>
        <v/>
      </c>
      <c r="L264" s="2">
        <f>IF(A264="","",IF(TRIM(IF(SUMPRODUCT(($A$2:$A$500=A264)*($B$2:$B$500=B264)*($C$2:$C$500=C264)*($D$2:$D$500=D264))&gt;1,"⚠ 欄位名稱重複 ","")&amp;IF(AND(B264&lt;&gt;"",NOT(ISNUMBER(SEARCH("、"&amp;B264&amp;"、","、"&amp;IFERROR(INDEX(表單!$I$2:$I$500,MATCH(A264,表單!$A$2:$A$500,0)),"")&amp;"、")))),"⚠ 單元不在適用單元內 ","")&amp;IF(AND(H264="Y",B264=""),"⚠ 排除只能用在單元列 ","")&amp;IF(AND(H264="Y",B264&lt;&gt;"",SUMPRODUCT(($A$2:$A$500=A264)*($C$2:$C$500=C264)*($D$2:$D$500=D264)*($B$2:$B$500=""))=0),"⚠ 排除需對應共用欄位 ","")&amp;IF(AND(ISNUMBER(F264),ISNUMBER(G264),F264&gt;G264),"⚠ 下限大於上限 ","")&amp;IF(SUMPRODUCT((檢查項目!$A$2:$A$500=A264)*(檢查項目!$C$2:$C$500=C264)*(檢查項目!$G$2:$G$500="數值"))=0,"⚠ 該項目不是數值類型 ",""))="","✓",TRIM(IF(SUMPRODUCT(($A$2:$A$500=A264)*($B$2:$B$500=B264)*($C$2:$C$500=C264)*($D$2:$D$500=D264))&gt;1,"⚠ 欄位名稱重複 ","")&amp;IF(AND(B264&lt;&gt;"",NOT(ISNUMBER(SEARCH("、"&amp;B264&amp;"、","、"&amp;IFERROR(INDEX(表單!$I$2:$I$500,MATCH(A264,表單!$A$2:$A$500,0)),"")&amp;"、")))),"⚠ 單元不在適用單元內 ","")&amp;IF(AND(H264="Y",B264=""),"⚠ 排除只能用在單元列 ","")&amp;IF(AND(H264="Y",B264&lt;&gt;"",SUMPRODUCT(($A$2:$A$500=A264)*($C$2:$C$500=C264)*($D$2:$D$500=D264)*($B$2:$B$500=""))=0),"⚠ 排除需對應共用欄位 ","")&amp;IF(AND(ISNUMBER(F264),ISNUMBER(G264),F264&gt;G264),"⚠ 下限大於上限 ","")&amp;IF(SUMPRODUCT((檢查項目!$A$2:$A$500=A264)*(檢查項目!$C$2:$C$500=C264)*(檢查項目!$G$2:$G$500="數值"))=0,"⚠ 該項目不是數值類型 ",""))))</f>
        <v/>
      </c>
    </row>
    <row r="265">
      <c r="I265" s="2">
        <f>IF(A265="","",IFERROR(INDEX(檢查項目!$E$2:$E$500,MATCH(1,INDEX((檢查項目!$A$2:$A$500=A265)*(檢查項目!$C$2:$C$500=C265)*(檢查項目!$B$2:$B$500=B265),0),0)),IFERROR(INDEX(檢查項目!$E$2:$E$500,MATCH(1,INDEX((檢查項目!$A$2:$A$500=A265)*(檢查項目!$C$2:$C$500=C265)*(檢查項目!$B$2:$B$500=""),0),0)),"⚠ 找不到項目")))</f>
        <v/>
      </c>
      <c r="J265" s="2">
        <f>IF(A265="","",IF(B265="","共用",IF(H265="Y","排除（"&amp;B265&amp;"）",IF(SUMPRODUCT(($A$2:$A$500=A265)*($C$2:$C$500=C265)*($D$2:$D$500=D265)*($B$2:$B$500=""))&gt;0,"覆蓋共用（"&amp;B265&amp;"）","單元新增（"&amp;B265&amp;"）"))))</f>
        <v/>
      </c>
      <c r="K265" s="2">
        <f>IF(A265="","",IF(H265="Y","—",IF(AND(F265&lt;&gt;"",G265&lt;&gt;""),F265&amp;" ~ "&amp;G265,IF(G265&lt;&gt;"","≤ "&amp;G265,IF(F265&lt;&gt;"","≥ "&amp;F265,"只記錄、不檢核")))))</f>
        <v/>
      </c>
      <c r="L265" s="2">
        <f>IF(A265="","",IF(TRIM(IF(SUMPRODUCT(($A$2:$A$500=A265)*($B$2:$B$500=B265)*($C$2:$C$500=C265)*($D$2:$D$500=D265))&gt;1,"⚠ 欄位名稱重複 ","")&amp;IF(AND(B265&lt;&gt;"",NOT(ISNUMBER(SEARCH("、"&amp;B265&amp;"、","、"&amp;IFERROR(INDEX(表單!$I$2:$I$500,MATCH(A265,表單!$A$2:$A$500,0)),"")&amp;"、")))),"⚠ 單元不在適用單元內 ","")&amp;IF(AND(H265="Y",B265=""),"⚠ 排除只能用在單元列 ","")&amp;IF(AND(H265="Y",B265&lt;&gt;"",SUMPRODUCT(($A$2:$A$500=A265)*($C$2:$C$500=C265)*($D$2:$D$500=D265)*($B$2:$B$500=""))=0),"⚠ 排除需對應共用欄位 ","")&amp;IF(AND(ISNUMBER(F265),ISNUMBER(G265),F265&gt;G265),"⚠ 下限大於上限 ","")&amp;IF(SUMPRODUCT((檢查項目!$A$2:$A$500=A265)*(檢查項目!$C$2:$C$500=C265)*(檢查項目!$G$2:$G$500="數值"))=0,"⚠ 該項目不是數值類型 ",""))="","✓",TRIM(IF(SUMPRODUCT(($A$2:$A$500=A265)*($B$2:$B$500=B265)*($C$2:$C$500=C265)*($D$2:$D$500=D265))&gt;1,"⚠ 欄位名稱重複 ","")&amp;IF(AND(B265&lt;&gt;"",NOT(ISNUMBER(SEARCH("、"&amp;B265&amp;"、","、"&amp;IFERROR(INDEX(表單!$I$2:$I$500,MATCH(A265,表單!$A$2:$A$500,0)),"")&amp;"、")))),"⚠ 單元不在適用單元內 ","")&amp;IF(AND(H265="Y",B265=""),"⚠ 排除只能用在單元列 ","")&amp;IF(AND(H265="Y",B265&lt;&gt;"",SUMPRODUCT(($A$2:$A$500=A265)*($C$2:$C$500=C265)*($D$2:$D$500=D265)*($B$2:$B$500=""))=0),"⚠ 排除需對應共用欄位 ","")&amp;IF(AND(ISNUMBER(F265),ISNUMBER(G265),F265&gt;G265),"⚠ 下限大於上限 ","")&amp;IF(SUMPRODUCT((檢查項目!$A$2:$A$500=A265)*(檢查項目!$C$2:$C$500=C265)*(檢查項目!$G$2:$G$500="數值"))=0,"⚠ 該項目不是數值類型 ",""))))</f>
        <v/>
      </c>
    </row>
    <row r="266">
      <c r="I266" s="2">
        <f>IF(A266="","",IFERROR(INDEX(檢查項目!$E$2:$E$500,MATCH(1,INDEX((檢查項目!$A$2:$A$500=A266)*(檢查項目!$C$2:$C$500=C266)*(檢查項目!$B$2:$B$500=B266),0),0)),IFERROR(INDEX(檢查項目!$E$2:$E$500,MATCH(1,INDEX((檢查項目!$A$2:$A$500=A266)*(檢查項目!$C$2:$C$500=C266)*(檢查項目!$B$2:$B$500=""),0),0)),"⚠ 找不到項目")))</f>
        <v/>
      </c>
      <c r="J266" s="2">
        <f>IF(A266="","",IF(B266="","共用",IF(H266="Y","排除（"&amp;B266&amp;"）",IF(SUMPRODUCT(($A$2:$A$500=A266)*($C$2:$C$500=C266)*($D$2:$D$500=D266)*($B$2:$B$500=""))&gt;0,"覆蓋共用（"&amp;B266&amp;"）","單元新增（"&amp;B266&amp;"）"))))</f>
        <v/>
      </c>
      <c r="K266" s="2">
        <f>IF(A266="","",IF(H266="Y","—",IF(AND(F266&lt;&gt;"",G266&lt;&gt;""),F266&amp;" ~ "&amp;G266,IF(G266&lt;&gt;"","≤ "&amp;G266,IF(F266&lt;&gt;"","≥ "&amp;F266,"只記錄、不檢核")))))</f>
        <v/>
      </c>
      <c r="L266" s="2">
        <f>IF(A266="","",IF(TRIM(IF(SUMPRODUCT(($A$2:$A$500=A266)*($B$2:$B$500=B266)*($C$2:$C$500=C266)*($D$2:$D$500=D266))&gt;1,"⚠ 欄位名稱重複 ","")&amp;IF(AND(B266&lt;&gt;"",NOT(ISNUMBER(SEARCH("、"&amp;B266&amp;"、","、"&amp;IFERROR(INDEX(表單!$I$2:$I$500,MATCH(A266,表單!$A$2:$A$500,0)),"")&amp;"、")))),"⚠ 單元不在適用單元內 ","")&amp;IF(AND(H266="Y",B266=""),"⚠ 排除只能用在單元列 ","")&amp;IF(AND(H266="Y",B266&lt;&gt;"",SUMPRODUCT(($A$2:$A$500=A266)*($C$2:$C$500=C266)*($D$2:$D$500=D266)*($B$2:$B$500=""))=0),"⚠ 排除需對應共用欄位 ","")&amp;IF(AND(ISNUMBER(F266),ISNUMBER(G266),F266&gt;G266),"⚠ 下限大於上限 ","")&amp;IF(SUMPRODUCT((檢查項目!$A$2:$A$500=A266)*(檢查項目!$C$2:$C$500=C266)*(檢查項目!$G$2:$G$500="數值"))=0,"⚠ 該項目不是數值類型 ",""))="","✓",TRIM(IF(SUMPRODUCT(($A$2:$A$500=A266)*($B$2:$B$500=B266)*($C$2:$C$500=C266)*($D$2:$D$500=D266))&gt;1,"⚠ 欄位名稱重複 ","")&amp;IF(AND(B266&lt;&gt;"",NOT(ISNUMBER(SEARCH("、"&amp;B266&amp;"、","、"&amp;IFERROR(INDEX(表單!$I$2:$I$500,MATCH(A266,表單!$A$2:$A$500,0)),"")&amp;"、")))),"⚠ 單元不在適用單元內 ","")&amp;IF(AND(H266="Y",B266=""),"⚠ 排除只能用在單元列 ","")&amp;IF(AND(H266="Y",B266&lt;&gt;"",SUMPRODUCT(($A$2:$A$500=A266)*($C$2:$C$500=C266)*($D$2:$D$500=D266)*($B$2:$B$500=""))=0),"⚠ 排除需對應共用欄位 ","")&amp;IF(AND(ISNUMBER(F266),ISNUMBER(G266),F266&gt;G266),"⚠ 下限大於上限 ","")&amp;IF(SUMPRODUCT((檢查項目!$A$2:$A$500=A266)*(檢查項目!$C$2:$C$500=C266)*(檢查項目!$G$2:$G$500="數值"))=0,"⚠ 該項目不是數值類型 ",""))))</f>
        <v/>
      </c>
    </row>
    <row r="267">
      <c r="I267" s="2">
        <f>IF(A267="","",IFERROR(INDEX(檢查項目!$E$2:$E$500,MATCH(1,INDEX((檢查項目!$A$2:$A$500=A267)*(檢查項目!$C$2:$C$500=C267)*(檢查項目!$B$2:$B$500=B267),0),0)),IFERROR(INDEX(檢查項目!$E$2:$E$500,MATCH(1,INDEX((檢查項目!$A$2:$A$500=A267)*(檢查項目!$C$2:$C$500=C267)*(檢查項目!$B$2:$B$500=""),0),0)),"⚠ 找不到項目")))</f>
        <v/>
      </c>
      <c r="J267" s="2">
        <f>IF(A267="","",IF(B267="","共用",IF(H267="Y","排除（"&amp;B267&amp;"）",IF(SUMPRODUCT(($A$2:$A$500=A267)*($C$2:$C$500=C267)*($D$2:$D$500=D267)*($B$2:$B$500=""))&gt;0,"覆蓋共用（"&amp;B267&amp;"）","單元新增（"&amp;B267&amp;"）"))))</f>
        <v/>
      </c>
      <c r="K267" s="2">
        <f>IF(A267="","",IF(H267="Y","—",IF(AND(F267&lt;&gt;"",G267&lt;&gt;""),F267&amp;" ~ "&amp;G267,IF(G267&lt;&gt;"","≤ "&amp;G267,IF(F267&lt;&gt;"","≥ "&amp;F267,"只記錄、不檢核")))))</f>
        <v/>
      </c>
      <c r="L267" s="2">
        <f>IF(A267="","",IF(TRIM(IF(SUMPRODUCT(($A$2:$A$500=A267)*($B$2:$B$500=B267)*($C$2:$C$500=C267)*($D$2:$D$500=D267))&gt;1,"⚠ 欄位名稱重複 ","")&amp;IF(AND(B267&lt;&gt;"",NOT(ISNUMBER(SEARCH("、"&amp;B267&amp;"、","、"&amp;IFERROR(INDEX(表單!$I$2:$I$500,MATCH(A267,表單!$A$2:$A$500,0)),"")&amp;"、")))),"⚠ 單元不在適用單元內 ","")&amp;IF(AND(H267="Y",B267=""),"⚠ 排除只能用在單元列 ","")&amp;IF(AND(H267="Y",B267&lt;&gt;"",SUMPRODUCT(($A$2:$A$500=A267)*($C$2:$C$500=C267)*($D$2:$D$500=D267)*($B$2:$B$500=""))=0),"⚠ 排除需對應共用欄位 ","")&amp;IF(AND(ISNUMBER(F267),ISNUMBER(G267),F267&gt;G267),"⚠ 下限大於上限 ","")&amp;IF(SUMPRODUCT((檢查項目!$A$2:$A$500=A267)*(檢查項目!$C$2:$C$500=C267)*(檢查項目!$G$2:$G$500="數值"))=0,"⚠ 該項目不是數值類型 ",""))="","✓",TRIM(IF(SUMPRODUCT(($A$2:$A$500=A267)*($B$2:$B$500=B267)*($C$2:$C$500=C267)*($D$2:$D$500=D267))&gt;1,"⚠ 欄位名稱重複 ","")&amp;IF(AND(B267&lt;&gt;"",NOT(ISNUMBER(SEARCH("、"&amp;B267&amp;"、","、"&amp;IFERROR(INDEX(表單!$I$2:$I$500,MATCH(A267,表單!$A$2:$A$500,0)),"")&amp;"、")))),"⚠ 單元不在適用單元內 ","")&amp;IF(AND(H267="Y",B267=""),"⚠ 排除只能用在單元列 ","")&amp;IF(AND(H267="Y",B267&lt;&gt;"",SUMPRODUCT(($A$2:$A$500=A267)*($C$2:$C$500=C267)*($D$2:$D$500=D267)*($B$2:$B$500=""))=0),"⚠ 排除需對應共用欄位 ","")&amp;IF(AND(ISNUMBER(F267),ISNUMBER(G267),F267&gt;G267),"⚠ 下限大於上限 ","")&amp;IF(SUMPRODUCT((檢查項目!$A$2:$A$500=A267)*(檢查項目!$C$2:$C$500=C267)*(檢查項目!$G$2:$G$500="數值"))=0,"⚠ 該項目不是數值類型 ",""))))</f>
        <v/>
      </c>
    </row>
    <row r="268">
      <c r="I268" s="2">
        <f>IF(A268="","",IFERROR(INDEX(檢查項目!$E$2:$E$500,MATCH(1,INDEX((檢查項目!$A$2:$A$500=A268)*(檢查項目!$C$2:$C$500=C268)*(檢查項目!$B$2:$B$500=B268),0),0)),IFERROR(INDEX(檢查項目!$E$2:$E$500,MATCH(1,INDEX((檢查項目!$A$2:$A$500=A268)*(檢查項目!$C$2:$C$500=C268)*(檢查項目!$B$2:$B$500=""),0),0)),"⚠ 找不到項目")))</f>
        <v/>
      </c>
      <c r="J268" s="2">
        <f>IF(A268="","",IF(B268="","共用",IF(H268="Y","排除（"&amp;B268&amp;"）",IF(SUMPRODUCT(($A$2:$A$500=A268)*($C$2:$C$500=C268)*($D$2:$D$500=D268)*($B$2:$B$500=""))&gt;0,"覆蓋共用（"&amp;B268&amp;"）","單元新增（"&amp;B268&amp;"）"))))</f>
        <v/>
      </c>
      <c r="K268" s="2">
        <f>IF(A268="","",IF(H268="Y","—",IF(AND(F268&lt;&gt;"",G268&lt;&gt;""),F268&amp;" ~ "&amp;G268,IF(G268&lt;&gt;"","≤ "&amp;G268,IF(F268&lt;&gt;"","≥ "&amp;F268,"只記錄、不檢核")))))</f>
        <v/>
      </c>
      <c r="L268" s="2">
        <f>IF(A268="","",IF(TRIM(IF(SUMPRODUCT(($A$2:$A$500=A268)*($B$2:$B$500=B268)*($C$2:$C$500=C268)*($D$2:$D$500=D268))&gt;1,"⚠ 欄位名稱重複 ","")&amp;IF(AND(B268&lt;&gt;"",NOT(ISNUMBER(SEARCH("、"&amp;B268&amp;"、","、"&amp;IFERROR(INDEX(表單!$I$2:$I$500,MATCH(A268,表單!$A$2:$A$500,0)),"")&amp;"、")))),"⚠ 單元不在適用單元內 ","")&amp;IF(AND(H268="Y",B268=""),"⚠ 排除只能用在單元列 ","")&amp;IF(AND(H268="Y",B268&lt;&gt;"",SUMPRODUCT(($A$2:$A$500=A268)*($C$2:$C$500=C268)*($D$2:$D$500=D268)*($B$2:$B$500=""))=0),"⚠ 排除需對應共用欄位 ","")&amp;IF(AND(ISNUMBER(F268),ISNUMBER(G268),F268&gt;G268),"⚠ 下限大於上限 ","")&amp;IF(SUMPRODUCT((檢查項目!$A$2:$A$500=A268)*(檢查項目!$C$2:$C$500=C268)*(檢查項目!$G$2:$G$500="數值"))=0,"⚠ 該項目不是數值類型 ",""))="","✓",TRIM(IF(SUMPRODUCT(($A$2:$A$500=A268)*($B$2:$B$500=B268)*($C$2:$C$500=C268)*($D$2:$D$500=D268))&gt;1,"⚠ 欄位名稱重複 ","")&amp;IF(AND(B268&lt;&gt;"",NOT(ISNUMBER(SEARCH("、"&amp;B268&amp;"、","、"&amp;IFERROR(INDEX(表單!$I$2:$I$500,MATCH(A268,表單!$A$2:$A$500,0)),"")&amp;"、")))),"⚠ 單元不在適用單元內 ","")&amp;IF(AND(H268="Y",B268=""),"⚠ 排除只能用在單元列 ","")&amp;IF(AND(H268="Y",B268&lt;&gt;"",SUMPRODUCT(($A$2:$A$500=A268)*($C$2:$C$500=C268)*($D$2:$D$500=D268)*($B$2:$B$500=""))=0),"⚠ 排除需對應共用欄位 ","")&amp;IF(AND(ISNUMBER(F268),ISNUMBER(G268),F268&gt;G268),"⚠ 下限大於上限 ","")&amp;IF(SUMPRODUCT((檢查項目!$A$2:$A$500=A268)*(檢查項目!$C$2:$C$500=C268)*(檢查項目!$G$2:$G$500="數值"))=0,"⚠ 該項目不是數值類型 ",""))))</f>
        <v/>
      </c>
    </row>
    <row r="269">
      <c r="I269" s="2">
        <f>IF(A269="","",IFERROR(INDEX(檢查項目!$E$2:$E$500,MATCH(1,INDEX((檢查項目!$A$2:$A$500=A269)*(檢查項目!$C$2:$C$500=C269)*(檢查項目!$B$2:$B$500=B269),0),0)),IFERROR(INDEX(檢查項目!$E$2:$E$500,MATCH(1,INDEX((檢查項目!$A$2:$A$500=A269)*(檢查項目!$C$2:$C$500=C269)*(檢查項目!$B$2:$B$500=""),0),0)),"⚠ 找不到項目")))</f>
        <v/>
      </c>
      <c r="J269" s="2">
        <f>IF(A269="","",IF(B269="","共用",IF(H269="Y","排除（"&amp;B269&amp;"）",IF(SUMPRODUCT(($A$2:$A$500=A269)*($C$2:$C$500=C269)*($D$2:$D$500=D269)*($B$2:$B$500=""))&gt;0,"覆蓋共用（"&amp;B269&amp;"）","單元新增（"&amp;B269&amp;"）"))))</f>
        <v/>
      </c>
      <c r="K269" s="2">
        <f>IF(A269="","",IF(H269="Y","—",IF(AND(F269&lt;&gt;"",G269&lt;&gt;""),F269&amp;" ~ "&amp;G269,IF(G269&lt;&gt;"","≤ "&amp;G269,IF(F269&lt;&gt;"","≥ "&amp;F269,"只記錄、不檢核")))))</f>
        <v/>
      </c>
      <c r="L269" s="2">
        <f>IF(A269="","",IF(TRIM(IF(SUMPRODUCT(($A$2:$A$500=A269)*($B$2:$B$500=B269)*($C$2:$C$500=C269)*($D$2:$D$500=D269))&gt;1,"⚠ 欄位名稱重複 ","")&amp;IF(AND(B269&lt;&gt;"",NOT(ISNUMBER(SEARCH("、"&amp;B269&amp;"、","、"&amp;IFERROR(INDEX(表單!$I$2:$I$500,MATCH(A269,表單!$A$2:$A$500,0)),"")&amp;"、")))),"⚠ 單元不在適用單元內 ","")&amp;IF(AND(H269="Y",B269=""),"⚠ 排除只能用在單元列 ","")&amp;IF(AND(H269="Y",B269&lt;&gt;"",SUMPRODUCT(($A$2:$A$500=A269)*($C$2:$C$500=C269)*($D$2:$D$500=D269)*($B$2:$B$500=""))=0),"⚠ 排除需對應共用欄位 ","")&amp;IF(AND(ISNUMBER(F269),ISNUMBER(G269),F269&gt;G269),"⚠ 下限大於上限 ","")&amp;IF(SUMPRODUCT((檢查項目!$A$2:$A$500=A269)*(檢查項目!$C$2:$C$500=C269)*(檢查項目!$G$2:$G$500="數值"))=0,"⚠ 該項目不是數值類型 ",""))="","✓",TRIM(IF(SUMPRODUCT(($A$2:$A$500=A269)*($B$2:$B$500=B269)*($C$2:$C$500=C269)*($D$2:$D$500=D269))&gt;1,"⚠ 欄位名稱重複 ","")&amp;IF(AND(B269&lt;&gt;"",NOT(ISNUMBER(SEARCH("、"&amp;B269&amp;"、","、"&amp;IFERROR(INDEX(表單!$I$2:$I$500,MATCH(A269,表單!$A$2:$A$500,0)),"")&amp;"、")))),"⚠ 單元不在適用單元內 ","")&amp;IF(AND(H269="Y",B269=""),"⚠ 排除只能用在單元列 ","")&amp;IF(AND(H269="Y",B269&lt;&gt;"",SUMPRODUCT(($A$2:$A$500=A269)*($C$2:$C$500=C269)*($D$2:$D$500=D269)*($B$2:$B$500=""))=0),"⚠ 排除需對應共用欄位 ","")&amp;IF(AND(ISNUMBER(F269),ISNUMBER(G269),F269&gt;G269),"⚠ 下限大於上限 ","")&amp;IF(SUMPRODUCT((檢查項目!$A$2:$A$500=A269)*(檢查項目!$C$2:$C$500=C269)*(檢查項目!$G$2:$G$500="數值"))=0,"⚠ 該項目不是數值類型 ",""))))</f>
        <v/>
      </c>
    </row>
    <row r="270">
      <c r="I270" s="2">
        <f>IF(A270="","",IFERROR(INDEX(檢查項目!$E$2:$E$500,MATCH(1,INDEX((檢查項目!$A$2:$A$500=A270)*(檢查項目!$C$2:$C$500=C270)*(檢查項目!$B$2:$B$500=B270),0),0)),IFERROR(INDEX(檢查項目!$E$2:$E$500,MATCH(1,INDEX((檢查項目!$A$2:$A$500=A270)*(檢查項目!$C$2:$C$500=C270)*(檢查項目!$B$2:$B$500=""),0),0)),"⚠ 找不到項目")))</f>
        <v/>
      </c>
      <c r="J270" s="2">
        <f>IF(A270="","",IF(B270="","共用",IF(H270="Y","排除（"&amp;B270&amp;"）",IF(SUMPRODUCT(($A$2:$A$500=A270)*($C$2:$C$500=C270)*($D$2:$D$500=D270)*($B$2:$B$500=""))&gt;0,"覆蓋共用（"&amp;B270&amp;"）","單元新增（"&amp;B270&amp;"）"))))</f>
        <v/>
      </c>
      <c r="K270" s="2">
        <f>IF(A270="","",IF(H270="Y","—",IF(AND(F270&lt;&gt;"",G270&lt;&gt;""),F270&amp;" ~ "&amp;G270,IF(G270&lt;&gt;"","≤ "&amp;G270,IF(F270&lt;&gt;"","≥ "&amp;F270,"只記錄、不檢核")))))</f>
        <v/>
      </c>
      <c r="L270" s="2">
        <f>IF(A270="","",IF(TRIM(IF(SUMPRODUCT(($A$2:$A$500=A270)*($B$2:$B$500=B270)*($C$2:$C$500=C270)*($D$2:$D$500=D270))&gt;1,"⚠ 欄位名稱重複 ","")&amp;IF(AND(B270&lt;&gt;"",NOT(ISNUMBER(SEARCH("、"&amp;B270&amp;"、","、"&amp;IFERROR(INDEX(表單!$I$2:$I$500,MATCH(A270,表單!$A$2:$A$500,0)),"")&amp;"、")))),"⚠ 單元不在適用單元內 ","")&amp;IF(AND(H270="Y",B270=""),"⚠ 排除只能用在單元列 ","")&amp;IF(AND(H270="Y",B270&lt;&gt;"",SUMPRODUCT(($A$2:$A$500=A270)*($C$2:$C$500=C270)*($D$2:$D$500=D270)*($B$2:$B$500=""))=0),"⚠ 排除需對應共用欄位 ","")&amp;IF(AND(ISNUMBER(F270),ISNUMBER(G270),F270&gt;G270),"⚠ 下限大於上限 ","")&amp;IF(SUMPRODUCT((檢查項目!$A$2:$A$500=A270)*(檢查項目!$C$2:$C$500=C270)*(檢查項目!$G$2:$G$500="數值"))=0,"⚠ 該項目不是數值類型 ",""))="","✓",TRIM(IF(SUMPRODUCT(($A$2:$A$500=A270)*($B$2:$B$500=B270)*($C$2:$C$500=C270)*($D$2:$D$500=D270))&gt;1,"⚠ 欄位名稱重複 ","")&amp;IF(AND(B270&lt;&gt;"",NOT(ISNUMBER(SEARCH("、"&amp;B270&amp;"、","、"&amp;IFERROR(INDEX(表單!$I$2:$I$500,MATCH(A270,表單!$A$2:$A$500,0)),"")&amp;"、")))),"⚠ 單元不在適用單元內 ","")&amp;IF(AND(H270="Y",B270=""),"⚠ 排除只能用在單元列 ","")&amp;IF(AND(H270="Y",B270&lt;&gt;"",SUMPRODUCT(($A$2:$A$500=A270)*($C$2:$C$500=C270)*($D$2:$D$500=D270)*($B$2:$B$500=""))=0),"⚠ 排除需對應共用欄位 ","")&amp;IF(AND(ISNUMBER(F270),ISNUMBER(G270),F270&gt;G270),"⚠ 下限大於上限 ","")&amp;IF(SUMPRODUCT((檢查項目!$A$2:$A$500=A270)*(檢查項目!$C$2:$C$500=C270)*(檢查項目!$G$2:$G$500="數值"))=0,"⚠ 該項目不是數值類型 ",""))))</f>
        <v/>
      </c>
    </row>
    <row r="271">
      <c r="I271" s="2">
        <f>IF(A271="","",IFERROR(INDEX(檢查項目!$E$2:$E$500,MATCH(1,INDEX((檢查項目!$A$2:$A$500=A271)*(檢查項目!$C$2:$C$500=C271)*(檢查項目!$B$2:$B$500=B271),0),0)),IFERROR(INDEX(檢查項目!$E$2:$E$500,MATCH(1,INDEX((檢查項目!$A$2:$A$500=A271)*(檢查項目!$C$2:$C$500=C271)*(檢查項目!$B$2:$B$500=""),0),0)),"⚠ 找不到項目")))</f>
        <v/>
      </c>
      <c r="J271" s="2">
        <f>IF(A271="","",IF(B271="","共用",IF(H271="Y","排除（"&amp;B271&amp;"）",IF(SUMPRODUCT(($A$2:$A$500=A271)*($C$2:$C$500=C271)*($D$2:$D$500=D271)*($B$2:$B$500=""))&gt;0,"覆蓋共用（"&amp;B271&amp;"）","單元新增（"&amp;B271&amp;"）"))))</f>
        <v/>
      </c>
      <c r="K271" s="2">
        <f>IF(A271="","",IF(H271="Y","—",IF(AND(F271&lt;&gt;"",G271&lt;&gt;""),F271&amp;" ~ "&amp;G271,IF(G271&lt;&gt;"","≤ "&amp;G271,IF(F271&lt;&gt;"","≥ "&amp;F271,"只記錄、不檢核")))))</f>
        <v/>
      </c>
      <c r="L271" s="2">
        <f>IF(A271="","",IF(TRIM(IF(SUMPRODUCT(($A$2:$A$500=A271)*($B$2:$B$500=B271)*($C$2:$C$500=C271)*($D$2:$D$500=D271))&gt;1,"⚠ 欄位名稱重複 ","")&amp;IF(AND(B271&lt;&gt;"",NOT(ISNUMBER(SEARCH("、"&amp;B271&amp;"、","、"&amp;IFERROR(INDEX(表單!$I$2:$I$500,MATCH(A271,表單!$A$2:$A$500,0)),"")&amp;"、")))),"⚠ 單元不在適用單元內 ","")&amp;IF(AND(H271="Y",B271=""),"⚠ 排除只能用在單元列 ","")&amp;IF(AND(H271="Y",B271&lt;&gt;"",SUMPRODUCT(($A$2:$A$500=A271)*($C$2:$C$500=C271)*($D$2:$D$500=D271)*($B$2:$B$500=""))=0),"⚠ 排除需對應共用欄位 ","")&amp;IF(AND(ISNUMBER(F271),ISNUMBER(G271),F271&gt;G271),"⚠ 下限大於上限 ","")&amp;IF(SUMPRODUCT((檢查項目!$A$2:$A$500=A271)*(檢查項目!$C$2:$C$500=C271)*(檢查項目!$G$2:$G$500="數值"))=0,"⚠ 該項目不是數值類型 ",""))="","✓",TRIM(IF(SUMPRODUCT(($A$2:$A$500=A271)*($B$2:$B$500=B271)*($C$2:$C$500=C271)*($D$2:$D$500=D271))&gt;1,"⚠ 欄位名稱重複 ","")&amp;IF(AND(B271&lt;&gt;"",NOT(ISNUMBER(SEARCH("、"&amp;B271&amp;"、","、"&amp;IFERROR(INDEX(表單!$I$2:$I$500,MATCH(A271,表單!$A$2:$A$500,0)),"")&amp;"、")))),"⚠ 單元不在適用單元內 ","")&amp;IF(AND(H271="Y",B271=""),"⚠ 排除只能用在單元列 ","")&amp;IF(AND(H271="Y",B271&lt;&gt;"",SUMPRODUCT(($A$2:$A$500=A271)*($C$2:$C$500=C271)*($D$2:$D$500=D271)*($B$2:$B$500=""))=0),"⚠ 排除需對應共用欄位 ","")&amp;IF(AND(ISNUMBER(F271),ISNUMBER(G271),F271&gt;G271),"⚠ 下限大於上限 ","")&amp;IF(SUMPRODUCT((檢查項目!$A$2:$A$500=A271)*(檢查項目!$C$2:$C$500=C271)*(檢查項目!$G$2:$G$500="數值"))=0,"⚠ 該項目不是數值類型 ",""))))</f>
        <v/>
      </c>
    </row>
    <row r="272">
      <c r="I272" s="2">
        <f>IF(A272="","",IFERROR(INDEX(檢查項目!$E$2:$E$500,MATCH(1,INDEX((檢查項目!$A$2:$A$500=A272)*(檢查項目!$C$2:$C$500=C272)*(檢查項目!$B$2:$B$500=B272),0),0)),IFERROR(INDEX(檢查項目!$E$2:$E$500,MATCH(1,INDEX((檢查項目!$A$2:$A$500=A272)*(檢查項目!$C$2:$C$500=C272)*(檢查項目!$B$2:$B$500=""),0),0)),"⚠ 找不到項目")))</f>
        <v/>
      </c>
      <c r="J272" s="2">
        <f>IF(A272="","",IF(B272="","共用",IF(H272="Y","排除（"&amp;B272&amp;"）",IF(SUMPRODUCT(($A$2:$A$500=A272)*($C$2:$C$500=C272)*($D$2:$D$500=D272)*($B$2:$B$500=""))&gt;0,"覆蓋共用（"&amp;B272&amp;"）","單元新增（"&amp;B272&amp;"）"))))</f>
        <v/>
      </c>
      <c r="K272" s="2">
        <f>IF(A272="","",IF(H272="Y","—",IF(AND(F272&lt;&gt;"",G272&lt;&gt;""),F272&amp;" ~ "&amp;G272,IF(G272&lt;&gt;"","≤ "&amp;G272,IF(F272&lt;&gt;"","≥ "&amp;F272,"只記錄、不檢核")))))</f>
        <v/>
      </c>
      <c r="L272" s="2">
        <f>IF(A272="","",IF(TRIM(IF(SUMPRODUCT(($A$2:$A$500=A272)*($B$2:$B$500=B272)*($C$2:$C$500=C272)*($D$2:$D$500=D272))&gt;1,"⚠ 欄位名稱重複 ","")&amp;IF(AND(B272&lt;&gt;"",NOT(ISNUMBER(SEARCH("、"&amp;B272&amp;"、","、"&amp;IFERROR(INDEX(表單!$I$2:$I$500,MATCH(A272,表單!$A$2:$A$500,0)),"")&amp;"、")))),"⚠ 單元不在適用單元內 ","")&amp;IF(AND(H272="Y",B272=""),"⚠ 排除只能用在單元列 ","")&amp;IF(AND(H272="Y",B272&lt;&gt;"",SUMPRODUCT(($A$2:$A$500=A272)*($C$2:$C$500=C272)*($D$2:$D$500=D272)*($B$2:$B$500=""))=0),"⚠ 排除需對應共用欄位 ","")&amp;IF(AND(ISNUMBER(F272),ISNUMBER(G272),F272&gt;G272),"⚠ 下限大於上限 ","")&amp;IF(SUMPRODUCT((檢查項目!$A$2:$A$500=A272)*(檢查項目!$C$2:$C$500=C272)*(檢查項目!$G$2:$G$500="數值"))=0,"⚠ 該項目不是數值類型 ",""))="","✓",TRIM(IF(SUMPRODUCT(($A$2:$A$500=A272)*($B$2:$B$500=B272)*($C$2:$C$500=C272)*($D$2:$D$500=D272))&gt;1,"⚠ 欄位名稱重複 ","")&amp;IF(AND(B272&lt;&gt;"",NOT(ISNUMBER(SEARCH("、"&amp;B272&amp;"、","、"&amp;IFERROR(INDEX(表單!$I$2:$I$500,MATCH(A272,表單!$A$2:$A$500,0)),"")&amp;"、")))),"⚠ 單元不在適用單元內 ","")&amp;IF(AND(H272="Y",B272=""),"⚠ 排除只能用在單元列 ","")&amp;IF(AND(H272="Y",B272&lt;&gt;"",SUMPRODUCT(($A$2:$A$500=A272)*($C$2:$C$500=C272)*($D$2:$D$500=D272)*($B$2:$B$500=""))=0),"⚠ 排除需對應共用欄位 ","")&amp;IF(AND(ISNUMBER(F272),ISNUMBER(G272),F272&gt;G272),"⚠ 下限大於上限 ","")&amp;IF(SUMPRODUCT((檢查項目!$A$2:$A$500=A272)*(檢查項目!$C$2:$C$500=C272)*(檢查項目!$G$2:$G$500="數值"))=0,"⚠ 該項目不是數值類型 ",""))))</f>
        <v/>
      </c>
    </row>
    <row r="273">
      <c r="I273" s="2">
        <f>IF(A273="","",IFERROR(INDEX(檢查項目!$E$2:$E$500,MATCH(1,INDEX((檢查項目!$A$2:$A$500=A273)*(檢查項目!$C$2:$C$500=C273)*(檢查項目!$B$2:$B$500=B273),0),0)),IFERROR(INDEX(檢查項目!$E$2:$E$500,MATCH(1,INDEX((檢查項目!$A$2:$A$500=A273)*(檢查項目!$C$2:$C$500=C273)*(檢查項目!$B$2:$B$500=""),0),0)),"⚠ 找不到項目")))</f>
        <v/>
      </c>
      <c r="J273" s="2">
        <f>IF(A273="","",IF(B273="","共用",IF(H273="Y","排除（"&amp;B273&amp;"）",IF(SUMPRODUCT(($A$2:$A$500=A273)*($C$2:$C$500=C273)*($D$2:$D$500=D273)*($B$2:$B$500=""))&gt;0,"覆蓋共用（"&amp;B273&amp;"）","單元新增（"&amp;B273&amp;"）"))))</f>
        <v/>
      </c>
      <c r="K273" s="2">
        <f>IF(A273="","",IF(H273="Y","—",IF(AND(F273&lt;&gt;"",G273&lt;&gt;""),F273&amp;" ~ "&amp;G273,IF(G273&lt;&gt;"","≤ "&amp;G273,IF(F273&lt;&gt;"","≥ "&amp;F273,"只記錄、不檢核")))))</f>
        <v/>
      </c>
      <c r="L273" s="2">
        <f>IF(A273="","",IF(TRIM(IF(SUMPRODUCT(($A$2:$A$500=A273)*($B$2:$B$500=B273)*($C$2:$C$500=C273)*($D$2:$D$500=D273))&gt;1,"⚠ 欄位名稱重複 ","")&amp;IF(AND(B273&lt;&gt;"",NOT(ISNUMBER(SEARCH("、"&amp;B273&amp;"、","、"&amp;IFERROR(INDEX(表單!$I$2:$I$500,MATCH(A273,表單!$A$2:$A$500,0)),"")&amp;"、")))),"⚠ 單元不在適用單元內 ","")&amp;IF(AND(H273="Y",B273=""),"⚠ 排除只能用在單元列 ","")&amp;IF(AND(H273="Y",B273&lt;&gt;"",SUMPRODUCT(($A$2:$A$500=A273)*($C$2:$C$500=C273)*($D$2:$D$500=D273)*($B$2:$B$500=""))=0),"⚠ 排除需對應共用欄位 ","")&amp;IF(AND(ISNUMBER(F273),ISNUMBER(G273),F273&gt;G273),"⚠ 下限大於上限 ","")&amp;IF(SUMPRODUCT((檢查項目!$A$2:$A$500=A273)*(檢查項目!$C$2:$C$500=C273)*(檢查項目!$G$2:$G$500="數值"))=0,"⚠ 該項目不是數值類型 ",""))="","✓",TRIM(IF(SUMPRODUCT(($A$2:$A$500=A273)*($B$2:$B$500=B273)*($C$2:$C$500=C273)*($D$2:$D$500=D273))&gt;1,"⚠ 欄位名稱重複 ","")&amp;IF(AND(B273&lt;&gt;"",NOT(ISNUMBER(SEARCH("、"&amp;B273&amp;"、","、"&amp;IFERROR(INDEX(表單!$I$2:$I$500,MATCH(A273,表單!$A$2:$A$500,0)),"")&amp;"、")))),"⚠ 單元不在適用單元內 ","")&amp;IF(AND(H273="Y",B273=""),"⚠ 排除只能用在單元列 ","")&amp;IF(AND(H273="Y",B273&lt;&gt;"",SUMPRODUCT(($A$2:$A$500=A273)*($C$2:$C$500=C273)*($D$2:$D$500=D273)*($B$2:$B$500=""))=0),"⚠ 排除需對應共用欄位 ","")&amp;IF(AND(ISNUMBER(F273),ISNUMBER(G273),F273&gt;G273),"⚠ 下限大於上限 ","")&amp;IF(SUMPRODUCT((檢查項目!$A$2:$A$500=A273)*(檢查項目!$C$2:$C$500=C273)*(檢查項目!$G$2:$G$500="數值"))=0,"⚠ 該項目不是數值類型 ",""))))</f>
        <v/>
      </c>
    </row>
    <row r="274">
      <c r="I274" s="2">
        <f>IF(A274="","",IFERROR(INDEX(檢查項目!$E$2:$E$500,MATCH(1,INDEX((檢查項目!$A$2:$A$500=A274)*(檢查項目!$C$2:$C$500=C274)*(檢查項目!$B$2:$B$500=B274),0),0)),IFERROR(INDEX(檢查項目!$E$2:$E$500,MATCH(1,INDEX((檢查項目!$A$2:$A$500=A274)*(檢查項目!$C$2:$C$500=C274)*(檢查項目!$B$2:$B$500=""),0),0)),"⚠ 找不到項目")))</f>
        <v/>
      </c>
      <c r="J274" s="2">
        <f>IF(A274="","",IF(B274="","共用",IF(H274="Y","排除（"&amp;B274&amp;"）",IF(SUMPRODUCT(($A$2:$A$500=A274)*($C$2:$C$500=C274)*($D$2:$D$500=D274)*($B$2:$B$500=""))&gt;0,"覆蓋共用（"&amp;B274&amp;"）","單元新增（"&amp;B274&amp;"）"))))</f>
        <v/>
      </c>
      <c r="K274" s="2">
        <f>IF(A274="","",IF(H274="Y","—",IF(AND(F274&lt;&gt;"",G274&lt;&gt;""),F274&amp;" ~ "&amp;G274,IF(G274&lt;&gt;"","≤ "&amp;G274,IF(F274&lt;&gt;"","≥ "&amp;F274,"只記錄、不檢核")))))</f>
        <v/>
      </c>
      <c r="L274" s="2">
        <f>IF(A274="","",IF(TRIM(IF(SUMPRODUCT(($A$2:$A$500=A274)*($B$2:$B$500=B274)*($C$2:$C$500=C274)*($D$2:$D$500=D274))&gt;1,"⚠ 欄位名稱重複 ","")&amp;IF(AND(B274&lt;&gt;"",NOT(ISNUMBER(SEARCH("、"&amp;B274&amp;"、","、"&amp;IFERROR(INDEX(表單!$I$2:$I$500,MATCH(A274,表單!$A$2:$A$500,0)),"")&amp;"、")))),"⚠ 單元不在適用單元內 ","")&amp;IF(AND(H274="Y",B274=""),"⚠ 排除只能用在單元列 ","")&amp;IF(AND(H274="Y",B274&lt;&gt;"",SUMPRODUCT(($A$2:$A$500=A274)*($C$2:$C$500=C274)*($D$2:$D$500=D274)*($B$2:$B$500=""))=0),"⚠ 排除需對應共用欄位 ","")&amp;IF(AND(ISNUMBER(F274),ISNUMBER(G274),F274&gt;G274),"⚠ 下限大於上限 ","")&amp;IF(SUMPRODUCT((檢查項目!$A$2:$A$500=A274)*(檢查項目!$C$2:$C$500=C274)*(檢查項目!$G$2:$G$500="數值"))=0,"⚠ 該項目不是數值類型 ",""))="","✓",TRIM(IF(SUMPRODUCT(($A$2:$A$500=A274)*($B$2:$B$500=B274)*($C$2:$C$500=C274)*($D$2:$D$500=D274))&gt;1,"⚠ 欄位名稱重複 ","")&amp;IF(AND(B274&lt;&gt;"",NOT(ISNUMBER(SEARCH("、"&amp;B274&amp;"、","、"&amp;IFERROR(INDEX(表單!$I$2:$I$500,MATCH(A274,表單!$A$2:$A$500,0)),"")&amp;"、")))),"⚠ 單元不在適用單元內 ","")&amp;IF(AND(H274="Y",B274=""),"⚠ 排除只能用在單元列 ","")&amp;IF(AND(H274="Y",B274&lt;&gt;"",SUMPRODUCT(($A$2:$A$500=A274)*($C$2:$C$500=C274)*($D$2:$D$500=D274)*($B$2:$B$500=""))=0),"⚠ 排除需對應共用欄位 ","")&amp;IF(AND(ISNUMBER(F274),ISNUMBER(G274),F274&gt;G274),"⚠ 下限大於上限 ","")&amp;IF(SUMPRODUCT((檢查項目!$A$2:$A$500=A274)*(檢查項目!$C$2:$C$500=C274)*(檢查項目!$G$2:$G$500="數值"))=0,"⚠ 該項目不是數值類型 ",""))))</f>
        <v/>
      </c>
    </row>
    <row r="275">
      <c r="I275" s="2">
        <f>IF(A275="","",IFERROR(INDEX(檢查項目!$E$2:$E$500,MATCH(1,INDEX((檢查項目!$A$2:$A$500=A275)*(檢查項目!$C$2:$C$500=C275)*(檢查項目!$B$2:$B$500=B275),0),0)),IFERROR(INDEX(檢查項目!$E$2:$E$500,MATCH(1,INDEX((檢查項目!$A$2:$A$500=A275)*(檢查項目!$C$2:$C$500=C275)*(檢查項目!$B$2:$B$500=""),0),0)),"⚠ 找不到項目")))</f>
        <v/>
      </c>
      <c r="J275" s="2">
        <f>IF(A275="","",IF(B275="","共用",IF(H275="Y","排除（"&amp;B275&amp;"）",IF(SUMPRODUCT(($A$2:$A$500=A275)*($C$2:$C$500=C275)*($D$2:$D$500=D275)*($B$2:$B$500=""))&gt;0,"覆蓋共用（"&amp;B275&amp;"）","單元新增（"&amp;B275&amp;"）"))))</f>
        <v/>
      </c>
      <c r="K275" s="2">
        <f>IF(A275="","",IF(H275="Y","—",IF(AND(F275&lt;&gt;"",G275&lt;&gt;""),F275&amp;" ~ "&amp;G275,IF(G275&lt;&gt;"","≤ "&amp;G275,IF(F275&lt;&gt;"","≥ "&amp;F275,"只記錄、不檢核")))))</f>
        <v/>
      </c>
      <c r="L275" s="2">
        <f>IF(A275="","",IF(TRIM(IF(SUMPRODUCT(($A$2:$A$500=A275)*($B$2:$B$500=B275)*($C$2:$C$500=C275)*($D$2:$D$500=D275))&gt;1,"⚠ 欄位名稱重複 ","")&amp;IF(AND(B275&lt;&gt;"",NOT(ISNUMBER(SEARCH("、"&amp;B275&amp;"、","、"&amp;IFERROR(INDEX(表單!$I$2:$I$500,MATCH(A275,表單!$A$2:$A$500,0)),"")&amp;"、")))),"⚠ 單元不在適用單元內 ","")&amp;IF(AND(H275="Y",B275=""),"⚠ 排除只能用在單元列 ","")&amp;IF(AND(H275="Y",B275&lt;&gt;"",SUMPRODUCT(($A$2:$A$500=A275)*($C$2:$C$500=C275)*($D$2:$D$500=D275)*($B$2:$B$500=""))=0),"⚠ 排除需對應共用欄位 ","")&amp;IF(AND(ISNUMBER(F275),ISNUMBER(G275),F275&gt;G275),"⚠ 下限大於上限 ","")&amp;IF(SUMPRODUCT((檢查項目!$A$2:$A$500=A275)*(檢查項目!$C$2:$C$500=C275)*(檢查項目!$G$2:$G$500="數值"))=0,"⚠ 該項目不是數值類型 ",""))="","✓",TRIM(IF(SUMPRODUCT(($A$2:$A$500=A275)*($B$2:$B$500=B275)*($C$2:$C$500=C275)*($D$2:$D$500=D275))&gt;1,"⚠ 欄位名稱重複 ","")&amp;IF(AND(B275&lt;&gt;"",NOT(ISNUMBER(SEARCH("、"&amp;B275&amp;"、","、"&amp;IFERROR(INDEX(表單!$I$2:$I$500,MATCH(A275,表單!$A$2:$A$500,0)),"")&amp;"、")))),"⚠ 單元不在適用單元內 ","")&amp;IF(AND(H275="Y",B275=""),"⚠ 排除只能用在單元列 ","")&amp;IF(AND(H275="Y",B275&lt;&gt;"",SUMPRODUCT(($A$2:$A$500=A275)*($C$2:$C$500=C275)*($D$2:$D$500=D275)*($B$2:$B$500=""))=0),"⚠ 排除需對應共用欄位 ","")&amp;IF(AND(ISNUMBER(F275),ISNUMBER(G275),F275&gt;G275),"⚠ 下限大於上限 ","")&amp;IF(SUMPRODUCT((檢查項目!$A$2:$A$500=A275)*(檢查項目!$C$2:$C$500=C275)*(檢查項目!$G$2:$G$500="數值"))=0,"⚠ 該項目不是數值類型 ",""))))</f>
        <v/>
      </c>
    </row>
    <row r="276">
      <c r="I276" s="2">
        <f>IF(A276="","",IFERROR(INDEX(檢查項目!$E$2:$E$500,MATCH(1,INDEX((檢查項目!$A$2:$A$500=A276)*(檢查項目!$C$2:$C$500=C276)*(檢查項目!$B$2:$B$500=B276),0),0)),IFERROR(INDEX(檢查項目!$E$2:$E$500,MATCH(1,INDEX((檢查項目!$A$2:$A$500=A276)*(檢查項目!$C$2:$C$500=C276)*(檢查項目!$B$2:$B$500=""),0),0)),"⚠ 找不到項目")))</f>
        <v/>
      </c>
      <c r="J276" s="2">
        <f>IF(A276="","",IF(B276="","共用",IF(H276="Y","排除（"&amp;B276&amp;"）",IF(SUMPRODUCT(($A$2:$A$500=A276)*($C$2:$C$500=C276)*($D$2:$D$500=D276)*($B$2:$B$500=""))&gt;0,"覆蓋共用（"&amp;B276&amp;"）","單元新增（"&amp;B276&amp;"）"))))</f>
        <v/>
      </c>
      <c r="K276" s="2">
        <f>IF(A276="","",IF(H276="Y","—",IF(AND(F276&lt;&gt;"",G276&lt;&gt;""),F276&amp;" ~ "&amp;G276,IF(G276&lt;&gt;"","≤ "&amp;G276,IF(F276&lt;&gt;"","≥ "&amp;F276,"只記錄、不檢核")))))</f>
        <v/>
      </c>
      <c r="L276" s="2">
        <f>IF(A276="","",IF(TRIM(IF(SUMPRODUCT(($A$2:$A$500=A276)*($B$2:$B$500=B276)*($C$2:$C$500=C276)*($D$2:$D$500=D276))&gt;1,"⚠ 欄位名稱重複 ","")&amp;IF(AND(B276&lt;&gt;"",NOT(ISNUMBER(SEARCH("、"&amp;B276&amp;"、","、"&amp;IFERROR(INDEX(表單!$I$2:$I$500,MATCH(A276,表單!$A$2:$A$500,0)),"")&amp;"、")))),"⚠ 單元不在適用單元內 ","")&amp;IF(AND(H276="Y",B276=""),"⚠ 排除只能用在單元列 ","")&amp;IF(AND(H276="Y",B276&lt;&gt;"",SUMPRODUCT(($A$2:$A$500=A276)*($C$2:$C$500=C276)*($D$2:$D$500=D276)*($B$2:$B$500=""))=0),"⚠ 排除需對應共用欄位 ","")&amp;IF(AND(ISNUMBER(F276),ISNUMBER(G276),F276&gt;G276),"⚠ 下限大於上限 ","")&amp;IF(SUMPRODUCT((檢查項目!$A$2:$A$500=A276)*(檢查項目!$C$2:$C$500=C276)*(檢查項目!$G$2:$G$500="數值"))=0,"⚠ 該項目不是數值類型 ",""))="","✓",TRIM(IF(SUMPRODUCT(($A$2:$A$500=A276)*($B$2:$B$500=B276)*($C$2:$C$500=C276)*($D$2:$D$500=D276))&gt;1,"⚠ 欄位名稱重複 ","")&amp;IF(AND(B276&lt;&gt;"",NOT(ISNUMBER(SEARCH("、"&amp;B276&amp;"、","、"&amp;IFERROR(INDEX(表單!$I$2:$I$500,MATCH(A276,表單!$A$2:$A$500,0)),"")&amp;"、")))),"⚠ 單元不在適用單元內 ","")&amp;IF(AND(H276="Y",B276=""),"⚠ 排除只能用在單元列 ","")&amp;IF(AND(H276="Y",B276&lt;&gt;"",SUMPRODUCT(($A$2:$A$500=A276)*($C$2:$C$500=C276)*($D$2:$D$500=D276)*($B$2:$B$500=""))=0),"⚠ 排除需對應共用欄位 ","")&amp;IF(AND(ISNUMBER(F276),ISNUMBER(G276),F276&gt;G276),"⚠ 下限大於上限 ","")&amp;IF(SUMPRODUCT((檢查項目!$A$2:$A$500=A276)*(檢查項目!$C$2:$C$500=C276)*(檢查項目!$G$2:$G$500="數值"))=0,"⚠ 該項目不是數值類型 ",""))))</f>
        <v/>
      </c>
    </row>
    <row r="277">
      <c r="I277" s="2">
        <f>IF(A277="","",IFERROR(INDEX(檢查項目!$E$2:$E$500,MATCH(1,INDEX((檢查項目!$A$2:$A$500=A277)*(檢查項目!$C$2:$C$500=C277)*(檢查項目!$B$2:$B$500=B277),0),0)),IFERROR(INDEX(檢查項目!$E$2:$E$500,MATCH(1,INDEX((檢查項目!$A$2:$A$500=A277)*(檢查項目!$C$2:$C$500=C277)*(檢查項目!$B$2:$B$500=""),0),0)),"⚠ 找不到項目")))</f>
        <v/>
      </c>
      <c r="J277" s="2">
        <f>IF(A277="","",IF(B277="","共用",IF(H277="Y","排除（"&amp;B277&amp;"）",IF(SUMPRODUCT(($A$2:$A$500=A277)*($C$2:$C$500=C277)*($D$2:$D$500=D277)*($B$2:$B$500=""))&gt;0,"覆蓋共用（"&amp;B277&amp;"）","單元新增（"&amp;B277&amp;"）"))))</f>
        <v/>
      </c>
      <c r="K277" s="2">
        <f>IF(A277="","",IF(H277="Y","—",IF(AND(F277&lt;&gt;"",G277&lt;&gt;""),F277&amp;" ~ "&amp;G277,IF(G277&lt;&gt;"","≤ "&amp;G277,IF(F277&lt;&gt;"","≥ "&amp;F277,"只記錄、不檢核")))))</f>
        <v/>
      </c>
      <c r="L277" s="2">
        <f>IF(A277="","",IF(TRIM(IF(SUMPRODUCT(($A$2:$A$500=A277)*($B$2:$B$500=B277)*($C$2:$C$500=C277)*($D$2:$D$500=D277))&gt;1,"⚠ 欄位名稱重複 ","")&amp;IF(AND(B277&lt;&gt;"",NOT(ISNUMBER(SEARCH("、"&amp;B277&amp;"、","、"&amp;IFERROR(INDEX(表單!$I$2:$I$500,MATCH(A277,表單!$A$2:$A$500,0)),"")&amp;"、")))),"⚠ 單元不在適用單元內 ","")&amp;IF(AND(H277="Y",B277=""),"⚠ 排除只能用在單元列 ","")&amp;IF(AND(H277="Y",B277&lt;&gt;"",SUMPRODUCT(($A$2:$A$500=A277)*($C$2:$C$500=C277)*($D$2:$D$500=D277)*($B$2:$B$500=""))=0),"⚠ 排除需對應共用欄位 ","")&amp;IF(AND(ISNUMBER(F277),ISNUMBER(G277),F277&gt;G277),"⚠ 下限大於上限 ","")&amp;IF(SUMPRODUCT((檢查項目!$A$2:$A$500=A277)*(檢查項目!$C$2:$C$500=C277)*(檢查項目!$G$2:$G$500="數值"))=0,"⚠ 該項目不是數值類型 ",""))="","✓",TRIM(IF(SUMPRODUCT(($A$2:$A$500=A277)*($B$2:$B$500=B277)*($C$2:$C$500=C277)*($D$2:$D$500=D277))&gt;1,"⚠ 欄位名稱重複 ","")&amp;IF(AND(B277&lt;&gt;"",NOT(ISNUMBER(SEARCH("、"&amp;B277&amp;"、","、"&amp;IFERROR(INDEX(表單!$I$2:$I$500,MATCH(A277,表單!$A$2:$A$500,0)),"")&amp;"、")))),"⚠ 單元不在適用單元內 ","")&amp;IF(AND(H277="Y",B277=""),"⚠ 排除只能用在單元列 ","")&amp;IF(AND(H277="Y",B277&lt;&gt;"",SUMPRODUCT(($A$2:$A$500=A277)*($C$2:$C$500=C277)*($D$2:$D$500=D277)*($B$2:$B$500=""))=0),"⚠ 排除需對應共用欄位 ","")&amp;IF(AND(ISNUMBER(F277),ISNUMBER(G277),F277&gt;G277),"⚠ 下限大於上限 ","")&amp;IF(SUMPRODUCT((檢查項目!$A$2:$A$500=A277)*(檢查項目!$C$2:$C$500=C277)*(檢查項目!$G$2:$G$500="數值"))=0,"⚠ 該項目不是數值類型 ",""))))</f>
        <v/>
      </c>
    </row>
    <row r="278">
      <c r="I278" s="2">
        <f>IF(A278="","",IFERROR(INDEX(檢查項目!$E$2:$E$500,MATCH(1,INDEX((檢查項目!$A$2:$A$500=A278)*(檢查項目!$C$2:$C$500=C278)*(檢查項目!$B$2:$B$500=B278),0),0)),IFERROR(INDEX(檢查項目!$E$2:$E$500,MATCH(1,INDEX((檢查項目!$A$2:$A$500=A278)*(檢查項目!$C$2:$C$500=C278)*(檢查項目!$B$2:$B$500=""),0),0)),"⚠ 找不到項目")))</f>
        <v/>
      </c>
      <c r="J278" s="2">
        <f>IF(A278="","",IF(B278="","共用",IF(H278="Y","排除（"&amp;B278&amp;"）",IF(SUMPRODUCT(($A$2:$A$500=A278)*($C$2:$C$500=C278)*($D$2:$D$500=D278)*($B$2:$B$500=""))&gt;0,"覆蓋共用（"&amp;B278&amp;"）","單元新增（"&amp;B278&amp;"）"))))</f>
        <v/>
      </c>
      <c r="K278" s="2">
        <f>IF(A278="","",IF(H278="Y","—",IF(AND(F278&lt;&gt;"",G278&lt;&gt;""),F278&amp;" ~ "&amp;G278,IF(G278&lt;&gt;"","≤ "&amp;G278,IF(F278&lt;&gt;"","≥ "&amp;F278,"只記錄、不檢核")))))</f>
        <v/>
      </c>
      <c r="L278" s="2">
        <f>IF(A278="","",IF(TRIM(IF(SUMPRODUCT(($A$2:$A$500=A278)*($B$2:$B$500=B278)*($C$2:$C$500=C278)*($D$2:$D$500=D278))&gt;1,"⚠ 欄位名稱重複 ","")&amp;IF(AND(B278&lt;&gt;"",NOT(ISNUMBER(SEARCH("、"&amp;B278&amp;"、","、"&amp;IFERROR(INDEX(表單!$I$2:$I$500,MATCH(A278,表單!$A$2:$A$500,0)),"")&amp;"、")))),"⚠ 單元不在適用單元內 ","")&amp;IF(AND(H278="Y",B278=""),"⚠ 排除只能用在單元列 ","")&amp;IF(AND(H278="Y",B278&lt;&gt;"",SUMPRODUCT(($A$2:$A$500=A278)*($C$2:$C$500=C278)*($D$2:$D$500=D278)*($B$2:$B$500=""))=0),"⚠ 排除需對應共用欄位 ","")&amp;IF(AND(ISNUMBER(F278),ISNUMBER(G278),F278&gt;G278),"⚠ 下限大於上限 ","")&amp;IF(SUMPRODUCT((檢查項目!$A$2:$A$500=A278)*(檢查項目!$C$2:$C$500=C278)*(檢查項目!$G$2:$G$500="數值"))=0,"⚠ 該項目不是數值類型 ",""))="","✓",TRIM(IF(SUMPRODUCT(($A$2:$A$500=A278)*($B$2:$B$500=B278)*($C$2:$C$500=C278)*($D$2:$D$500=D278))&gt;1,"⚠ 欄位名稱重複 ","")&amp;IF(AND(B278&lt;&gt;"",NOT(ISNUMBER(SEARCH("、"&amp;B278&amp;"、","、"&amp;IFERROR(INDEX(表單!$I$2:$I$500,MATCH(A278,表單!$A$2:$A$500,0)),"")&amp;"、")))),"⚠ 單元不在適用單元內 ","")&amp;IF(AND(H278="Y",B278=""),"⚠ 排除只能用在單元列 ","")&amp;IF(AND(H278="Y",B278&lt;&gt;"",SUMPRODUCT(($A$2:$A$500=A278)*($C$2:$C$500=C278)*($D$2:$D$500=D278)*($B$2:$B$500=""))=0),"⚠ 排除需對應共用欄位 ","")&amp;IF(AND(ISNUMBER(F278),ISNUMBER(G278),F278&gt;G278),"⚠ 下限大於上限 ","")&amp;IF(SUMPRODUCT((檢查項目!$A$2:$A$500=A278)*(檢查項目!$C$2:$C$500=C278)*(檢查項目!$G$2:$G$500="數值"))=0,"⚠ 該項目不是數值類型 ",""))))</f>
        <v/>
      </c>
    </row>
    <row r="279">
      <c r="I279" s="2">
        <f>IF(A279="","",IFERROR(INDEX(檢查項目!$E$2:$E$500,MATCH(1,INDEX((檢查項目!$A$2:$A$500=A279)*(檢查項目!$C$2:$C$500=C279)*(檢查項目!$B$2:$B$500=B279),0),0)),IFERROR(INDEX(檢查項目!$E$2:$E$500,MATCH(1,INDEX((檢查項目!$A$2:$A$500=A279)*(檢查項目!$C$2:$C$500=C279)*(檢查項目!$B$2:$B$500=""),0),0)),"⚠ 找不到項目")))</f>
        <v/>
      </c>
      <c r="J279" s="2">
        <f>IF(A279="","",IF(B279="","共用",IF(H279="Y","排除（"&amp;B279&amp;"）",IF(SUMPRODUCT(($A$2:$A$500=A279)*($C$2:$C$500=C279)*($D$2:$D$500=D279)*($B$2:$B$500=""))&gt;0,"覆蓋共用（"&amp;B279&amp;"）","單元新增（"&amp;B279&amp;"）"))))</f>
        <v/>
      </c>
      <c r="K279" s="2">
        <f>IF(A279="","",IF(H279="Y","—",IF(AND(F279&lt;&gt;"",G279&lt;&gt;""),F279&amp;" ~ "&amp;G279,IF(G279&lt;&gt;"","≤ "&amp;G279,IF(F279&lt;&gt;"","≥ "&amp;F279,"只記錄、不檢核")))))</f>
        <v/>
      </c>
      <c r="L279" s="2">
        <f>IF(A279="","",IF(TRIM(IF(SUMPRODUCT(($A$2:$A$500=A279)*($B$2:$B$500=B279)*($C$2:$C$500=C279)*($D$2:$D$500=D279))&gt;1,"⚠ 欄位名稱重複 ","")&amp;IF(AND(B279&lt;&gt;"",NOT(ISNUMBER(SEARCH("、"&amp;B279&amp;"、","、"&amp;IFERROR(INDEX(表單!$I$2:$I$500,MATCH(A279,表單!$A$2:$A$500,0)),"")&amp;"、")))),"⚠ 單元不在適用單元內 ","")&amp;IF(AND(H279="Y",B279=""),"⚠ 排除只能用在單元列 ","")&amp;IF(AND(H279="Y",B279&lt;&gt;"",SUMPRODUCT(($A$2:$A$500=A279)*($C$2:$C$500=C279)*($D$2:$D$500=D279)*($B$2:$B$500=""))=0),"⚠ 排除需對應共用欄位 ","")&amp;IF(AND(ISNUMBER(F279),ISNUMBER(G279),F279&gt;G279),"⚠ 下限大於上限 ","")&amp;IF(SUMPRODUCT((檢查項目!$A$2:$A$500=A279)*(檢查項目!$C$2:$C$500=C279)*(檢查項目!$G$2:$G$500="數值"))=0,"⚠ 該項目不是數值類型 ",""))="","✓",TRIM(IF(SUMPRODUCT(($A$2:$A$500=A279)*($B$2:$B$500=B279)*($C$2:$C$500=C279)*($D$2:$D$500=D279))&gt;1,"⚠ 欄位名稱重複 ","")&amp;IF(AND(B279&lt;&gt;"",NOT(ISNUMBER(SEARCH("、"&amp;B279&amp;"、","、"&amp;IFERROR(INDEX(表單!$I$2:$I$500,MATCH(A279,表單!$A$2:$A$500,0)),"")&amp;"、")))),"⚠ 單元不在適用單元內 ","")&amp;IF(AND(H279="Y",B279=""),"⚠ 排除只能用在單元列 ","")&amp;IF(AND(H279="Y",B279&lt;&gt;"",SUMPRODUCT(($A$2:$A$500=A279)*($C$2:$C$500=C279)*($D$2:$D$500=D279)*($B$2:$B$500=""))=0),"⚠ 排除需對應共用欄位 ","")&amp;IF(AND(ISNUMBER(F279),ISNUMBER(G279),F279&gt;G279),"⚠ 下限大於上限 ","")&amp;IF(SUMPRODUCT((檢查項目!$A$2:$A$500=A279)*(檢查項目!$C$2:$C$500=C279)*(檢查項目!$G$2:$G$500="數值"))=0,"⚠ 該項目不是數值類型 ",""))))</f>
        <v/>
      </c>
    </row>
    <row r="280">
      <c r="I280" s="2">
        <f>IF(A280="","",IFERROR(INDEX(檢查項目!$E$2:$E$500,MATCH(1,INDEX((檢查項目!$A$2:$A$500=A280)*(檢查項目!$C$2:$C$500=C280)*(檢查項目!$B$2:$B$500=B280),0),0)),IFERROR(INDEX(檢查項目!$E$2:$E$500,MATCH(1,INDEX((檢查項目!$A$2:$A$500=A280)*(檢查項目!$C$2:$C$500=C280)*(檢查項目!$B$2:$B$500=""),0),0)),"⚠ 找不到項目")))</f>
        <v/>
      </c>
      <c r="J280" s="2">
        <f>IF(A280="","",IF(B280="","共用",IF(H280="Y","排除（"&amp;B280&amp;"）",IF(SUMPRODUCT(($A$2:$A$500=A280)*($C$2:$C$500=C280)*($D$2:$D$500=D280)*($B$2:$B$500=""))&gt;0,"覆蓋共用（"&amp;B280&amp;"）","單元新增（"&amp;B280&amp;"）"))))</f>
        <v/>
      </c>
      <c r="K280" s="2">
        <f>IF(A280="","",IF(H280="Y","—",IF(AND(F280&lt;&gt;"",G280&lt;&gt;""),F280&amp;" ~ "&amp;G280,IF(G280&lt;&gt;"","≤ "&amp;G280,IF(F280&lt;&gt;"","≥ "&amp;F280,"只記錄、不檢核")))))</f>
        <v/>
      </c>
      <c r="L280" s="2">
        <f>IF(A280="","",IF(TRIM(IF(SUMPRODUCT(($A$2:$A$500=A280)*($B$2:$B$500=B280)*($C$2:$C$500=C280)*($D$2:$D$500=D280))&gt;1,"⚠ 欄位名稱重複 ","")&amp;IF(AND(B280&lt;&gt;"",NOT(ISNUMBER(SEARCH("、"&amp;B280&amp;"、","、"&amp;IFERROR(INDEX(表單!$I$2:$I$500,MATCH(A280,表單!$A$2:$A$500,0)),"")&amp;"、")))),"⚠ 單元不在適用單元內 ","")&amp;IF(AND(H280="Y",B280=""),"⚠ 排除只能用在單元列 ","")&amp;IF(AND(H280="Y",B280&lt;&gt;"",SUMPRODUCT(($A$2:$A$500=A280)*($C$2:$C$500=C280)*($D$2:$D$500=D280)*($B$2:$B$500=""))=0),"⚠ 排除需對應共用欄位 ","")&amp;IF(AND(ISNUMBER(F280),ISNUMBER(G280),F280&gt;G280),"⚠ 下限大於上限 ","")&amp;IF(SUMPRODUCT((檢查項目!$A$2:$A$500=A280)*(檢查項目!$C$2:$C$500=C280)*(檢查項目!$G$2:$G$500="數值"))=0,"⚠ 該項目不是數值類型 ",""))="","✓",TRIM(IF(SUMPRODUCT(($A$2:$A$500=A280)*($B$2:$B$500=B280)*($C$2:$C$500=C280)*($D$2:$D$500=D280))&gt;1,"⚠ 欄位名稱重複 ","")&amp;IF(AND(B280&lt;&gt;"",NOT(ISNUMBER(SEARCH("、"&amp;B280&amp;"、","、"&amp;IFERROR(INDEX(表單!$I$2:$I$500,MATCH(A280,表單!$A$2:$A$500,0)),"")&amp;"、")))),"⚠ 單元不在適用單元內 ","")&amp;IF(AND(H280="Y",B280=""),"⚠ 排除只能用在單元列 ","")&amp;IF(AND(H280="Y",B280&lt;&gt;"",SUMPRODUCT(($A$2:$A$500=A280)*($C$2:$C$500=C280)*($D$2:$D$500=D280)*($B$2:$B$500=""))=0),"⚠ 排除需對應共用欄位 ","")&amp;IF(AND(ISNUMBER(F280),ISNUMBER(G280),F280&gt;G280),"⚠ 下限大於上限 ","")&amp;IF(SUMPRODUCT((檢查項目!$A$2:$A$500=A280)*(檢查項目!$C$2:$C$500=C280)*(檢查項目!$G$2:$G$500="數值"))=0,"⚠ 該項目不是數值類型 ",""))))</f>
        <v/>
      </c>
    </row>
    <row r="281">
      <c r="I281" s="2">
        <f>IF(A281="","",IFERROR(INDEX(檢查項目!$E$2:$E$500,MATCH(1,INDEX((檢查項目!$A$2:$A$500=A281)*(檢查項目!$C$2:$C$500=C281)*(檢查項目!$B$2:$B$500=B281),0),0)),IFERROR(INDEX(檢查項目!$E$2:$E$500,MATCH(1,INDEX((檢查項目!$A$2:$A$500=A281)*(檢查項目!$C$2:$C$500=C281)*(檢查項目!$B$2:$B$500=""),0),0)),"⚠ 找不到項目")))</f>
        <v/>
      </c>
      <c r="J281" s="2">
        <f>IF(A281="","",IF(B281="","共用",IF(H281="Y","排除（"&amp;B281&amp;"）",IF(SUMPRODUCT(($A$2:$A$500=A281)*($C$2:$C$500=C281)*($D$2:$D$500=D281)*($B$2:$B$500=""))&gt;0,"覆蓋共用（"&amp;B281&amp;"）","單元新增（"&amp;B281&amp;"）"))))</f>
        <v/>
      </c>
      <c r="K281" s="2">
        <f>IF(A281="","",IF(H281="Y","—",IF(AND(F281&lt;&gt;"",G281&lt;&gt;""),F281&amp;" ~ "&amp;G281,IF(G281&lt;&gt;"","≤ "&amp;G281,IF(F281&lt;&gt;"","≥ "&amp;F281,"只記錄、不檢核")))))</f>
        <v/>
      </c>
      <c r="L281" s="2">
        <f>IF(A281="","",IF(TRIM(IF(SUMPRODUCT(($A$2:$A$500=A281)*($B$2:$B$500=B281)*($C$2:$C$500=C281)*($D$2:$D$500=D281))&gt;1,"⚠ 欄位名稱重複 ","")&amp;IF(AND(B281&lt;&gt;"",NOT(ISNUMBER(SEARCH("、"&amp;B281&amp;"、","、"&amp;IFERROR(INDEX(表單!$I$2:$I$500,MATCH(A281,表單!$A$2:$A$500,0)),"")&amp;"、")))),"⚠ 單元不在適用單元內 ","")&amp;IF(AND(H281="Y",B281=""),"⚠ 排除只能用在單元列 ","")&amp;IF(AND(H281="Y",B281&lt;&gt;"",SUMPRODUCT(($A$2:$A$500=A281)*($C$2:$C$500=C281)*($D$2:$D$500=D281)*($B$2:$B$500=""))=0),"⚠ 排除需對應共用欄位 ","")&amp;IF(AND(ISNUMBER(F281),ISNUMBER(G281),F281&gt;G281),"⚠ 下限大於上限 ","")&amp;IF(SUMPRODUCT((檢查項目!$A$2:$A$500=A281)*(檢查項目!$C$2:$C$500=C281)*(檢查項目!$G$2:$G$500="數值"))=0,"⚠ 該項目不是數值類型 ",""))="","✓",TRIM(IF(SUMPRODUCT(($A$2:$A$500=A281)*($B$2:$B$500=B281)*($C$2:$C$500=C281)*($D$2:$D$500=D281))&gt;1,"⚠ 欄位名稱重複 ","")&amp;IF(AND(B281&lt;&gt;"",NOT(ISNUMBER(SEARCH("、"&amp;B281&amp;"、","、"&amp;IFERROR(INDEX(表單!$I$2:$I$500,MATCH(A281,表單!$A$2:$A$500,0)),"")&amp;"、")))),"⚠ 單元不在適用單元內 ","")&amp;IF(AND(H281="Y",B281=""),"⚠ 排除只能用在單元列 ","")&amp;IF(AND(H281="Y",B281&lt;&gt;"",SUMPRODUCT(($A$2:$A$500=A281)*($C$2:$C$500=C281)*($D$2:$D$500=D281)*($B$2:$B$500=""))=0),"⚠ 排除需對應共用欄位 ","")&amp;IF(AND(ISNUMBER(F281),ISNUMBER(G281),F281&gt;G281),"⚠ 下限大於上限 ","")&amp;IF(SUMPRODUCT((檢查項目!$A$2:$A$500=A281)*(檢查項目!$C$2:$C$500=C281)*(檢查項目!$G$2:$G$500="數值"))=0,"⚠ 該項目不是數值類型 ",""))))</f>
        <v/>
      </c>
    </row>
    <row r="282">
      <c r="I282" s="2">
        <f>IF(A282="","",IFERROR(INDEX(檢查項目!$E$2:$E$500,MATCH(1,INDEX((檢查項目!$A$2:$A$500=A282)*(檢查項目!$C$2:$C$500=C282)*(檢查項目!$B$2:$B$500=B282),0),0)),IFERROR(INDEX(檢查項目!$E$2:$E$500,MATCH(1,INDEX((檢查項目!$A$2:$A$500=A282)*(檢查項目!$C$2:$C$500=C282)*(檢查項目!$B$2:$B$500=""),0),0)),"⚠ 找不到項目")))</f>
        <v/>
      </c>
      <c r="J282" s="2">
        <f>IF(A282="","",IF(B282="","共用",IF(H282="Y","排除（"&amp;B282&amp;"）",IF(SUMPRODUCT(($A$2:$A$500=A282)*($C$2:$C$500=C282)*($D$2:$D$500=D282)*($B$2:$B$500=""))&gt;0,"覆蓋共用（"&amp;B282&amp;"）","單元新增（"&amp;B282&amp;"）"))))</f>
        <v/>
      </c>
      <c r="K282" s="2">
        <f>IF(A282="","",IF(H282="Y","—",IF(AND(F282&lt;&gt;"",G282&lt;&gt;""),F282&amp;" ~ "&amp;G282,IF(G282&lt;&gt;"","≤ "&amp;G282,IF(F282&lt;&gt;"","≥ "&amp;F282,"只記錄、不檢核")))))</f>
        <v/>
      </c>
      <c r="L282" s="2">
        <f>IF(A282="","",IF(TRIM(IF(SUMPRODUCT(($A$2:$A$500=A282)*($B$2:$B$500=B282)*($C$2:$C$500=C282)*($D$2:$D$500=D282))&gt;1,"⚠ 欄位名稱重複 ","")&amp;IF(AND(B282&lt;&gt;"",NOT(ISNUMBER(SEARCH("、"&amp;B282&amp;"、","、"&amp;IFERROR(INDEX(表單!$I$2:$I$500,MATCH(A282,表單!$A$2:$A$500,0)),"")&amp;"、")))),"⚠ 單元不在適用單元內 ","")&amp;IF(AND(H282="Y",B282=""),"⚠ 排除只能用在單元列 ","")&amp;IF(AND(H282="Y",B282&lt;&gt;"",SUMPRODUCT(($A$2:$A$500=A282)*($C$2:$C$500=C282)*($D$2:$D$500=D282)*($B$2:$B$500=""))=0),"⚠ 排除需對應共用欄位 ","")&amp;IF(AND(ISNUMBER(F282),ISNUMBER(G282),F282&gt;G282),"⚠ 下限大於上限 ","")&amp;IF(SUMPRODUCT((檢查項目!$A$2:$A$500=A282)*(檢查項目!$C$2:$C$500=C282)*(檢查項目!$G$2:$G$500="數值"))=0,"⚠ 該項目不是數值類型 ",""))="","✓",TRIM(IF(SUMPRODUCT(($A$2:$A$500=A282)*($B$2:$B$500=B282)*($C$2:$C$500=C282)*($D$2:$D$500=D282))&gt;1,"⚠ 欄位名稱重複 ","")&amp;IF(AND(B282&lt;&gt;"",NOT(ISNUMBER(SEARCH("、"&amp;B282&amp;"、","、"&amp;IFERROR(INDEX(表單!$I$2:$I$500,MATCH(A282,表單!$A$2:$A$500,0)),"")&amp;"、")))),"⚠ 單元不在適用單元內 ","")&amp;IF(AND(H282="Y",B282=""),"⚠ 排除只能用在單元列 ","")&amp;IF(AND(H282="Y",B282&lt;&gt;"",SUMPRODUCT(($A$2:$A$500=A282)*($C$2:$C$500=C282)*($D$2:$D$500=D282)*($B$2:$B$500=""))=0),"⚠ 排除需對應共用欄位 ","")&amp;IF(AND(ISNUMBER(F282),ISNUMBER(G282),F282&gt;G282),"⚠ 下限大於上限 ","")&amp;IF(SUMPRODUCT((檢查項目!$A$2:$A$500=A282)*(檢查項目!$C$2:$C$500=C282)*(檢查項目!$G$2:$G$500="數值"))=0,"⚠ 該項目不是數值類型 ",""))))</f>
        <v/>
      </c>
    </row>
    <row r="283">
      <c r="I283" s="2">
        <f>IF(A283="","",IFERROR(INDEX(檢查項目!$E$2:$E$500,MATCH(1,INDEX((檢查項目!$A$2:$A$500=A283)*(檢查項目!$C$2:$C$500=C283)*(檢查項目!$B$2:$B$500=B283),0),0)),IFERROR(INDEX(檢查項目!$E$2:$E$500,MATCH(1,INDEX((檢查項目!$A$2:$A$500=A283)*(檢查項目!$C$2:$C$500=C283)*(檢查項目!$B$2:$B$500=""),0),0)),"⚠ 找不到項目")))</f>
        <v/>
      </c>
      <c r="J283" s="2">
        <f>IF(A283="","",IF(B283="","共用",IF(H283="Y","排除（"&amp;B283&amp;"）",IF(SUMPRODUCT(($A$2:$A$500=A283)*($C$2:$C$500=C283)*($D$2:$D$500=D283)*($B$2:$B$500=""))&gt;0,"覆蓋共用（"&amp;B283&amp;"）","單元新增（"&amp;B283&amp;"）"))))</f>
        <v/>
      </c>
      <c r="K283" s="2">
        <f>IF(A283="","",IF(H283="Y","—",IF(AND(F283&lt;&gt;"",G283&lt;&gt;""),F283&amp;" ~ "&amp;G283,IF(G283&lt;&gt;"","≤ "&amp;G283,IF(F283&lt;&gt;"","≥ "&amp;F283,"只記錄、不檢核")))))</f>
        <v/>
      </c>
      <c r="L283" s="2">
        <f>IF(A283="","",IF(TRIM(IF(SUMPRODUCT(($A$2:$A$500=A283)*($B$2:$B$500=B283)*($C$2:$C$500=C283)*($D$2:$D$500=D283))&gt;1,"⚠ 欄位名稱重複 ","")&amp;IF(AND(B283&lt;&gt;"",NOT(ISNUMBER(SEARCH("、"&amp;B283&amp;"、","、"&amp;IFERROR(INDEX(表單!$I$2:$I$500,MATCH(A283,表單!$A$2:$A$500,0)),"")&amp;"、")))),"⚠ 單元不在適用單元內 ","")&amp;IF(AND(H283="Y",B283=""),"⚠ 排除只能用在單元列 ","")&amp;IF(AND(H283="Y",B283&lt;&gt;"",SUMPRODUCT(($A$2:$A$500=A283)*($C$2:$C$500=C283)*($D$2:$D$500=D283)*($B$2:$B$500=""))=0),"⚠ 排除需對應共用欄位 ","")&amp;IF(AND(ISNUMBER(F283),ISNUMBER(G283),F283&gt;G283),"⚠ 下限大於上限 ","")&amp;IF(SUMPRODUCT((檢查項目!$A$2:$A$500=A283)*(檢查項目!$C$2:$C$500=C283)*(檢查項目!$G$2:$G$500="數值"))=0,"⚠ 該項目不是數值類型 ",""))="","✓",TRIM(IF(SUMPRODUCT(($A$2:$A$500=A283)*($B$2:$B$500=B283)*($C$2:$C$500=C283)*($D$2:$D$500=D283))&gt;1,"⚠ 欄位名稱重複 ","")&amp;IF(AND(B283&lt;&gt;"",NOT(ISNUMBER(SEARCH("、"&amp;B283&amp;"、","、"&amp;IFERROR(INDEX(表單!$I$2:$I$500,MATCH(A283,表單!$A$2:$A$500,0)),"")&amp;"、")))),"⚠ 單元不在適用單元內 ","")&amp;IF(AND(H283="Y",B283=""),"⚠ 排除只能用在單元列 ","")&amp;IF(AND(H283="Y",B283&lt;&gt;"",SUMPRODUCT(($A$2:$A$500=A283)*($C$2:$C$500=C283)*($D$2:$D$500=D283)*($B$2:$B$500=""))=0),"⚠ 排除需對應共用欄位 ","")&amp;IF(AND(ISNUMBER(F283),ISNUMBER(G283),F283&gt;G283),"⚠ 下限大於上限 ","")&amp;IF(SUMPRODUCT((檢查項目!$A$2:$A$500=A283)*(檢查項目!$C$2:$C$500=C283)*(檢查項目!$G$2:$G$500="數值"))=0,"⚠ 該項目不是數值類型 ",""))))</f>
        <v/>
      </c>
    </row>
    <row r="284">
      <c r="I284" s="2">
        <f>IF(A284="","",IFERROR(INDEX(檢查項目!$E$2:$E$500,MATCH(1,INDEX((檢查項目!$A$2:$A$500=A284)*(檢查項目!$C$2:$C$500=C284)*(檢查項目!$B$2:$B$500=B284),0),0)),IFERROR(INDEX(檢查項目!$E$2:$E$500,MATCH(1,INDEX((檢查項目!$A$2:$A$500=A284)*(檢查項目!$C$2:$C$500=C284)*(檢查項目!$B$2:$B$500=""),0),0)),"⚠ 找不到項目")))</f>
        <v/>
      </c>
      <c r="J284" s="2">
        <f>IF(A284="","",IF(B284="","共用",IF(H284="Y","排除（"&amp;B284&amp;"）",IF(SUMPRODUCT(($A$2:$A$500=A284)*($C$2:$C$500=C284)*($D$2:$D$500=D284)*($B$2:$B$500=""))&gt;0,"覆蓋共用（"&amp;B284&amp;"）","單元新增（"&amp;B284&amp;"）"))))</f>
        <v/>
      </c>
      <c r="K284" s="2">
        <f>IF(A284="","",IF(H284="Y","—",IF(AND(F284&lt;&gt;"",G284&lt;&gt;""),F284&amp;" ~ "&amp;G284,IF(G284&lt;&gt;"","≤ "&amp;G284,IF(F284&lt;&gt;"","≥ "&amp;F284,"只記錄、不檢核")))))</f>
        <v/>
      </c>
      <c r="L284" s="2">
        <f>IF(A284="","",IF(TRIM(IF(SUMPRODUCT(($A$2:$A$500=A284)*($B$2:$B$500=B284)*($C$2:$C$500=C284)*($D$2:$D$500=D284))&gt;1,"⚠ 欄位名稱重複 ","")&amp;IF(AND(B284&lt;&gt;"",NOT(ISNUMBER(SEARCH("、"&amp;B284&amp;"、","、"&amp;IFERROR(INDEX(表單!$I$2:$I$500,MATCH(A284,表單!$A$2:$A$500,0)),"")&amp;"、")))),"⚠ 單元不在適用單元內 ","")&amp;IF(AND(H284="Y",B284=""),"⚠ 排除只能用在單元列 ","")&amp;IF(AND(H284="Y",B284&lt;&gt;"",SUMPRODUCT(($A$2:$A$500=A284)*($C$2:$C$500=C284)*($D$2:$D$500=D284)*($B$2:$B$500=""))=0),"⚠ 排除需對應共用欄位 ","")&amp;IF(AND(ISNUMBER(F284),ISNUMBER(G284),F284&gt;G284),"⚠ 下限大於上限 ","")&amp;IF(SUMPRODUCT((檢查項目!$A$2:$A$500=A284)*(檢查項目!$C$2:$C$500=C284)*(檢查項目!$G$2:$G$500="數值"))=0,"⚠ 該項目不是數值類型 ",""))="","✓",TRIM(IF(SUMPRODUCT(($A$2:$A$500=A284)*($B$2:$B$500=B284)*($C$2:$C$500=C284)*($D$2:$D$500=D284))&gt;1,"⚠ 欄位名稱重複 ","")&amp;IF(AND(B284&lt;&gt;"",NOT(ISNUMBER(SEARCH("、"&amp;B284&amp;"、","、"&amp;IFERROR(INDEX(表單!$I$2:$I$500,MATCH(A284,表單!$A$2:$A$500,0)),"")&amp;"、")))),"⚠ 單元不在適用單元內 ","")&amp;IF(AND(H284="Y",B284=""),"⚠ 排除只能用在單元列 ","")&amp;IF(AND(H284="Y",B284&lt;&gt;"",SUMPRODUCT(($A$2:$A$500=A284)*($C$2:$C$500=C284)*($D$2:$D$500=D284)*($B$2:$B$500=""))=0),"⚠ 排除需對應共用欄位 ","")&amp;IF(AND(ISNUMBER(F284),ISNUMBER(G284),F284&gt;G284),"⚠ 下限大於上限 ","")&amp;IF(SUMPRODUCT((檢查項目!$A$2:$A$500=A284)*(檢查項目!$C$2:$C$500=C284)*(檢查項目!$G$2:$G$500="數值"))=0,"⚠ 該項目不是數值類型 ",""))))</f>
        <v/>
      </c>
    </row>
    <row r="285">
      <c r="I285" s="2">
        <f>IF(A285="","",IFERROR(INDEX(檢查項目!$E$2:$E$500,MATCH(1,INDEX((檢查項目!$A$2:$A$500=A285)*(檢查項目!$C$2:$C$500=C285)*(檢查項目!$B$2:$B$500=B285),0),0)),IFERROR(INDEX(檢查項目!$E$2:$E$500,MATCH(1,INDEX((檢查項目!$A$2:$A$500=A285)*(檢查項目!$C$2:$C$500=C285)*(檢查項目!$B$2:$B$500=""),0),0)),"⚠ 找不到項目")))</f>
        <v/>
      </c>
      <c r="J285" s="2">
        <f>IF(A285="","",IF(B285="","共用",IF(H285="Y","排除（"&amp;B285&amp;"）",IF(SUMPRODUCT(($A$2:$A$500=A285)*($C$2:$C$500=C285)*($D$2:$D$500=D285)*($B$2:$B$500=""))&gt;0,"覆蓋共用（"&amp;B285&amp;"）","單元新增（"&amp;B285&amp;"）"))))</f>
        <v/>
      </c>
      <c r="K285" s="2">
        <f>IF(A285="","",IF(H285="Y","—",IF(AND(F285&lt;&gt;"",G285&lt;&gt;""),F285&amp;" ~ "&amp;G285,IF(G285&lt;&gt;"","≤ "&amp;G285,IF(F285&lt;&gt;"","≥ "&amp;F285,"只記錄、不檢核")))))</f>
        <v/>
      </c>
      <c r="L285" s="2">
        <f>IF(A285="","",IF(TRIM(IF(SUMPRODUCT(($A$2:$A$500=A285)*($B$2:$B$500=B285)*($C$2:$C$500=C285)*($D$2:$D$500=D285))&gt;1,"⚠ 欄位名稱重複 ","")&amp;IF(AND(B285&lt;&gt;"",NOT(ISNUMBER(SEARCH("、"&amp;B285&amp;"、","、"&amp;IFERROR(INDEX(表單!$I$2:$I$500,MATCH(A285,表單!$A$2:$A$500,0)),"")&amp;"、")))),"⚠ 單元不在適用單元內 ","")&amp;IF(AND(H285="Y",B285=""),"⚠ 排除只能用在單元列 ","")&amp;IF(AND(H285="Y",B285&lt;&gt;"",SUMPRODUCT(($A$2:$A$500=A285)*($C$2:$C$500=C285)*($D$2:$D$500=D285)*($B$2:$B$500=""))=0),"⚠ 排除需對應共用欄位 ","")&amp;IF(AND(ISNUMBER(F285),ISNUMBER(G285),F285&gt;G285),"⚠ 下限大於上限 ","")&amp;IF(SUMPRODUCT((檢查項目!$A$2:$A$500=A285)*(檢查項目!$C$2:$C$500=C285)*(檢查項目!$G$2:$G$500="數值"))=0,"⚠ 該項目不是數值類型 ",""))="","✓",TRIM(IF(SUMPRODUCT(($A$2:$A$500=A285)*($B$2:$B$500=B285)*($C$2:$C$500=C285)*($D$2:$D$500=D285))&gt;1,"⚠ 欄位名稱重複 ","")&amp;IF(AND(B285&lt;&gt;"",NOT(ISNUMBER(SEARCH("、"&amp;B285&amp;"、","、"&amp;IFERROR(INDEX(表單!$I$2:$I$500,MATCH(A285,表單!$A$2:$A$500,0)),"")&amp;"、")))),"⚠ 單元不在適用單元內 ","")&amp;IF(AND(H285="Y",B285=""),"⚠ 排除只能用在單元列 ","")&amp;IF(AND(H285="Y",B285&lt;&gt;"",SUMPRODUCT(($A$2:$A$500=A285)*($C$2:$C$500=C285)*($D$2:$D$500=D285)*($B$2:$B$500=""))=0),"⚠ 排除需對應共用欄位 ","")&amp;IF(AND(ISNUMBER(F285),ISNUMBER(G285),F285&gt;G285),"⚠ 下限大於上限 ","")&amp;IF(SUMPRODUCT((檢查項目!$A$2:$A$500=A285)*(檢查項目!$C$2:$C$500=C285)*(檢查項目!$G$2:$G$500="數值"))=0,"⚠ 該項目不是數值類型 ",""))))</f>
        <v/>
      </c>
    </row>
    <row r="286">
      <c r="I286" s="2">
        <f>IF(A286="","",IFERROR(INDEX(檢查項目!$E$2:$E$500,MATCH(1,INDEX((檢查項目!$A$2:$A$500=A286)*(檢查項目!$C$2:$C$500=C286)*(檢查項目!$B$2:$B$500=B286),0),0)),IFERROR(INDEX(檢查項目!$E$2:$E$500,MATCH(1,INDEX((檢查項目!$A$2:$A$500=A286)*(檢查項目!$C$2:$C$500=C286)*(檢查項目!$B$2:$B$500=""),0),0)),"⚠ 找不到項目")))</f>
        <v/>
      </c>
      <c r="J286" s="2">
        <f>IF(A286="","",IF(B286="","共用",IF(H286="Y","排除（"&amp;B286&amp;"）",IF(SUMPRODUCT(($A$2:$A$500=A286)*($C$2:$C$500=C286)*($D$2:$D$500=D286)*($B$2:$B$500=""))&gt;0,"覆蓋共用（"&amp;B286&amp;"）","單元新增（"&amp;B286&amp;"）"))))</f>
        <v/>
      </c>
      <c r="K286" s="2">
        <f>IF(A286="","",IF(H286="Y","—",IF(AND(F286&lt;&gt;"",G286&lt;&gt;""),F286&amp;" ~ "&amp;G286,IF(G286&lt;&gt;"","≤ "&amp;G286,IF(F286&lt;&gt;"","≥ "&amp;F286,"只記錄、不檢核")))))</f>
        <v/>
      </c>
      <c r="L286" s="2">
        <f>IF(A286="","",IF(TRIM(IF(SUMPRODUCT(($A$2:$A$500=A286)*($B$2:$B$500=B286)*($C$2:$C$500=C286)*($D$2:$D$500=D286))&gt;1,"⚠ 欄位名稱重複 ","")&amp;IF(AND(B286&lt;&gt;"",NOT(ISNUMBER(SEARCH("、"&amp;B286&amp;"、","、"&amp;IFERROR(INDEX(表單!$I$2:$I$500,MATCH(A286,表單!$A$2:$A$500,0)),"")&amp;"、")))),"⚠ 單元不在適用單元內 ","")&amp;IF(AND(H286="Y",B286=""),"⚠ 排除只能用在單元列 ","")&amp;IF(AND(H286="Y",B286&lt;&gt;"",SUMPRODUCT(($A$2:$A$500=A286)*($C$2:$C$500=C286)*($D$2:$D$500=D286)*($B$2:$B$500=""))=0),"⚠ 排除需對應共用欄位 ","")&amp;IF(AND(ISNUMBER(F286),ISNUMBER(G286),F286&gt;G286),"⚠ 下限大於上限 ","")&amp;IF(SUMPRODUCT((檢查項目!$A$2:$A$500=A286)*(檢查項目!$C$2:$C$500=C286)*(檢查項目!$G$2:$G$500="數值"))=0,"⚠ 該項目不是數值類型 ",""))="","✓",TRIM(IF(SUMPRODUCT(($A$2:$A$500=A286)*($B$2:$B$500=B286)*($C$2:$C$500=C286)*($D$2:$D$500=D286))&gt;1,"⚠ 欄位名稱重複 ","")&amp;IF(AND(B286&lt;&gt;"",NOT(ISNUMBER(SEARCH("、"&amp;B286&amp;"、","、"&amp;IFERROR(INDEX(表單!$I$2:$I$500,MATCH(A286,表單!$A$2:$A$500,0)),"")&amp;"、")))),"⚠ 單元不在適用單元內 ","")&amp;IF(AND(H286="Y",B286=""),"⚠ 排除只能用在單元列 ","")&amp;IF(AND(H286="Y",B286&lt;&gt;"",SUMPRODUCT(($A$2:$A$500=A286)*($C$2:$C$500=C286)*($D$2:$D$500=D286)*($B$2:$B$500=""))=0),"⚠ 排除需對應共用欄位 ","")&amp;IF(AND(ISNUMBER(F286),ISNUMBER(G286),F286&gt;G286),"⚠ 下限大於上限 ","")&amp;IF(SUMPRODUCT((檢查項目!$A$2:$A$500=A286)*(檢查項目!$C$2:$C$500=C286)*(檢查項目!$G$2:$G$500="數值"))=0,"⚠ 該項目不是數值類型 ",""))))</f>
        <v/>
      </c>
    </row>
    <row r="287">
      <c r="I287" s="2">
        <f>IF(A287="","",IFERROR(INDEX(檢查項目!$E$2:$E$500,MATCH(1,INDEX((檢查項目!$A$2:$A$500=A287)*(檢查項目!$C$2:$C$500=C287)*(檢查項目!$B$2:$B$500=B287),0),0)),IFERROR(INDEX(檢查項目!$E$2:$E$500,MATCH(1,INDEX((檢查項目!$A$2:$A$500=A287)*(檢查項目!$C$2:$C$500=C287)*(檢查項目!$B$2:$B$500=""),0),0)),"⚠ 找不到項目")))</f>
        <v/>
      </c>
      <c r="J287" s="2">
        <f>IF(A287="","",IF(B287="","共用",IF(H287="Y","排除（"&amp;B287&amp;"）",IF(SUMPRODUCT(($A$2:$A$500=A287)*($C$2:$C$500=C287)*($D$2:$D$500=D287)*($B$2:$B$500=""))&gt;0,"覆蓋共用（"&amp;B287&amp;"）","單元新增（"&amp;B287&amp;"）"))))</f>
        <v/>
      </c>
      <c r="K287" s="2">
        <f>IF(A287="","",IF(H287="Y","—",IF(AND(F287&lt;&gt;"",G287&lt;&gt;""),F287&amp;" ~ "&amp;G287,IF(G287&lt;&gt;"","≤ "&amp;G287,IF(F287&lt;&gt;"","≥ "&amp;F287,"只記錄、不檢核")))))</f>
        <v/>
      </c>
      <c r="L287" s="2">
        <f>IF(A287="","",IF(TRIM(IF(SUMPRODUCT(($A$2:$A$500=A287)*($B$2:$B$500=B287)*($C$2:$C$500=C287)*($D$2:$D$500=D287))&gt;1,"⚠ 欄位名稱重複 ","")&amp;IF(AND(B287&lt;&gt;"",NOT(ISNUMBER(SEARCH("、"&amp;B287&amp;"、","、"&amp;IFERROR(INDEX(表單!$I$2:$I$500,MATCH(A287,表單!$A$2:$A$500,0)),"")&amp;"、")))),"⚠ 單元不在適用單元內 ","")&amp;IF(AND(H287="Y",B287=""),"⚠ 排除只能用在單元列 ","")&amp;IF(AND(H287="Y",B287&lt;&gt;"",SUMPRODUCT(($A$2:$A$500=A287)*($C$2:$C$500=C287)*($D$2:$D$500=D287)*($B$2:$B$500=""))=0),"⚠ 排除需對應共用欄位 ","")&amp;IF(AND(ISNUMBER(F287),ISNUMBER(G287),F287&gt;G287),"⚠ 下限大於上限 ","")&amp;IF(SUMPRODUCT((檢查項目!$A$2:$A$500=A287)*(檢查項目!$C$2:$C$500=C287)*(檢查項目!$G$2:$G$500="數值"))=0,"⚠ 該項目不是數值類型 ",""))="","✓",TRIM(IF(SUMPRODUCT(($A$2:$A$500=A287)*($B$2:$B$500=B287)*($C$2:$C$500=C287)*($D$2:$D$500=D287))&gt;1,"⚠ 欄位名稱重複 ","")&amp;IF(AND(B287&lt;&gt;"",NOT(ISNUMBER(SEARCH("、"&amp;B287&amp;"、","、"&amp;IFERROR(INDEX(表單!$I$2:$I$500,MATCH(A287,表單!$A$2:$A$500,0)),"")&amp;"、")))),"⚠ 單元不在適用單元內 ","")&amp;IF(AND(H287="Y",B287=""),"⚠ 排除只能用在單元列 ","")&amp;IF(AND(H287="Y",B287&lt;&gt;"",SUMPRODUCT(($A$2:$A$500=A287)*($C$2:$C$500=C287)*($D$2:$D$500=D287)*($B$2:$B$500=""))=0),"⚠ 排除需對應共用欄位 ","")&amp;IF(AND(ISNUMBER(F287),ISNUMBER(G287),F287&gt;G287),"⚠ 下限大於上限 ","")&amp;IF(SUMPRODUCT((檢查項目!$A$2:$A$500=A287)*(檢查項目!$C$2:$C$500=C287)*(檢查項目!$G$2:$G$500="數值"))=0,"⚠ 該項目不是數值類型 ",""))))</f>
        <v/>
      </c>
    </row>
    <row r="288">
      <c r="I288" s="2">
        <f>IF(A288="","",IFERROR(INDEX(檢查項目!$E$2:$E$500,MATCH(1,INDEX((檢查項目!$A$2:$A$500=A288)*(檢查項目!$C$2:$C$500=C288)*(檢查項目!$B$2:$B$500=B288),0),0)),IFERROR(INDEX(檢查項目!$E$2:$E$500,MATCH(1,INDEX((檢查項目!$A$2:$A$500=A288)*(檢查項目!$C$2:$C$500=C288)*(檢查項目!$B$2:$B$500=""),0),0)),"⚠ 找不到項目")))</f>
        <v/>
      </c>
      <c r="J288" s="2">
        <f>IF(A288="","",IF(B288="","共用",IF(H288="Y","排除（"&amp;B288&amp;"）",IF(SUMPRODUCT(($A$2:$A$500=A288)*($C$2:$C$500=C288)*($D$2:$D$500=D288)*($B$2:$B$500=""))&gt;0,"覆蓋共用（"&amp;B288&amp;"）","單元新增（"&amp;B288&amp;"）"))))</f>
        <v/>
      </c>
      <c r="K288" s="2">
        <f>IF(A288="","",IF(H288="Y","—",IF(AND(F288&lt;&gt;"",G288&lt;&gt;""),F288&amp;" ~ "&amp;G288,IF(G288&lt;&gt;"","≤ "&amp;G288,IF(F288&lt;&gt;"","≥ "&amp;F288,"只記錄、不檢核")))))</f>
        <v/>
      </c>
      <c r="L288" s="2">
        <f>IF(A288="","",IF(TRIM(IF(SUMPRODUCT(($A$2:$A$500=A288)*($B$2:$B$500=B288)*($C$2:$C$500=C288)*($D$2:$D$500=D288))&gt;1,"⚠ 欄位名稱重複 ","")&amp;IF(AND(B288&lt;&gt;"",NOT(ISNUMBER(SEARCH("、"&amp;B288&amp;"、","、"&amp;IFERROR(INDEX(表單!$I$2:$I$500,MATCH(A288,表單!$A$2:$A$500,0)),"")&amp;"、")))),"⚠ 單元不在適用單元內 ","")&amp;IF(AND(H288="Y",B288=""),"⚠ 排除只能用在單元列 ","")&amp;IF(AND(H288="Y",B288&lt;&gt;"",SUMPRODUCT(($A$2:$A$500=A288)*($C$2:$C$500=C288)*($D$2:$D$500=D288)*($B$2:$B$500=""))=0),"⚠ 排除需對應共用欄位 ","")&amp;IF(AND(ISNUMBER(F288),ISNUMBER(G288),F288&gt;G288),"⚠ 下限大於上限 ","")&amp;IF(SUMPRODUCT((檢查項目!$A$2:$A$500=A288)*(檢查項目!$C$2:$C$500=C288)*(檢查項目!$G$2:$G$500="數值"))=0,"⚠ 該項目不是數值類型 ",""))="","✓",TRIM(IF(SUMPRODUCT(($A$2:$A$500=A288)*($B$2:$B$500=B288)*($C$2:$C$500=C288)*($D$2:$D$500=D288))&gt;1,"⚠ 欄位名稱重複 ","")&amp;IF(AND(B288&lt;&gt;"",NOT(ISNUMBER(SEARCH("、"&amp;B288&amp;"、","、"&amp;IFERROR(INDEX(表單!$I$2:$I$500,MATCH(A288,表單!$A$2:$A$500,0)),"")&amp;"、")))),"⚠ 單元不在適用單元內 ","")&amp;IF(AND(H288="Y",B288=""),"⚠ 排除只能用在單元列 ","")&amp;IF(AND(H288="Y",B288&lt;&gt;"",SUMPRODUCT(($A$2:$A$500=A288)*($C$2:$C$500=C288)*($D$2:$D$500=D288)*($B$2:$B$500=""))=0),"⚠ 排除需對應共用欄位 ","")&amp;IF(AND(ISNUMBER(F288),ISNUMBER(G288),F288&gt;G288),"⚠ 下限大於上限 ","")&amp;IF(SUMPRODUCT((檢查項目!$A$2:$A$500=A288)*(檢查項目!$C$2:$C$500=C288)*(檢查項目!$G$2:$G$500="數值"))=0,"⚠ 該項目不是數值類型 ",""))))</f>
        <v/>
      </c>
    </row>
    <row r="289">
      <c r="I289" s="2">
        <f>IF(A289="","",IFERROR(INDEX(檢查項目!$E$2:$E$500,MATCH(1,INDEX((檢查項目!$A$2:$A$500=A289)*(檢查項目!$C$2:$C$500=C289)*(檢查項目!$B$2:$B$500=B289),0),0)),IFERROR(INDEX(檢查項目!$E$2:$E$500,MATCH(1,INDEX((檢查項目!$A$2:$A$500=A289)*(檢查項目!$C$2:$C$500=C289)*(檢查項目!$B$2:$B$500=""),0),0)),"⚠ 找不到項目")))</f>
        <v/>
      </c>
      <c r="J289" s="2">
        <f>IF(A289="","",IF(B289="","共用",IF(H289="Y","排除（"&amp;B289&amp;"）",IF(SUMPRODUCT(($A$2:$A$500=A289)*($C$2:$C$500=C289)*($D$2:$D$500=D289)*($B$2:$B$500=""))&gt;0,"覆蓋共用（"&amp;B289&amp;"）","單元新增（"&amp;B289&amp;"）"))))</f>
        <v/>
      </c>
      <c r="K289" s="2">
        <f>IF(A289="","",IF(H289="Y","—",IF(AND(F289&lt;&gt;"",G289&lt;&gt;""),F289&amp;" ~ "&amp;G289,IF(G289&lt;&gt;"","≤ "&amp;G289,IF(F289&lt;&gt;"","≥ "&amp;F289,"只記錄、不檢核")))))</f>
        <v/>
      </c>
      <c r="L289" s="2">
        <f>IF(A289="","",IF(TRIM(IF(SUMPRODUCT(($A$2:$A$500=A289)*($B$2:$B$500=B289)*($C$2:$C$500=C289)*($D$2:$D$500=D289))&gt;1,"⚠ 欄位名稱重複 ","")&amp;IF(AND(B289&lt;&gt;"",NOT(ISNUMBER(SEARCH("、"&amp;B289&amp;"、","、"&amp;IFERROR(INDEX(表單!$I$2:$I$500,MATCH(A289,表單!$A$2:$A$500,0)),"")&amp;"、")))),"⚠ 單元不在適用單元內 ","")&amp;IF(AND(H289="Y",B289=""),"⚠ 排除只能用在單元列 ","")&amp;IF(AND(H289="Y",B289&lt;&gt;"",SUMPRODUCT(($A$2:$A$500=A289)*($C$2:$C$500=C289)*($D$2:$D$500=D289)*($B$2:$B$500=""))=0),"⚠ 排除需對應共用欄位 ","")&amp;IF(AND(ISNUMBER(F289),ISNUMBER(G289),F289&gt;G289),"⚠ 下限大於上限 ","")&amp;IF(SUMPRODUCT((檢查項目!$A$2:$A$500=A289)*(檢查項目!$C$2:$C$500=C289)*(檢查項目!$G$2:$G$500="數值"))=0,"⚠ 該項目不是數值類型 ",""))="","✓",TRIM(IF(SUMPRODUCT(($A$2:$A$500=A289)*($B$2:$B$500=B289)*($C$2:$C$500=C289)*($D$2:$D$500=D289))&gt;1,"⚠ 欄位名稱重複 ","")&amp;IF(AND(B289&lt;&gt;"",NOT(ISNUMBER(SEARCH("、"&amp;B289&amp;"、","、"&amp;IFERROR(INDEX(表單!$I$2:$I$500,MATCH(A289,表單!$A$2:$A$500,0)),"")&amp;"、")))),"⚠ 單元不在適用單元內 ","")&amp;IF(AND(H289="Y",B289=""),"⚠ 排除只能用在單元列 ","")&amp;IF(AND(H289="Y",B289&lt;&gt;"",SUMPRODUCT(($A$2:$A$500=A289)*($C$2:$C$500=C289)*($D$2:$D$500=D289)*($B$2:$B$500=""))=0),"⚠ 排除需對應共用欄位 ","")&amp;IF(AND(ISNUMBER(F289),ISNUMBER(G289),F289&gt;G289),"⚠ 下限大於上限 ","")&amp;IF(SUMPRODUCT((檢查項目!$A$2:$A$500=A289)*(檢查項目!$C$2:$C$500=C289)*(檢查項目!$G$2:$G$500="數值"))=0,"⚠ 該項目不是數值類型 ",""))))</f>
        <v/>
      </c>
    </row>
    <row r="290">
      <c r="I290" s="2">
        <f>IF(A290="","",IFERROR(INDEX(檢查項目!$E$2:$E$500,MATCH(1,INDEX((檢查項目!$A$2:$A$500=A290)*(檢查項目!$C$2:$C$500=C290)*(檢查項目!$B$2:$B$500=B290),0),0)),IFERROR(INDEX(檢查項目!$E$2:$E$500,MATCH(1,INDEX((檢查項目!$A$2:$A$500=A290)*(檢查項目!$C$2:$C$500=C290)*(檢查項目!$B$2:$B$500=""),0),0)),"⚠ 找不到項目")))</f>
        <v/>
      </c>
      <c r="J290" s="2">
        <f>IF(A290="","",IF(B290="","共用",IF(H290="Y","排除（"&amp;B290&amp;"）",IF(SUMPRODUCT(($A$2:$A$500=A290)*($C$2:$C$500=C290)*($D$2:$D$500=D290)*($B$2:$B$500=""))&gt;0,"覆蓋共用（"&amp;B290&amp;"）","單元新增（"&amp;B290&amp;"）"))))</f>
        <v/>
      </c>
      <c r="K290" s="2">
        <f>IF(A290="","",IF(H290="Y","—",IF(AND(F290&lt;&gt;"",G290&lt;&gt;""),F290&amp;" ~ "&amp;G290,IF(G290&lt;&gt;"","≤ "&amp;G290,IF(F290&lt;&gt;"","≥ "&amp;F290,"只記錄、不檢核")))))</f>
        <v/>
      </c>
      <c r="L290" s="2">
        <f>IF(A290="","",IF(TRIM(IF(SUMPRODUCT(($A$2:$A$500=A290)*($B$2:$B$500=B290)*($C$2:$C$500=C290)*($D$2:$D$500=D290))&gt;1,"⚠ 欄位名稱重複 ","")&amp;IF(AND(B290&lt;&gt;"",NOT(ISNUMBER(SEARCH("、"&amp;B290&amp;"、","、"&amp;IFERROR(INDEX(表單!$I$2:$I$500,MATCH(A290,表單!$A$2:$A$500,0)),"")&amp;"、")))),"⚠ 單元不在適用單元內 ","")&amp;IF(AND(H290="Y",B290=""),"⚠ 排除只能用在單元列 ","")&amp;IF(AND(H290="Y",B290&lt;&gt;"",SUMPRODUCT(($A$2:$A$500=A290)*($C$2:$C$500=C290)*($D$2:$D$500=D290)*($B$2:$B$500=""))=0),"⚠ 排除需對應共用欄位 ","")&amp;IF(AND(ISNUMBER(F290),ISNUMBER(G290),F290&gt;G290),"⚠ 下限大於上限 ","")&amp;IF(SUMPRODUCT((檢查項目!$A$2:$A$500=A290)*(檢查項目!$C$2:$C$500=C290)*(檢查項目!$G$2:$G$500="數值"))=0,"⚠ 該項目不是數值類型 ",""))="","✓",TRIM(IF(SUMPRODUCT(($A$2:$A$500=A290)*($B$2:$B$500=B290)*($C$2:$C$500=C290)*($D$2:$D$500=D290))&gt;1,"⚠ 欄位名稱重複 ","")&amp;IF(AND(B290&lt;&gt;"",NOT(ISNUMBER(SEARCH("、"&amp;B290&amp;"、","、"&amp;IFERROR(INDEX(表單!$I$2:$I$500,MATCH(A290,表單!$A$2:$A$500,0)),"")&amp;"、")))),"⚠ 單元不在適用單元內 ","")&amp;IF(AND(H290="Y",B290=""),"⚠ 排除只能用在單元列 ","")&amp;IF(AND(H290="Y",B290&lt;&gt;"",SUMPRODUCT(($A$2:$A$500=A290)*($C$2:$C$500=C290)*($D$2:$D$500=D290)*($B$2:$B$500=""))=0),"⚠ 排除需對應共用欄位 ","")&amp;IF(AND(ISNUMBER(F290),ISNUMBER(G290),F290&gt;G290),"⚠ 下限大於上限 ","")&amp;IF(SUMPRODUCT((檢查項目!$A$2:$A$500=A290)*(檢查項目!$C$2:$C$500=C290)*(檢查項目!$G$2:$G$500="數值"))=0,"⚠ 該項目不是數值類型 ",""))))</f>
        <v/>
      </c>
    </row>
    <row r="291">
      <c r="I291" s="2">
        <f>IF(A291="","",IFERROR(INDEX(檢查項目!$E$2:$E$500,MATCH(1,INDEX((檢查項目!$A$2:$A$500=A291)*(檢查項目!$C$2:$C$500=C291)*(檢查項目!$B$2:$B$500=B291),0),0)),IFERROR(INDEX(檢查項目!$E$2:$E$500,MATCH(1,INDEX((檢查項目!$A$2:$A$500=A291)*(檢查項目!$C$2:$C$500=C291)*(檢查項目!$B$2:$B$500=""),0),0)),"⚠ 找不到項目")))</f>
        <v/>
      </c>
      <c r="J291" s="2">
        <f>IF(A291="","",IF(B291="","共用",IF(H291="Y","排除（"&amp;B291&amp;"）",IF(SUMPRODUCT(($A$2:$A$500=A291)*($C$2:$C$500=C291)*($D$2:$D$500=D291)*($B$2:$B$500=""))&gt;0,"覆蓋共用（"&amp;B291&amp;"）","單元新增（"&amp;B291&amp;"）"))))</f>
        <v/>
      </c>
      <c r="K291" s="2">
        <f>IF(A291="","",IF(H291="Y","—",IF(AND(F291&lt;&gt;"",G291&lt;&gt;""),F291&amp;" ~ "&amp;G291,IF(G291&lt;&gt;"","≤ "&amp;G291,IF(F291&lt;&gt;"","≥ "&amp;F291,"只記錄、不檢核")))))</f>
        <v/>
      </c>
      <c r="L291" s="2">
        <f>IF(A291="","",IF(TRIM(IF(SUMPRODUCT(($A$2:$A$500=A291)*($B$2:$B$500=B291)*($C$2:$C$500=C291)*($D$2:$D$500=D291))&gt;1,"⚠ 欄位名稱重複 ","")&amp;IF(AND(B291&lt;&gt;"",NOT(ISNUMBER(SEARCH("、"&amp;B291&amp;"、","、"&amp;IFERROR(INDEX(表單!$I$2:$I$500,MATCH(A291,表單!$A$2:$A$500,0)),"")&amp;"、")))),"⚠ 單元不在適用單元內 ","")&amp;IF(AND(H291="Y",B291=""),"⚠ 排除只能用在單元列 ","")&amp;IF(AND(H291="Y",B291&lt;&gt;"",SUMPRODUCT(($A$2:$A$500=A291)*($C$2:$C$500=C291)*($D$2:$D$500=D291)*($B$2:$B$500=""))=0),"⚠ 排除需對應共用欄位 ","")&amp;IF(AND(ISNUMBER(F291),ISNUMBER(G291),F291&gt;G291),"⚠ 下限大於上限 ","")&amp;IF(SUMPRODUCT((檢查項目!$A$2:$A$500=A291)*(檢查項目!$C$2:$C$500=C291)*(檢查項目!$G$2:$G$500="數值"))=0,"⚠ 該項目不是數值類型 ",""))="","✓",TRIM(IF(SUMPRODUCT(($A$2:$A$500=A291)*($B$2:$B$500=B291)*($C$2:$C$500=C291)*($D$2:$D$500=D291))&gt;1,"⚠ 欄位名稱重複 ","")&amp;IF(AND(B291&lt;&gt;"",NOT(ISNUMBER(SEARCH("、"&amp;B291&amp;"、","、"&amp;IFERROR(INDEX(表單!$I$2:$I$500,MATCH(A291,表單!$A$2:$A$500,0)),"")&amp;"、")))),"⚠ 單元不在適用單元內 ","")&amp;IF(AND(H291="Y",B291=""),"⚠ 排除只能用在單元列 ","")&amp;IF(AND(H291="Y",B291&lt;&gt;"",SUMPRODUCT(($A$2:$A$500=A291)*($C$2:$C$500=C291)*($D$2:$D$500=D291)*($B$2:$B$500=""))=0),"⚠ 排除需對應共用欄位 ","")&amp;IF(AND(ISNUMBER(F291),ISNUMBER(G291),F291&gt;G291),"⚠ 下限大於上限 ","")&amp;IF(SUMPRODUCT((檢查項目!$A$2:$A$500=A291)*(檢查項目!$C$2:$C$500=C291)*(檢查項目!$G$2:$G$500="數值"))=0,"⚠ 該項目不是數值類型 ",""))))</f>
        <v/>
      </c>
    </row>
    <row r="292">
      <c r="I292" s="2">
        <f>IF(A292="","",IFERROR(INDEX(檢查項目!$E$2:$E$500,MATCH(1,INDEX((檢查項目!$A$2:$A$500=A292)*(檢查項目!$C$2:$C$500=C292)*(檢查項目!$B$2:$B$500=B292),0),0)),IFERROR(INDEX(檢查項目!$E$2:$E$500,MATCH(1,INDEX((檢查項目!$A$2:$A$500=A292)*(檢查項目!$C$2:$C$500=C292)*(檢查項目!$B$2:$B$500=""),0),0)),"⚠ 找不到項目")))</f>
        <v/>
      </c>
      <c r="J292" s="2">
        <f>IF(A292="","",IF(B292="","共用",IF(H292="Y","排除（"&amp;B292&amp;"）",IF(SUMPRODUCT(($A$2:$A$500=A292)*($C$2:$C$500=C292)*($D$2:$D$500=D292)*($B$2:$B$500=""))&gt;0,"覆蓋共用（"&amp;B292&amp;"）","單元新增（"&amp;B292&amp;"）"))))</f>
        <v/>
      </c>
      <c r="K292" s="2">
        <f>IF(A292="","",IF(H292="Y","—",IF(AND(F292&lt;&gt;"",G292&lt;&gt;""),F292&amp;" ~ "&amp;G292,IF(G292&lt;&gt;"","≤ "&amp;G292,IF(F292&lt;&gt;"","≥ "&amp;F292,"只記錄、不檢核")))))</f>
        <v/>
      </c>
      <c r="L292" s="2">
        <f>IF(A292="","",IF(TRIM(IF(SUMPRODUCT(($A$2:$A$500=A292)*($B$2:$B$500=B292)*($C$2:$C$500=C292)*($D$2:$D$500=D292))&gt;1,"⚠ 欄位名稱重複 ","")&amp;IF(AND(B292&lt;&gt;"",NOT(ISNUMBER(SEARCH("、"&amp;B292&amp;"、","、"&amp;IFERROR(INDEX(表單!$I$2:$I$500,MATCH(A292,表單!$A$2:$A$500,0)),"")&amp;"、")))),"⚠ 單元不在適用單元內 ","")&amp;IF(AND(H292="Y",B292=""),"⚠ 排除只能用在單元列 ","")&amp;IF(AND(H292="Y",B292&lt;&gt;"",SUMPRODUCT(($A$2:$A$500=A292)*($C$2:$C$500=C292)*($D$2:$D$500=D292)*($B$2:$B$500=""))=0),"⚠ 排除需對應共用欄位 ","")&amp;IF(AND(ISNUMBER(F292),ISNUMBER(G292),F292&gt;G292),"⚠ 下限大於上限 ","")&amp;IF(SUMPRODUCT((檢查項目!$A$2:$A$500=A292)*(檢查項目!$C$2:$C$500=C292)*(檢查項目!$G$2:$G$500="數值"))=0,"⚠ 該項目不是數值類型 ",""))="","✓",TRIM(IF(SUMPRODUCT(($A$2:$A$500=A292)*($B$2:$B$500=B292)*($C$2:$C$500=C292)*($D$2:$D$500=D292))&gt;1,"⚠ 欄位名稱重複 ","")&amp;IF(AND(B292&lt;&gt;"",NOT(ISNUMBER(SEARCH("、"&amp;B292&amp;"、","、"&amp;IFERROR(INDEX(表單!$I$2:$I$500,MATCH(A292,表單!$A$2:$A$500,0)),"")&amp;"、")))),"⚠ 單元不在適用單元內 ","")&amp;IF(AND(H292="Y",B292=""),"⚠ 排除只能用在單元列 ","")&amp;IF(AND(H292="Y",B292&lt;&gt;"",SUMPRODUCT(($A$2:$A$500=A292)*($C$2:$C$500=C292)*($D$2:$D$500=D292)*($B$2:$B$500=""))=0),"⚠ 排除需對應共用欄位 ","")&amp;IF(AND(ISNUMBER(F292),ISNUMBER(G292),F292&gt;G292),"⚠ 下限大於上限 ","")&amp;IF(SUMPRODUCT((檢查項目!$A$2:$A$500=A292)*(檢查項目!$C$2:$C$500=C292)*(檢查項目!$G$2:$G$500="數值"))=0,"⚠ 該項目不是數值類型 ",""))))</f>
        <v/>
      </c>
    </row>
    <row r="293">
      <c r="I293" s="2">
        <f>IF(A293="","",IFERROR(INDEX(檢查項目!$E$2:$E$500,MATCH(1,INDEX((檢查項目!$A$2:$A$500=A293)*(檢查項目!$C$2:$C$500=C293)*(檢查項目!$B$2:$B$500=B293),0),0)),IFERROR(INDEX(檢查項目!$E$2:$E$500,MATCH(1,INDEX((檢查項目!$A$2:$A$500=A293)*(檢查項目!$C$2:$C$500=C293)*(檢查項目!$B$2:$B$500=""),0),0)),"⚠ 找不到項目")))</f>
        <v/>
      </c>
      <c r="J293" s="2">
        <f>IF(A293="","",IF(B293="","共用",IF(H293="Y","排除（"&amp;B293&amp;"）",IF(SUMPRODUCT(($A$2:$A$500=A293)*($C$2:$C$500=C293)*($D$2:$D$500=D293)*($B$2:$B$500=""))&gt;0,"覆蓋共用（"&amp;B293&amp;"）","單元新增（"&amp;B293&amp;"）"))))</f>
        <v/>
      </c>
      <c r="K293" s="2">
        <f>IF(A293="","",IF(H293="Y","—",IF(AND(F293&lt;&gt;"",G293&lt;&gt;""),F293&amp;" ~ "&amp;G293,IF(G293&lt;&gt;"","≤ "&amp;G293,IF(F293&lt;&gt;"","≥ "&amp;F293,"只記錄、不檢核")))))</f>
        <v/>
      </c>
      <c r="L293" s="2">
        <f>IF(A293="","",IF(TRIM(IF(SUMPRODUCT(($A$2:$A$500=A293)*($B$2:$B$500=B293)*($C$2:$C$500=C293)*($D$2:$D$500=D293))&gt;1,"⚠ 欄位名稱重複 ","")&amp;IF(AND(B293&lt;&gt;"",NOT(ISNUMBER(SEARCH("、"&amp;B293&amp;"、","、"&amp;IFERROR(INDEX(表單!$I$2:$I$500,MATCH(A293,表單!$A$2:$A$500,0)),"")&amp;"、")))),"⚠ 單元不在適用單元內 ","")&amp;IF(AND(H293="Y",B293=""),"⚠ 排除只能用在單元列 ","")&amp;IF(AND(H293="Y",B293&lt;&gt;"",SUMPRODUCT(($A$2:$A$500=A293)*($C$2:$C$500=C293)*($D$2:$D$500=D293)*($B$2:$B$500=""))=0),"⚠ 排除需對應共用欄位 ","")&amp;IF(AND(ISNUMBER(F293),ISNUMBER(G293),F293&gt;G293),"⚠ 下限大於上限 ","")&amp;IF(SUMPRODUCT((檢查項目!$A$2:$A$500=A293)*(檢查項目!$C$2:$C$500=C293)*(檢查項目!$G$2:$G$500="數值"))=0,"⚠ 該項目不是數值類型 ",""))="","✓",TRIM(IF(SUMPRODUCT(($A$2:$A$500=A293)*($B$2:$B$500=B293)*($C$2:$C$500=C293)*($D$2:$D$500=D293))&gt;1,"⚠ 欄位名稱重複 ","")&amp;IF(AND(B293&lt;&gt;"",NOT(ISNUMBER(SEARCH("、"&amp;B293&amp;"、","、"&amp;IFERROR(INDEX(表單!$I$2:$I$500,MATCH(A293,表單!$A$2:$A$500,0)),"")&amp;"、")))),"⚠ 單元不在適用單元內 ","")&amp;IF(AND(H293="Y",B293=""),"⚠ 排除只能用在單元列 ","")&amp;IF(AND(H293="Y",B293&lt;&gt;"",SUMPRODUCT(($A$2:$A$500=A293)*($C$2:$C$500=C293)*($D$2:$D$500=D293)*($B$2:$B$500=""))=0),"⚠ 排除需對應共用欄位 ","")&amp;IF(AND(ISNUMBER(F293),ISNUMBER(G293),F293&gt;G293),"⚠ 下限大於上限 ","")&amp;IF(SUMPRODUCT((檢查項目!$A$2:$A$500=A293)*(檢查項目!$C$2:$C$500=C293)*(檢查項目!$G$2:$G$500="數值"))=0,"⚠ 該項目不是數值類型 ",""))))</f>
        <v/>
      </c>
    </row>
    <row r="294">
      <c r="I294" s="2">
        <f>IF(A294="","",IFERROR(INDEX(檢查項目!$E$2:$E$500,MATCH(1,INDEX((檢查項目!$A$2:$A$500=A294)*(檢查項目!$C$2:$C$500=C294)*(檢查項目!$B$2:$B$500=B294),0),0)),IFERROR(INDEX(檢查項目!$E$2:$E$500,MATCH(1,INDEX((檢查項目!$A$2:$A$500=A294)*(檢查項目!$C$2:$C$500=C294)*(檢查項目!$B$2:$B$500=""),0),0)),"⚠ 找不到項目")))</f>
        <v/>
      </c>
      <c r="J294" s="2">
        <f>IF(A294="","",IF(B294="","共用",IF(H294="Y","排除（"&amp;B294&amp;"）",IF(SUMPRODUCT(($A$2:$A$500=A294)*($C$2:$C$500=C294)*($D$2:$D$500=D294)*($B$2:$B$500=""))&gt;0,"覆蓋共用（"&amp;B294&amp;"）","單元新增（"&amp;B294&amp;"）"))))</f>
        <v/>
      </c>
      <c r="K294" s="2">
        <f>IF(A294="","",IF(H294="Y","—",IF(AND(F294&lt;&gt;"",G294&lt;&gt;""),F294&amp;" ~ "&amp;G294,IF(G294&lt;&gt;"","≤ "&amp;G294,IF(F294&lt;&gt;"","≥ "&amp;F294,"只記錄、不檢核")))))</f>
        <v/>
      </c>
      <c r="L294" s="2">
        <f>IF(A294="","",IF(TRIM(IF(SUMPRODUCT(($A$2:$A$500=A294)*($B$2:$B$500=B294)*($C$2:$C$500=C294)*($D$2:$D$500=D294))&gt;1,"⚠ 欄位名稱重複 ","")&amp;IF(AND(B294&lt;&gt;"",NOT(ISNUMBER(SEARCH("、"&amp;B294&amp;"、","、"&amp;IFERROR(INDEX(表單!$I$2:$I$500,MATCH(A294,表單!$A$2:$A$500,0)),"")&amp;"、")))),"⚠ 單元不在適用單元內 ","")&amp;IF(AND(H294="Y",B294=""),"⚠ 排除只能用在單元列 ","")&amp;IF(AND(H294="Y",B294&lt;&gt;"",SUMPRODUCT(($A$2:$A$500=A294)*($C$2:$C$500=C294)*($D$2:$D$500=D294)*($B$2:$B$500=""))=0),"⚠ 排除需對應共用欄位 ","")&amp;IF(AND(ISNUMBER(F294),ISNUMBER(G294),F294&gt;G294),"⚠ 下限大於上限 ","")&amp;IF(SUMPRODUCT((檢查項目!$A$2:$A$500=A294)*(檢查項目!$C$2:$C$500=C294)*(檢查項目!$G$2:$G$500="數值"))=0,"⚠ 該項目不是數值類型 ",""))="","✓",TRIM(IF(SUMPRODUCT(($A$2:$A$500=A294)*($B$2:$B$500=B294)*($C$2:$C$500=C294)*($D$2:$D$500=D294))&gt;1,"⚠ 欄位名稱重複 ","")&amp;IF(AND(B294&lt;&gt;"",NOT(ISNUMBER(SEARCH("、"&amp;B294&amp;"、","、"&amp;IFERROR(INDEX(表單!$I$2:$I$500,MATCH(A294,表單!$A$2:$A$500,0)),"")&amp;"、")))),"⚠ 單元不在適用單元內 ","")&amp;IF(AND(H294="Y",B294=""),"⚠ 排除只能用在單元列 ","")&amp;IF(AND(H294="Y",B294&lt;&gt;"",SUMPRODUCT(($A$2:$A$500=A294)*($C$2:$C$500=C294)*($D$2:$D$500=D294)*($B$2:$B$500=""))=0),"⚠ 排除需對應共用欄位 ","")&amp;IF(AND(ISNUMBER(F294),ISNUMBER(G294),F294&gt;G294),"⚠ 下限大於上限 ","")&amp;IF(SUMPRODUCT((檢查項目!$A$2:$A$500=A294)*(檢查項目!$C$2:$C$500=C294)*(檢查項目!$G$2:$G$500="數值"))=0,"⚠ 該項目不是數值類型 ",""))))</f>
        <v/>
      </c>
    </row>
    <row r="295">
      <c r="I295" s="2">
        <f>IF(A295="","",IFERROR(INDEX(檢查項目!$E$2:$E$500,MATCH(1,INDEX((檢查項目!$A$2:$A$500=A295)*(檢查項目!$C$2:$C$500=C295)*(檢查項目!$B$2:$B$500=B295),0),0)),IFERROR(INDEX(檢查項目!$E$2:$E$500,MATCH(1,INDEX((檢查項目!$A$2:$A$500=A295)*(檢查項目!$C$2:$C$500=C295)*(檢查項目!$B$2:$B$500=""),0),0)),"⚠ 找不到項目")))</f>
        <v/>
      </c>
      <c r="J295" s="2">
        <f>IF(A295="","",IF(B295="","共用",IF(H295="Y","排除（"&amp;B295&amp;"）",IF(SUMPRODUCT(($A$2:$A$500=A295)*($C$2:$C$500=C295)*($D$2:$D$500=D295)*($B$2:$B$500=""))&gt;0,"覆蓋共用（"&amp;B295&amp;"）","單元新增（"&amp;B295&amp;"）"))))</f>
        <v/>
      </c>
      <c r="K295" s="2">
        <f>IF(A295="","",IF(H295="Y","—",IF(AND(F295&lt;&gt;"",G295&lt;&gt;""),F295&amp;" ~ "&amp;G295,IF(G295&lt;&gt;"","≤ "&amp;G295,IF(F295&lt;&gt;"","≥ "&amp;F295,"只記錄、不檢核")))))</f>
        <v/>
      </c>
      <c r="L295" s="2">
        <f>IF(A295="","",IF(TRIM(IF(SUMPRODUCT(($A$2:$A$500=A295)*($B$2:$B$500=B295)*($C$2:$C$500=C295)*($D$2:$D$500=D295))&gt;1,"⚠ 欄位名稱重複 ","")&amp;IF(AND(B295&lt;&gt;"",NOT(ISNUMBER(SEARCH("、"&amp;B295&amp;"、","、"&amp;IFERROR(INDEX(表單!$I$2:$I$500,MATCH(A295,表單!$A$2:$A$500,0)),"")&amp;"、")))),"⚠ 單元不在適用單元內 ","")&amp;IF(AND(H295="Y",B295=""),"⚠ 排除只能用在單元列 ","")&amp;IF(AND(H295="Y",B295&lt;&gt;"",SUMPRODUCT(($A$2:$A$500=A295)*($C$2:$C$500=C295)*($D$2:$D$500=D295)*($B$2:$B$500=""))=0),"⚠ 排除需對應共用欄位 ","")&amp;IF(AND(ISNUMBER(F295),ISNUMBER(G295),F295&gt;G295),"⚠ 下限大於上限 ","")&amp;IF(SUMPRODUCT((檢查項目!$A$2:$A$500=A295)*(檢查項目!$C$2:$C$500=C295)*(檢查項目!$G$2:$G$500="數值"))=0,"⚠ 該項目不是數值類型 ",""))="","✓",TRIM(IF(SUMPRODUCT(($A$2:$A$500=A295)*($B$2:$B$500=B295)*($C$2:$C$500=C295)*($D$2:$D$500=D295))&gt;1,"⚠ 欄位名稱重複 ","")&amp;IF(AND(B295&lt;&gt;"",NOT(ISNUMBER(SEARCH("、"&amp;B295&amp;"、","、"&amp;IFERROR(INDEX(表單!$I$2:$I$500,MATCH(A295,表單!$A$2:$A$500,0)),"")&amp;"、")))),"⚠ 單元不在適用單元內 ","")&amp;IF(AND(H295="Y",B295=""),"⚠ 排除只能用在單元列 ","")&amp;IF(AND(H295="Y",B295&lt;&gt;"",SUMPRODUCT(($A$2:$A$500=A295)*($C$2:$C$500=C295)*($D$2:$D$500=D295)*($B$2:$B$500=""))=0),"⚠ 排除需對應共用欄位 ","")&amp;IF(AND(ISNUMBER(F295),ISNUMBER(G295),F295&gt;G295),"⚠ 下限大於上限 ","")&amp;IF(SUMPRODUCT((檢查項目!$A$2:$A$500=A295)*(檢查項目!$C$2:$C$500=C295)*(檢查項目!$G$2:$G$500="數值"))=0,"⚠ 該項目不是數值類型 ",""))))</f>
        <v/>
      </c>
    </row>
    <row r="296">
      <c r="I296" s="2">
        <f>IF(A296="","",IFERROR(INDEX(檢查項目!$E$2:$E$500,MATCH(1,INDEX((檢查項目!$A$2:$A$500=A296)*(檢查項目!$C$2:$C$500=C296)*(檢查項目!$B$2:$B$500=B296),0),0)),IFERROR(INDEX(檢查項目!$E$2:$E$500,MATCH(1,INDEX((檢查項目!$A$2:$A$500=A296)*(檢查項目!$C$2:$C$500=C296)*(檢查項目!$B$2:$B$500=""),0),0)),"⚠ 找不到項目")))</f>
        <v/>
      </c>
      <c r="J296" s="2">
        <f>IF(A296="","",IF(B296="","共用",IF(H296="Y","排除（"&amp;B296&amp;"）",IF(SUMPRODUCT(($A$2:$A$500=A296)*($C$2:$C$500=C296)*($D$2:$D$500=D296)*($B$2:$B$500=""))&gt;0,"覆蓋共用（"&amp;B296&amp;"）","單元新增（"&amp;B296&amp;"）"))))</f>
        <v/>
      </c>
      <c r="K296" s="2">
        <f>IF(A296="","",IF(H296="Y","—",IF(AND(F296&lt;&gt;"",G296&lt;&gt;""),F296&amp;" ~ "&amp;G296,IF(G296&lt;&gt;"","≤ "&amp;G296,IF(F296&lt;&gt;"","≥ "&amp;F296,"只記錄、不檢核")))))</f>
        <v/>
      </c>
      <c r="L296" s="2">
        <f>IF(A296="","",IF(TRIM(IF(SUMPRODUCT(($A$2:$A$500=A296)*($B$2:$B$500=B296)*($C$2:$C$500=C296)*($D$2:$D$500=D296))&gt;1,"⚠ 欄位名稱重複 ","")&amp;IF(AND(B296&lt;&gt;"",NOT(ISNUMBER(SEARCH("、"&amp;B296&amp;"、","、"&amp;IFERROR(INDEX(表單!$I$2:$I$500,MATCH(A296,表單!$A$2:$A$500,0)),"")&amp;"、")))),"⚠ 單元不在適用單元內 ","")&amp;IF(AND(H296="Y",B296=""),"⚠ 排除只能用在單元列 ","")&amp;IF(AND(H296="Y",B296&lt;&gt;"",SUMPRODUCT(($A$2:$A$500=A296)*($C$2:$C$500=C296)*($D$2:$D$500=D296)*($B$2:$B$500=""))=0),"⚠ 排除需對應共用欄位 ","")&amp;IF(AND(ISNUMBER(F296),ISNUMBER(G296),F296&gt;G296),"⚠ 下限大於上限 ","")&amp;IF(SUMPRODUCT((檢查項目!$A$2:$A$500=A296)*(檢查項目!$C$2:$C$500=C296)*(檢查項目!$G$2:$G$500="數值"))=0,"⚠ 該項目不是數值類型 ",""))="","✓",TRIM(IF(SUMPRODUCT(($A$2:$A$500=A296)*($B$2:$B$500=B296)*($C$2:$C$500=C296)*($D$2:$D$500=D296))&gt;1,"⚠ 欄位名稱重複 ","")&amp;IF(AND(B296&lt;&gt;"",NOT(ISNUMBER(SEARCH("、"&amp;B296&amp;"、","、"&amp;IFERROR(INDEX(表單!$I$2:$I$500,MATCH(A296,表單!$A$2:$A$500,0)),"")&amp;"、")))),"⚠ 單元不在適用單元內 ","")&amp;IF(AND(H296="Y",B296=""),"⚠ 排除只能用在單元列 ","")&amp;IF(AND(H296="Y",B296&lt;&gt;"",SUMPRODUCT(($A$2:$A$500=A296)*($C$2:$C$500=C296)*($D$2:$D$500=D296)*($B$2:$B$500=""))=0),"⚠ 排除需對應共用欄位 ","")&amp;IF(AND(ISNUMBER(F296),ISNUMBER(G296),F296&gt;G296),"⚠ 下限大於上限 ","")&amp;IF(SUMPRODUCT((檢查項目!$A$2:$A$500=A296)*(檢查項目!$C$2:$C$500=C296)*(檢查項目!$G$2:$G$500="數值"))=0,"⚠ 該項目不是數值類型 ",""))))</f>
        <v/>
      </c>
    </row>
    <row r="297">
      <c r="I297" s="2">
        <f>IF(A297="","",IFERROR(INDEX(檢查項目!$E$2:$E$500,MATCH(1,INDEX((檢查項目!$A$2:$A$500=A297)*(檢查項目!$C$2:$C$500=C297)*(檢查項目!$B$2:$B$500=B297),0),0)),IFERROR(INDEX(檢查項目!$E$2:$E$500,MATCH(1,INDEX((檢查項目!$A$2:$A$500=A297)*(檢查項目!$C$2:$C$500=C297)*(檢查項目!$B$2:$B$500=""),0),0)),"⚠ 找不到項目")))</f>
        <v/>
      </c>
      <c r="J297" s="2">
        <f>IF(A297="","",IF(B297="","共用",IF(H297="Y","排除（"&amp;B297&amp;"）",IF(SUMPRODUCT(($A$2:$A$500=A297)*($C$2:$C$500=C297)*($D$2:$D$500=D297)*($B$2:$B$500=""))&gt;0,"覆蓋共用（"&amp;B297&amp;"）","單元新增（"&amp;B297&amp;"）"))))</f>
        <v/>
      </c>
      <c r="K297" s="2">
        <f>IF(A297="","",IF(H297="Y","—",IF(AND(F297&lt;&gt;"",G297&lt;&gt;""),F297&amp;" ~ "&amp;G297,IF(G297&lt;&gt;"","≤ "&amp;G297,IF(F297&lt;&gt;"","≥ "&amp;F297,"只記錄、不檢核")))))</f>
        <v/>
      </c>
      <c r="L297" s="2">
        <f>IF(A297="","",IF(TRIM(IF(SUMPRODUCT(($A$2:$A$500=A297)*($B$2:$B$500=B297)*($C$2:$C$500=C297)*($D$2:$D$500=D297))&gt;1,"⚠ 欄位名稱重複 ","")&amp;IF(AND(B297&lt;&gt;"",NOT(ISNUMBER(SEARCH("、"&amp;B297&amp;"、","、"&amp;IFERROR(INDEX(表單!$I$2:$I$500,MATCH(A297,表單!$A$2:$A$500,0)),"")&amp;"、")))),"⚠ 單元不在適用單元內 ","")&amp;IF(AND(H297="Y",B297=""),"⚠ 排除只能用在單元列 ","")&amp;IF(AND(H297="Y",B297&lt;&gt;"",SUMPRODUCT(($A$2:$A$500=A297)*($C$2:$C$500=C297)*($D$2:$D$500=D297)*($B$2:$B$500=""))=0),"⚠ 排除需對應共用欄位 ","")&amp;IF(AND(ISNUMBER(F297),ISNUMBER(G297),F297&gt;G297),"⚠ 下限大於上限 ","")&amp;IF(SUMPRODUCT((檢查項目!$A$2:$A$500=A297)*(檢查項目!$C$2:$C$500=C297)*(檢查項目!$G$2:$G$500="數值"))=0,"⚠ 該項目不是數值類型 ",""))="","✓",TRIM(IF(SUMPRODUCT(($A$2:$A$500=A297)*($B$2:$B$500=B297)*($C$2:$C$500=C297)*($D$2:$D$500=D297))&gt;1,"⚠ 欄位名稱重複 ","")&amp;IF(AND(B297&lt;&gt;"",NOT(ISNUMBER(SEARCH("、"&amp;B297&amp;"、","、"&amp;IFERROR(INDEX(表單!$I$2:$I$500,MATCH(A297,表單!$A$2:$A$500,0)),"")&amp;"、")))),"⚠ 單元不在適用單元內 ","")&amp;IF(AND(H297="Y",B297=""),"⚠ 排除只能用在單元列 ","")&amp;IF(AND(H297="Y",B297&lt;&gt;"",SUMPRODUCT(($A$2:$A$500=A297)*($C$2:$C$500=C297)*($D$2:$D$500=D297)*($B$2:$B$500=""))=0),"⚠ 排除需對應共用欄位 ","")&amp;IF(AND(ISNUMBER(F297),ISNUMBER(G297),F297&gt;G297),"⚠ 下限大於上限 ","")&amp;IF(SUMPRODUCT((檢查項目!$A$2:$A$500=A297)*(檢查項目!$C$2:$C$500=C297)*(檢查項目!$G$2:$G$500="數值"))=0,"⚠ 該項目不是數值類型 ",""))))</f>
        <v/>
      </c>
    </row>
    <row r="298">
      <c r="I298" s="2">
        <f>IF(A298="","",IFERROR(INDEX(檢查項目!$E$2:$E$500,MATCH(1,INDEX((檢查項目!$A$2:$A$500=A298)*(檢查項目!$C$2:$C$500=C298)*(檢查項目!$B$2:$B$500=B298),0),0)),IFERROR(INDEX(檢查項目!$E$2:$E$500,MATCH(1,INDEX((檢查項目!$A$2:$A$500=A298)*(檢查項目!$C$2:$C$500=C298)*(檢查項目!$B$2:$B$500=""),0),0)),"⚠ 找不到項目")))</f>
        <v/>
      </c>
      <c r="J298" s="2">
        <f>IF(A298="","",IF(B298="","共用",IF(H298="Y","排除（"&amp;B298&amp;"）",IF(SUMPRODUCT(($A$2:$A$500=A298)*($C$2:$C$500=C298)*($D$2:$D$500=D298)*($B$2:$B$500=""))&gt;0,"覆蓋共用（"&amp;B298&amp;"）","單元新增（"&amp;B298&amp;"）"))))</f>
        <v/>
      </c>
      <c r="K298" s="2">
        <f>IF(A298="","",IF(H298="Y","—",IF(AND(F298&lt;&gt;"",G298&lt;&gt;""),F298&amp;" ~ "&amp;G298,IF(G298&lt;&gt;"","≤ "&amp;G298,IF(F298&lt;&gt;"","≥ "&amp;F298,"只記錄、不檢核")))))</f>
        <v/>
      </c>
      <c r="L298" s="2">
        <f>IF(A298="","",IF(TRIM(IF(SUMPRODUCT(($A$2:$A$500=A298)*($B$2:$B$500=B298)*($C$2:$C$500=C298)*($D$2:$D$500=D298))&gt;1,"⚠ 欄位名稱重複 ","")&amp;IF(AND(B298&lt;&gt;"",NOT(ISNUMBER(SEARCH("、"&amp;B298&amp;"、","、"&amp;IFERROR(INDEX(表單!$I$2:$I$500,MATCH(A298,表單!$A$2:$A$500,0)),"")&amp;"、")))),"⚠ 單元不在適用單元內 ","")&amp;IF(AND(H298="Y",B298=""),"⚠ 排除只能用在單元列 ","")&amp;IF(AND(H298="Y",B298&lt;&gt;"",SUMPRODUCT(($A$2:$A$500=A298)*($C$2:$C$500=C298)*($D$2:$D$500=D298)*($B$2:$B$500=""))=0),"⚠ 排除需對應共用欄位 ","")&amp;IF(AND(ISNUMBER(F298),ISNUMBER(G298),F298&gt;G298),"⚠ 下限大於上限 ","")&amp;IF(SUMPRODUCT((檢查項目!$A$2:$A$500=A298)*(檢查項目!$C$2:$C$500=C298)*(檢查項目!$G$2:$G$500="數值"))=0,"⚠ 該項目不是數值類型 ",""))="","✓",TRIM(IF(SUMPRODUCT(($A$2:$A$500=A298)*($B$2:$B$500=B298)*($C$2:$C$500=C298)*($D$2:$D$500=D298))&gt;1,"⚠ 欄位名稱重複 ","")&amp;IF(AND(B298&lt;&gt;"",NOT(ISNUMBER(SEARCH("、"&amp;B298&amp;"、","、"&amp;IFERROR(INDEX(表單!$I$2:$I$500,MATCH(A298,表單!$A$2:$A$500,0)),"")&amp;"、")))),"⚠ 單元不在適用單元內 ","")&amp;IF(AND(H298="Y",B298=""),"⚠ 排除只能用在單元列 ","")&amp;IF(AND(H298="Y",B298&lt;&gt;"",SUMPRODUCT(($A$2:$A$500=A298)*($C$2:$C$500=C298)*($D$2:$D$500=D298)*($B$2:$B$500=""))=0),"⚠ 排除需對應共用欄位 ","")&amp;IF(AND(ISNUMBER(F298),ISNUMBER(G298),F298&gt;G298),"⚠ 下限大於上限 ","")&amp;IF(SUMPRODUCT((檢查項目!$A$2:$A$500=A298)*(檢查項目!$C$2:$C$500=C298)*(檢查項目!$G$2:$G$500="數值"))=0,"⚠ 該項目不是數值類型 ",""))))</f>
        <v/>
      </c>
    </row>
    <row r="299">
      <c r="I299" s="2">
        <f>IF(A299="","",IFERROR(INDEX(檢查項目!$E$2:$E$500,MATCH(1,INDEX((檢查項目!$A$2:$A$500=A299)*(檢查項目!$C$2:$C$500=C299)*(檢查項目!$B$2:$B$500=B299),0),0)),IFERROR(INDEX(檢查項目!$E$2:$E$500,MATCH(1,INDEX((檢查項目!$A$2:$A$500=A299)*(檢查項目!$C$2:$C$500=C299)*(檢查項目!$B$2:$B$500=""),0),0)),"⚠ 找不到項目")))</f>
        <v/>
      </c>
      <c r="J299" s="2">
        <f>IF(A299="","",IF(B299="","共用",IF(H299="Y","排除（"&amp;B299&amp;"）",IF(SUMPRODUCT(($A$2:$A$500=A299)*($C$2:$C$500=C299)*($D$2:$D$500=D299)*($B$2:$B$500=""))&gt;0,"覆蓋共用（"&amp;B299&amp;"）","單元新增（"&amp;B299&amp;"）"))))</f>
        <v/>
      </c>
      <c r="K299" s="2">
        <f>IF(A299="","",IF(H299="Y","—",IF(AND(F299&lt;&gt;"",G299&lt;&gt;""),F299&amp;" ~ "&amp;G299,IF(G299&lt;&gt;"","≤ "&amp;G299,IF(F299&lt;&gt;"","≥ "&amp;F299,"只記錄、不檢核")))))</f>
        <v/>
      </c>
      <c r="L299" s="2">
        <f>IF(A299="","",IF(TRIM(IF(SUMPRODUCT(($A$2:$A$500=A299)*($B$2:$B$500=B299)*($C$2:$C$500=C299)*($D$2:$D$500=D299))&gt;1,"⚠ 欄位名稱重複 ","")&amp;IF(AND(B299&lt;&gt;"",NOT(ISNUMBER(SEARCH("、"&amp;B299&amp;"、","、"&amp;IFERROR(INDEX(表單!$I$2:$I$500,MATCH(A299,表單!$A$2:$A$500,0)),"")&amp;"、")))),"⚠ 單元不在適用單元內 ","")&amp;IF(AND(H299="Y",B299=""),"⚠ 排除只能用在單元列 ","")&amp;IF(AND(H299="Y",B299&lt;&gt;"",SUMPRODUCT(($A$2:$A$500=A299)*($C$2:$C$500=C299)*($D$2:$D$500=D299)*($B$2:$B$500=""))=0),"⚠ 排除需對應共用欄位 ","")&amp;IF(AND(ISNUMBER(F299),ISNUMBER(G299),F299&gt;G299),"⚠ 下限大於上限 ","")&amp;IF(SUMPRODUCT((檢查項目!$A$2:$A$500=A299)*(檢查項目!$C$2:$C$500=C299)*(檢查項目!$G$2:$G$500="數值"))=0,"⚠ 該項目不是數值類型 ",""))="","✓",TRIM(IF(SUMPRODUCT(($A$2:$A$500=A299)*($B$2:$B$500=B299)*($C$2:$C$500=C299)*($D$2:$D$500=D299))&gt;1,"⚠ 欄位名稱重複 ","")&amp;IF(AND(B299&lt;&gt;"",NOT(ISNUMBER(SEARCH("、"&amp;B299&amp;"、","、"&amp;IFERROR(INDEX(表單!$I$2:$I$500,MATCH(A299,表單!$A$2:$A$500,0)),"")&amp;"、")))),"⚠ 單元不在適用單元內 ","")&amp;IF(AND(H299="Y",B299=""),"⚠ 排除只能用在單元列 ","")&amp;IF(AND(H299="Y",B299&lt;&gt;"",SUMPRODUCT(($A$2:$A$500=A299)*($C$2:$C$500=C299)*($D$2:$D$500=D299)*($B$2:$B$500=""))=0),"⚠ 排除需對應共用欄位 ","")&amp;IF(AND(ISNUMBER(F299),ISNUMBER(G299),F299&gt;G299),"⚠ 下限大於上限 ","")&amp;IF(SUMPRODUCT((檢查項目!$A$2:$A$500=A299)*(檢查項目!$C$2:$C$500=C299)*(檢查項目!$G$2:$G$500="數值"))=0,"⚠ 該項目不是數值類型 ",""))))</f>
        <v/>
      </c>
    </row>
    <row r="300">
      <c r="I300" s="2">
        <f>IF(A300="","",IFERROR(INDEX(檢查項目!$E$2:$E$500,MATCH(1,INDEX((檢查項目!$A$2:$A$500=A300)*(檢查項目!$C$2:$C$500=C300)*(檢查項目!$B$2:$B$500=B300),0),0)),IFERROR(INDEX(檢查項目!$E$2:$E$500,MATCH(1,INDEX((檢查項目!$A$2:$A$500=A300)*(檢查項目!$C$2:$C$500=C300)*(檢查項目!$B$2:$B$500=""),0),0)),"⚠ 找不到項目")))</f>
        <v/>
      </c>
      <c r="J300" s="2">
        <f>IF(A300="","",IF(B300="","共用",IF(H300="Y","排除（"&amp;B300&amp;"）",IF(SUMPRODUCT(($A$2:$A$500=A300)*($C$2:$C$500=C300)*($D$2:$D$500=D300)*($B$2:$B$500=""))&gt;0,"覆蓋共用（"&amp;B300&amp;"）","單元新增（"&amp;B300&amp;"）"))))</f>
        <v/>
      </c>
      <c r="K300" s="2">
        <f>IF(A300="","",IF(H300="Y","—",IF(AND(F300&lt;&gt;"",G300&lt;&gt;""),F300&amp;" ~ "&amp;G300,IF(G300&lt;&gt;"","≤ "&amp;G300,IF(F300&lt;&gt;"","≥ "&amp;F300,"只記錄、不檢核")))))</f>
        <v/>
      </c>
      <c r="L300" s="2">
        <f>IF(A300="","",IF(TRIM(IF(SUMPRODUCT(($A$2:$A$500=A300)*($B$2:$B$500=B300)*($C$2:$C$500=C300)*($D$2:$D$500=D300))&gt;1,"⚠ 欄位名稱重複 ","")&amp;IF(AND(B300&lt;&gt;"",NOT(ISNUMBER(SEARCH("、"&amp;B300&amp;"、","、"&amp;IFERROR(INDEX(表單!$I$2:$I$500,MATCH(A300,表單!$A$2:$A$500,0)),"")&amp;"、")))),"⚠ 單元不在適用單元內 ","")&amp;IF(AND(H300="Y",B300=""),"⚠ 排除只能用在單元列 ","")&amp;IF(AND(H300="Y",B300&lt;&gt;"",SUMPRODUCT(($A$2:$A$500=A300)*($C$2:$C$500=C300)*($D$2:$D$500=D300)*($B$2:$B$500=""))=0),"⚠ 排除需對應共用欄位 ","")&amp;IF(AND(ISNUMBER(F300),ISNUMBER(G300),F300&gt;G300),"⚠ 下限大於上限 ","")&amp;IF(SUMPRODUCT((檢查項目!$A$2:$A$500=A300)*(檢查項目!$C$2:$C$500=C300)*(檢查項目!$G$2:$G$500="數值"))=0,"⚠ 該項目不是數值類型 ",""))="","✓",TRIM(IF(SUMPRODUCT(($A$2:$A$500=A300)*($B$2:$B$500=B300)*($C$2:$C$500=C300)*($D$2:$D$500=D300))&gt;1,"⚠ 欄位名稱重複 ","")&amp;IF(AND(B300&lt;&gt;"",NOT(ISNUMBER(SEARCH("、"&amp;B300&amp;"、","、"&amp;IFERROR(INDEX(表單!$I$2:$I$500,MATCH(A300,表單!$A$2:$A$500,0)),"")&amp;"、")))),"⚠ 單元不在適用單元內 ","")&amp;IF(AND(H300="Y",B300=""),"⚠ 排除只能用在單元列 ","")&amp;IF(AND(H300="Y",B300&lt;&gt;"",SUMPRODUCT(($A$2:$A$500=A300)*($C$2:$C$500=C300)*($D$2:$D$500=D300)*($B$2:$B$500=""))=0),"⚠ 排除需對應共用欄位 ","")&amp;IF(AND(ISNUMBER(F300),ISNUMBER(G300),F300&gt;G300),"⚠ 下限大於上限 ","")&amp;IF(SUMPRODUCT((檢查項目!$A$2:$A$500=A300)*(檢查項目!$C$2:$C$500=C300)*(檢查項目!$G$2:$G$500="數值"))=0,"⚠ 該項目不是數值類型 ",""))))</f>
        <v/>
      </c>
    </row>
  </sheetData>
  <autoFilter ref="A1:L300"/>
  <dataValidations count="4">
    <dataValidation sqref="A2:A500" showDropDown="0" showInputMessage="0" showErrorMessage="1" allowBlank="1" errorTitle="表號" error="表號需先在「表單」工作表建立" type="list">
      <formula1>'表單'!$A$2:$A$500</formula1>
    </dataValidation>
    <dataValidation sqref="B2:B500" showDropDown="0" showInputMessage="0" showErrorMessage="1" allowBlank="1" errorTitle="單元編號" error="單元編號需先在「單元」工作表建立" type="list">
      <formula1>'單元'!$A$2:$A$500</formula1>
    </dataValidation>
    <dataValidation sqref="H2:H500" showDropDown="0" showInputMessage="0" showErrorMessage="1" allowBlank="1" errorTitle="Y／N" error="請填 Y 或 N" type="list">
      <formula1>'代碼表'!$D$2:$D$3</formula1>
    </dataValidation>
    <dataValidation sqref="F2:G500" showDropDown="0" showInputMessage="0" showErrorMessage="1" allowBlank="1" error="上下限需為數字" type="decimal" operator="between">
      <formula1>-1E+12</formula1>
      <formula2>1E+12</formula2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C8C8C"/>
    <outlinePr summaryBelow="1" summaryRight="1"/>
    <pageSetUpPr fitToPage="1"/>
  </sheetPr>
  <dimension ref="A1:O50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4" customWidth="1" min="4" max="4"/>
    <col width="10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32" customHeight="1">
      <c r="A1" s="14" t="inlineStr">
        <is>
          <t>表號</t>
        </is>
      </c>
      <c r="B1" s="14" t="inlineStr">
        <is>
          <t>表單名稱</t>
        </is>
      </c>
      <c r="C1" s="14" t="inlineStr">
        <is>
          <t>單元</t>
        </is>
      </c>
      <c r="D1" s="14" t="inlineStr">
        <is>
          <t>填寫方式</t>
        </is>
      </c>
      <c r="E1" s="14" t="inlineStr">
        <is>
          <t>來源</t>
        </is>
      </c>
      <c r="H1" t="inlineStr">
        <is>
          <t>本檔新增序號</t>
        </is>
      </c>
      <c r="J1" t="inlineStr">
        <is>
          <t>下拉清單</t>
        </is>
      </c>
      <c r="L1" t="inlineStr">
        <is>
          <t>系統表號</t>
        </is>
      </c>
      <c r="M1" t="inlineStr">
        <is>
          <t>系統表單名稱</t>
        </is>
      </c>
      <c r="N1" t="inlineStr">
        <is>
          <t>系統單元</t>
        </is>
      </c>
      <c r="O1" t="inlineStr">
        <is>
          <t>系統填寫方式</t>
        </is>
      </c>
    </row>
    <row r="2">
      <c r="A2" s="15">
        <f>IF($J2="","",$J2)</f>
        <v/>
      </c>
      <c r="B2" s="15">
        <f>IF($A2="","",IF(ISNUMBER(MATCH($A2,表單!$A$2:$A$301,0)),INDEX(表單!$B$2:$B$301,MATCH($A2,表單!$A$2:$A$301,0)),IFERROR(INDEX($M$2:$M$201,MATCH($A2,$L$2:$L$201,0)),"")))</f>
        <v/>
      </c>
      <c r="C2" s="15">
        <f>IF($A2="","",IF(ISNUMBER(MATCH($A2,表單!$A$2:$A$301,0)),IF(TRIM(INDEX(表單!$D$2:$D$301,MATCH($A2,表單!$A$2:$A$301,0)))="","（分項工程層）",INDEX(表單!$D$2:$D$301,MATCH($A2,表單!$A$2:$A$301,0))),IFERROR(INDEX($N$2:$N$201,MATCH($A2,$L$2:$L$201,0)),"")))</f>
        <v/>
      </c>
      <c r="D2" s="15">
        <f>IF($A2="","",IF(ISNUMBER(MATCH($A2,表單!$A$2:$A$301,0)),"線上表單",IFERROR(INDEX($O$2:$O$201,MATCH($A2,$L$2:$L$201,0)),"")))</f>
        <v/>
      </c>
      <c r="E2" s="15">
        <f>IF($A2="","",IF(ISNUMBER(MATCH($A2,表單!$A$2:$A$301,0)),"本檔","系統"))</f>
        <v/>
      </c>
      <c r="H2">
        <f>IF(AND(表單!$C2="自主檢查表",表單!$A2&lt;&gt;"",COUNTIF($L$2:$L$201,表單!$A2)=0),COUNT($H$1:H1)+1,"")</f>
        <v/>
      </c>
      <c r="J2">
        <f>IF(1&lt;=COUNTA($L$2:$L$201),INDEX($L$2:$L$201,1),IFERROR(INDEX(表單!$A$2:$A$301,MATCH(1-COUNTA($L$2:$L$201),$H$2:$H$301,0)),""))</f>
        <v/>
      </c>
    </row>
    <row r="3">
      <c r="A3" s="15">
        <f>IF($J3="","",$J3)</f>
        <v/>
      </c>
      <c r="B3" s="15">
        <f>IF($A3="","",IF(ISNUMBER(MATCH($A3,表單!$A$2:$A$301,0)),INDEX(表單!$B$2:$B$301,MATCH($A3,表單!$A$2:$A$301,0)),IFERROR(INDEX($M$2:$M$201,MATCH($A3,$L$2:$L$201,0)),"")))</f>
        <v/>
      </c>
      <c r="C3" s="15">
        <f>IF($A3="","",IF(ISNUMBER(MATCH($A3,表單!$A$2:$A$301,0)),IF(TRIM(INDEX(表單!$D$2:$D$301,MATCH($A3,表單!$A$2:$A$301,0)))="","（分項工程層）",INDEX(表單!$D$2:$D$301,MATCH($A3,表單!$A$2:$A$301,0))),IFERROR(INDEX($N$2:$N$201,MATCH($A3,$L$2:$L$201,0)),"")))</f>
        <v/>
      </c>
      <c r="D3" s="15">
        <f>IF($A3="","",IF(ISNUMBER(MATCH($A3,表單!$A$2:$A$301,0)),"線上表單",IFERROR(INDEX($O$2:$O$201,MATCH($A3,$L$2:$L$201,0)),"")))</f>
        <v/>
      </c>
      <c r="E3" s="15">
        <f>IF($A3="","",IF(ISNUMBER(MATCH($A3,表單!$A$2:$A$301,0)),"本檔","系統"))</f>
        <v/>
      </c>
      <c r="H3">
        <f>IF(AND(表單!$C3="自主檢查表",表單!$A3&lt;&gt;"",COUNTIF($L$2:$L$201,表單!$A3)=0),COUNT($H$1:H2)+1,"")</f>
        <v/>
      </c>
      <c r="J3">
        <f>IF(2&lt;=COUNTA($L$2:$L$201),INDEX($L$2:$L$201,2),IFERROR(INDEX(表單!$A$2:$A$301,MATCH(2-COUNTA($L$2:$L$201),$H$2:$H$301,0)),""))</f>
        <v/>
      </c>
    </row>
    <row r="4">
      <c r="A4" s="15">
        <f>IF($J4="","",$J4)</f>
        <v/>
      </c>
      <c r="B4" s="15">
        <f>IF($A4="","",IF(ISNUMBER(MATCH($A4,表單!$A$2:$A$301,0)),INDEX(表單!$B$2:$B$301,MATCH($A4,表單!$A$2:$A$301,0)),IFERROR(INDEX($M$2:$M$201,MATCH($A4,$L$2:$L$201,0)),"")))</f>
        <v/>
      </c>
      <c r="C4" s="15">
        <f>IF($A4="","",IF(ISNUMBER(MATCH($A4,表單!$A$2:$A$301,0)),IF(TRIM(INDEX(表單!$D$2:$D$301,MATCH($A4,表單!$A$2:$A$301,0)))="","（分項工程層）",INDEX(表單!$D$2:$D$301,MATCH($A4,表單!$A$2:$A$301,0))),IFERROR(INDEX($N$2:$N$201,MATCH($A4,$L$2:$L$201,0)),"")))</f>
        <v/>
      </c>
      <c r="D4" s="15">
        <f>IF($A4="","",IF(ISNUMBER(MATCH($A4,表單!$A$2:$A$301,0)),"線上表單",IFERROR(INDEX($O$2:$O$201,MATCH($A4,$L$2:$L$201,0)),"")))</f>
        <v/>
      </c>
      <c r="E4" s="15">
        <f>IF($A4="","",IF(ISNUMBER(MATCH($A4,表單!$A$2:$A$301,0)),"本檔","系統"))</f>
        <v/>
      </c>
      <c r="H4">
        <f>IF(AND(表單!$C4="自主檢查表",表單!$A4&lt;&gt;"",COUNTIF($L$2:$L$201,表單!$A4)=0),COUNT($H$1:H3)+1,"")</f>
        <v/>
      </c>
      <c r="J4">
        <f>IF(3&lt;=COUNTA($L$2:$L$201),INDEX($L$2:$L$201,3),IFERROR(INDEX(表單!$A$2:$A$301,MATCH(3-COUNTA($L$2:$L$201),$H$2:$H$301,0)),""))</f>
        <v/>
      </c>
    </row>
    <row r="5">
      <c r="A5" s="15">
        <f>IF($J5="","",$J5)</f>
        <v/>
      </c>
      <c r="B5" s="15">
        <f>IF($A5="","",IF(ISNUMBER(MATCH($A5,表單!$A$2:$A$301,0)),INDEX(表單!$B$2:$B$301,MATCH($A5,表單!$A$2:$A$301,0)),IFERROR(INDEX($M$2:$M$201,MATCH($A5,$L$2:$L$201,0)),"")))</f>
        <v/>
      </c>
      <c r="C5" s="15">
        <f>IF($A5="","",IF(ISNUMBER(MATCH($A5,表單!$A$2:$A$301,0)),IF(TRIM(INDEX(表單!$D$2:$D$301,MATCH($A5,表單!$A$2:$A$301,0)))="","（分項工程層）",INDEX(表單!$D$2:$D$301,MATCH($A5,表單!$A$2:$A$301,0))),IFERROR(INDEX($N$2:$N$201,MATCH($A5,$L$2:$L$201,0)),"")))</f>
        <v/>
      </c>
      <c r="D5" s="15">
        <f>IF($A5="","",IF(ISNUMBER(MATCH($A5,表單!$A$2:$A$301,0)),"線上表單",IFERROR(INDEX($O$2:$O$201,MATCH($A5,$L$2:$L$201,0)),"")))</f>
        <v/>
      </c>
      <c r="E5" s="15">
        <f>IF($A5="","",IF(ISNUMBER(MATCH($A5,表單!$A$2:$A$301,0)),"本檔","系統"))</f>
        <v/>
      </c>
      <c r="H5">
        <f>IF(AND(表單!$C5="自主檢查表",表單!$A5&lt;&gt;"",COUNTIF($L$2:$L$201,表單!$A5)=0),COUNT($H$1:H4)+1,"")</f>
        <v/>
      </c>
      <c r="J5">
        <f>IF(4&lt;=COUNTA($L$2:$L$201),INDEX($L$2:$L$201,4),IFERROR(INDEX(表單!$A$2:$A$301,MATCH(4-COUNTA($L$2:$L$201),$H$2:$H$301,0)),""))</f>
        <v/>
      </c>
    </row>
    <row r="6">
      <c r="A6" s="15">
        <f>IF($J6="","",$J6)</f>
        <v/>
      </c>
      <c r="B6" s="15">
        <f>IF($A6="","",IF(ISNUMBER(MATCH($A6,表單!$A$2:$A$301,0)),INDEX(表單!$B$2:$B$301,MATCH($A6,表單!$A$2:$A$301,0)),IFERROR(INDEX($M$2:$M$201,MATCH($A6,$L$2:$L$201,0)),"")))</f>
        <v/>
      </c>
      <c r="C6" s="15">
        <f>IF($A6="","",IF(ISNUMBER(MATCH($A6,表單!$A$2:$A$301,0)),IF(TRIM(INDEX(表單!$D$2:$D$301,MATCH($A6,表單!$A$2:$A$301,0)))="","（分項工程層）",INDEX(表單!$D$2:$D$301,MATCH($A6,表單!$A$2:$A$301,0))),IFERROR(INDEX($N$2:$N$201,MATCH($A6,$L$2:$L$201,0)),"")))</f>
        <v/>
      </c>
      <c r="D6" s="15">
        <f>IF($A6="","",IF(ISNUMBER(MATCH($A6,表單!$A$2:$A$301,0)),"線上表單",IFERROR(INDEX($O$2:$O$201,MATCH($A6,$L$2:$L$201,0)),"")))</f>
        <v/>
      </c>
      <c r="E6" s="15">
        <f>IF($A6="","",IF(ISNUMBER(MATCH($A6,表單!$A$2:$A$301,0)),"本檔","系統"))</f>
        <v/>
      </c>
      <c r="H6">
        <f>IF(AND(表單!$C6="自主檢查表",表單!$A6&lt;&gt;"",COUNTIF($L$2:$L$201,表單!$A6)=0),COUNT($H$1:H5)+1,"")</f>
        <v/>
      </c>
      <c r="J6">
        <f>IF(5&lt;=COUNTA($L$2:$L$201),INDEX($L$2:$L$201,5),IFERROR(INDEX(表單!$A$2:$A$301,MATCH(5-COUNTA($L$2:$L$201),$H$2:$H$301,0)),""))</f>
        <v/>
      </c>
    </row>
    <row r="7">
      <c r="A7" s="15">
        <f>IF($J7="","",$J7)</f>
        <v/>
      </c>
      <c r="B7" s="15">
        <f>IF($A7="","",IF(ISNUMBER(MATCH($A7,表單!$A$2:$A$301,0)),INDEX(表單!$B$2:$B$301,MATCH($A7,表單!$A$2:$A$301,0)),IFERROR(INDEX($M$2:$M$201,MATCH($A7,$L$2:$L$201,0)),"")))</f>
        <v/>
      </c>
      <c r="C7" s="15">
        <f>IF($A7="","",IF(ISNUMBER(MATCH($A7,表單!$A$2:$A$301,0)),IF(TRIM(INDEX(表單!$D$2:$D$301,MATCH($A7,表單!$A$2:$A$301,0)))="","（分項工程層）",INDEX(表單!$D$2:$D$301,MATCH($A7,表單!$A$2:$A$301,0))),IFERROR(INDEX($N$2:$N$201,MATCH($A7,$L$2:$L$201,0)),"")))</f>
        <v/>
      </c>
      <c r="D7" s="15">
        <f>IF($A7="","",IF(ISNUMBER(MATCH($A7,表單!$A$2:$A$301,0)),"線上表單",IFERROR(INDEX($O$2:$O$201,MATCH($A7,$L$2:$L$201,0)),"")))</f>
        <v/>
      </c>
      <c r="E7" s="15">
        <f>IF($A7="","",IF(ISNUMBER(MATCH($A7,表單!$A$2:$A$301,0)),"本檔","系統"))</f>
        <v/>
      </c>
      <c r="H7">
        <f>IF(AND(表單!$C7="自主檢查表",表單!$A7&lt;&gt;"",COUNTIF($L$2:$L$201,表單!$A7)=0),COUNT($H$1:H6)+1,"")</f>
        <v/>
      </c>
      <c r="J7">
        <f>IF(6&lt;=COUNTA($L$2:$L$201),INDEX($L$2:$L$201,6),IFERROR(INDEX(表單!$A$2:$A$301,MATCH(6-COUNTA($L$2:$L$201),$H$2:$H$301,0)),""))</f>
        <v/>
      </c>
    </row>
    <row r="8">
      <c r="A8" s="15">
        <f>IF($J8="","",$J8)</f>
        <v/>
      </c>
      <c r="B8" s="15">
        <f>IF($A8="","",IF(ISNUMBER(MATCH($A8,表單!$A$2:$A$301,0)),INDEX(表單!$B$2:$B$301,MATCH($A8,表單!$A$2:$A$301,0)),IFERROR(INDEX($M$2:$M$201,MATCH($A8,$L$2:$L$201,0)),"")))</f>
        <v/>
      </c>
      <c r="C8" s="15">
        <f>IF($A8="","",IF(ISNUMBER(MATCH($A8,表單!$A$2:$A$301,0)),IF(TRIM(INDEX(表單!$D$2:$D$301,MATCH($A8,表單!$A$2:$A$301,0)))="","（分項工程層）",INDEX(表單!$D$2:$D$301,MATCH($A8,表單!$A$2:$A$301,0))),IFERROR(INDEX($N$2:$N$201,MATCH($A8,$L$2:$L$201,0)),"")))</f>
        <v/>
      </c>
      <c r="D8" s="15">
        <f>IF($A8="","",IF(ISNUMBER(MATCH($A8,表單!$A$2:$A$301,0)),"線上表單",IFERROR(INDEX($O$2:$O$201,MATCH($A8,$L$2:$L$201,0)),"")))</f>
        <v/>
      </c>
      <c r="E8" s="15">
        <f>IF($A8="","",IF(ISNUMBER(MATCH($A8,表單!$A$2:$A$301,0)),"本檔","系統"))</f>
        <v/>
      </c>
      <c r="H8">
        <f>IF(AND(表單!$C8="自主檢查表",表單!$A8&lt;&gt;"",COUNTIF($L$2:$L$201,表單!$A8)=0),COUNT($H$1:H7)+1,"")</f>
        <v/>
      </c>
      <c r="J8">
        <f>IF(7&lt;=COUNTA($L$2:$L$201),INDEX($L$2:$L$201,7),IFERROR(INDEX(表單!$A$2:$A$301,MATCH(7-COUNTA($L$2:$L$201),$H$2:$H$301,0)),""))</f>
        <v/>
      </c>
    </row>
    <row r="9">
      <c r="A9" s="15">
        <f>IF($J9="","",$J9)</f>
        <v/>
      </c>
      <c r="B9" s="15">
        <f>IF($A9="","",IF(ISNUMBER(MATCH($A9,表單!$A$2:$A$301,0)),INDEX(表單!$B$2:$B$301,MATCH($A9,表單!$A$2:$A$301,0)),IFERROR(INDEX($M$2:$M$201,MATCH($A9,$L$2:$L$201,0)),"")))</f>
        <v/>
      </c>
      <c r="C9" s="15">
        <f>IF($A9="","",IF(ISNUMBER(MATCH($A9,表單!$A$2:$A$301,0)),IF(TRIM(INDEX(表單!$D$2:$D$301,MATCH($A9,表單!$A$2:$A$301,0)))="","（分項工程層）",INDEX(表單!$D$2:$D$301,MATCH($A9,表單!$A$2:$A$301,0))),IFERROR(INDEX($N$2:$N$201,MATCH($A9,$L$2:$L$201,0)),"")))</f>
        <v/>
      </c>
      <c r="D9" s="15">
        <f>IF($A9="","",IF(ISNUMBER(MATCH($A9,表單!$A$2:$A$301,0)),"線上表單",IFERROR(INDEX($O$2:$O$201,MATCH($A9,$L$2:$L$201,0)),"")))</f>
        <v/>
      </c>
      <c r="E9" s="15">
        <f>IF($A9="","",IF(ISNUMBER(MATCH($A9,表單!$A$2:$A$301,0)),"本檔","系統"))</f>
        <v/>
      </c>
      <c r="H9">
        <f>IF(AND(表單!$C9="自主檢查表",表單!$A9&lt;&gt;"",COUNTIF($L$2:$L$201,表單!$A9)=0),COUNT($H$1:H8)+1,"")</f>
        <v/>
      </c>
      <c r="J9">
        <f>IF(8&lt;=COUNTA($L$2:$L$201),INDEX($L$2:$L$201,8),IFERROR(INDEX(表單!$A$2:$A$301,MATCH(8-COUNTA($L$2:$L$201),$H$2:$H$301,0)),""))</f>
        <v/>
      </c>
    </row>
    <row r="10">
      <c r="A10" s="15">
        <f>IF($J10="","",$J10)</f>
        <v/>
      </c>
      <c r="B10" s="15">
        <f>IF($A10="","",IF(ISNUMBER(MATCH($A10,表單!$A$2:$A$301,0)),INDEX(表單!$B$2:$B$301,MATCH($A10,表單!$A$2:$A$301,0)),IFERROR(INDEX($M$2:$M$201,MATCH($A10,$L$2:$L$201,0)),"")))</f>
        <v/>
      </c>
      <c r="C10" s="15">
        <f>IF($A10="","",IF(ISNUMBER(MATCH($A10,表單!$A$2:$A$301,0)),IF(TRIM(INDEX(表單!$D$2:$D$301,MATCH($A10,表單!$A$2:$A$301,0)))="","（分項工程層）",INDEX(表單!$D$2:$D$301,MATCH($A10,表單!$A$2:$A$301,0))),IFERROR(INDEX($N$2:$N$201,MATCH($A10,$L$2:$L$201,0)),"")))</f>
        <v/>
      </c>
      <c r="D10" s="15">
        <f>IF($A10="","",IF(ISNUMBER(MATCH($A10,表單!$A$2:$A$301,0)),"線上表單",IFERROR(INDEX($O$2:$O$201,MATCH($A10,$L$2:$L$201,0)),"")))</f>
        <v/>
      </c>
      <c r="E10" s="15">
        <f>IF($A10="","",IF(ISNUMBER(MATCH($A10,表單!$A$2:$A$301,0)),"本檔","系統"))</f>
        <v/>
      </c>
      <c r="H10">
        <f>IF(AND(表單!$C10="自主檢查表",表單!$A10&lt;&gt;"",COUNTIF($L$2:$L$201,表單!$A10)=0),COUNT($H$1:H9)+1,"")</f>
        <v/>
      </c>
      <c r="J10">
        <f>IF(9&lt;=COUNTA($L$2:$L$201),INDEX($L$2:$L$201,9),IFERROR(INDEX(表單!$A$2:$A$301,MATCH(9-COUNTA($L$2:$L$201),$H$2:$H$301,0)),""))</f>
        <v/>
      </c>
    </row>
    <row r="11">
      <c r="A11" s="15">
        <f>IF($J11="","",$J11)</f>
        <v/>
      </c>
      <c r="B11" s="15">
        <f>IF($A11="","",IF(ISNUMBER(MATCH($A11,表單!$A$2:$A$301,0)),INDEX(表單!$B$2:$B$301,MATCH($A11,表單!$A$2:$A$301,0)),IFERROR(INDEX($M$2:$M$201,MATCH($A11,$L$2:$L$201,0)),"")))</f>
        <v/>
      </c>
      <c r="C11" s="15">
        <f>IF($A11="","",IF(ISNUMBER(MATCH($A11,表單!$A$2:$A$301,0)),IF(TRIM(INDEX(表單!$D$2:$D$301,MATCH($A11,表單!$A$2:$A$301,0)))="","（分項工程層）",INDEX(表單!$D$2:$D$301,MATCH($A11,表單!$A$2:$A$301,0))),IFERROR(INDEX($N$2:$N$201,MATCH($A11,$L$2:$L$201,0)),"")))</f>
        <v/>
      </c>
      <c r="D11" s="15">
        <f>IF($A11="","",IF(ISNUMBER(MATCH($A11,表單!$A$2:$A$301,0)),"線上表單",IFERROR(INDEX($O$2:$O$201,MATCH($A11,$L$2:$L$201,0)),"")))</f>
        <v/>
      </c>
      <c r="E11" s="15">
        <f>IF($A11="","",IF(ISNUMBER(MATCH($A11,表單!$A$2:$A$301,0)),"本檔","系統"))</f>
        <v/>
      </c>
      <c r="H11">
        <f>IF(AND(表單!$C11="自主檢查表",表單!$A11&lt;&gt;"",COUNTIF($L$2:$L$201,表單!$A11)=0),COUNT($H$1:H10)+1,"")</f>
        <v/>
      </c>
      <c r="J11">
        <f>IF(10&lt;=COUNTA($L$2:$L$201),INDEX($L$2:$L$201,10),IFERROR(INDEX(表單!$A$2:$A$301,MATCH(10-COUNTA($L$2:$L$201),$H$2:$H$301,0)),""))</f>
        <v/>
      </c>
    </row>
    <row r="12">
      <c r="A12" s="15">
        <f>IF($J12="","",$J12)</f>
        <v/>
      </c>
      <c r="B12" s="15">
        <f>IF($A12="","",IF(ISNUMBER(MATCH($A12,表單!$A$2:$A$301,0)),INDEX(表單!$B$2:$B$301,MATCH($A12,表單!$A$2:$A$301,0)),IFERROR(INDEX($M$2:$M$201,MATCH($A12,$L$2:$L$201,0)),"")))</f>
        <v/>
      </c>
      <c r="C12" s="15">
        <f>IF($A12="","",IF(ISNUMBER(MATCH($A12,表單!$A$2:$A$301,0)),IF(TRIM(INDEX(表單!$D$2:$D$301,MATCH($A12,表單!$A$2:$A$301,0)))="","（分項工程層）",INDEX(表單!$D$2:$D$301,MATCH($A12,表單!$A$2:$A$301,0))),IFERROR(INDEX($N$2:$N$201,MATCH($A12,$L$2:$L$201,0)),"")))</f>
        <v/>
      </c>
      <c r="D12" s="15">
        <f>IF($A12="","",IF(ISNUMBER(MATCH($A12,表單!$A$2:$A$301,0)),"線上表單",IFERROR(INDEX($O$2:$O$201,MATCH($A12,$L$2:$L$201,0)),"")))</f>
        <v/>
      </c>
      <c r="E12" s="15">
        <f>IF($A12="","",IF(ISNUMBER(MATCH($A12,表單!$A$2:$A$301,0)),"本檔","系統"))</f>
        <v/>
      </c>
      <c r="H12">
        <f>IF(AND(表單!$C12="自主檢查表",表單!$A12&lt;&gt;"",COUNTIF($L$2:$L$201,表單!$A12)=0),COUNT($H$1:H11)+1,"")</f>
        <v/>
      </c>
      <c r="J12">
        <f>IF(11&lt;=COUNTA($L$2:$L$201),INDEX($L$2:$L$201,11),IFERROR(INDEX(表單!$A$2:$A$301,MATCH(11-COUNTA($L$2:$L$201),$H$2:$H$301,0)),""))</f>
        <v/>
      </c>
    </row>
    <row r="13">
      <c r="A13" s="15">
        <f>IF($J13="","",$J13)</f>
        <v/>
      </c>
      <c r="B13" s="15">
        <f>IF($A13="","",IF(ISNUMBER(MATCH($A13,表單!$A$2:$A$301,0)),INDEX(表單!$B$2:$B$301,MATCH($A13,表單!$A$2:$A$301,0)),IFERROR(INDEX($M$2:$M$201,MATCH($A13,$L$2:$L$201,0)),"")))</f>
        <v/>
      </c>
      <c r="C13" s="15">
        <f>IF($A13="","",IF(ISNUMBER(MATCH($A13,表單!$A$2:$A$301,0)),IF(TRIM(INDEX(表單!$D$2:$D$301,MATCH($A13,表單!$A$2:$A$301,0)))="","（分項工程層）",INDEX(表單!$D$2:$D$301,MATCH($A13,表單!$A$2:$A$301,0))),IFERROR(INDEX($N$2:$N$201,MATCH($A13,$L$2:$L$201,0)),"")))</f>
        <v/>
      </c>
      <c r="D13" s="15">
        <f>IF($A13="","",IF(ISNUMBER(MATCH($A13,表單!$A$2:$A$301,0)),"線上表單",IFERROR(INDEX($O$2:$O$201,MATCH($A13,$L$2:$L$201,0)),"")))</f>
        <v/>
      </c>
      <c r="E13" s="15">
        <f>IF($A13="","",IF(ISNUMBER(MATCH($A13,表單!$A$2:$A$301,0)),"本檔","系統"))</f>
        <v/>
      </c>
      <c r="H13">
        <f>IF(AND(表單!$C13="自主檢查表",表單!$A13&lt;&gt;"",COUNTIF($L$2:$L$201,表單!$A13)=0),COUNT($H$1:H12)+1,"")</f>
        <v/>
      </c>
      <c r="J13">
        <f>IF(12&lt;=COUNTA($L$2:$L$201),INDEX($L$2:$L$201,12),IFERROR(INDEX(表單!$A$2:$A$301,MATCH(12-COUNTA($L$2:$L$201),$H$2:$H$301,0)),""))</f>
        <v/>
      </c>
    </row>
    <row r="14">
      <c r="A14" s="15">
        <f>IF($J14="","",$J14)</f>
        <v/>
      </c>
      <c r="B14" s="15">
        <f>IF($A14="","",IF(ISNUMBER(MATCH($A14,表單!$A$2:$A$301,0)),INDEX(表單!$B$2:$B$301,MATCH($A14,表單!$A$2:$A$301,0)),IFERROR(INDEX($M$2:$M$201,MATCH($A14,$L$2:$L$201,0)),"")))</f>
        <v/>
      </c>
      <c r="C14" s="15">
        <f>IF($A14="","",IF(ISNUMBER(MATCH($A14,表單!$A$2:$A$301,0)),IF(TRIM(INDEX(表單!$D$2:$D$301,MATCH($A14,表單!$A$2:$A$301,0)))="","（分項工程層）",INDEX(表單!$D$2:$D$301,MATCH($A14,表單!$A$2:$A$301,0))),IFERROR(INDEX($N$2:$N$201,MATCH($A14,$L$2:$L$201,0)),"")))</f>
        <v/>
      </c>
      <c r="D14" s="15">
        <f>IF($A14="","",IF(ISNUMBER(MATCH($A14,表單!$A$2:$A$301,0)),"線上表單",IFERROR(INDEX($O$2:$O$201,MATCH($A14,$L$2:$L$201,0)),"")))</f>
        <v/>
      </c>
      <c r="E14" s="15">
        <f>IF($A14="","",IF(ISNUMBER(MATCH($A14,表單!$A$2:$A$301,0)),"本檔","系統"))</f>
        <v/>
      </c>
      <c r="H14">
        <f>IF(AND(表單!$C14="自主檢查表",表單!$A14&lt;&gt;"",COUNTIF($L$2:$L$201,表單!$A14)=0),COUNT($H$1:H13)+1,"")</f>
        <v/>
      </c>
      <c r="J14">
        <f>IF(13&lt;=COUNTA($L$2:$L$201),INDEX($L$2:$L$201,13),IFERROR(INDEX(表單!$A$2:$A$301,MATCH(13-COUNTA($L$2:$L$201),$H$2:$H$301,0)),""))</f>
        <v/>
      </c>
    </row>
    <row r="15">
      <c r="A15" s="15">
        <f>IF($J15="","",$J15)</f>
        <v/>
      </c>
      <c r="B15" s="15">
        <f>IF($A15="","",IF(ISNUMBER(MATCH($A15,表單!$A$2:$A$301,0)),INDEX(表單!$B$2:$B$301,MATCH($A15,表單!$A$2:$A$301,0)),IFERROR(INDEX($M$2:$M$201,MATCH($A15,$L$2:$L$201,0)),"")))</f>
        <v/>
      </c>
      <c r="C15" s="15">
        <f>IF($A15="","",IF(ISNUMBER(MATCH($A15,表單!$A$2:$A$301,0)),IF(TRIM(INDEX(表單!$D$2:$D$301,MATCH($A15,表單!$A$2:$A$301,0)))="","（分項工程層）",INDEX(表單!$D$2:$D$301,MATCH($A15,表單!$A$2:$A$301,0))),IFERROR(INDEX($N$2:$N$201,MATCH($A15,$L$2:$L$201,0)),"")))</f>
        <v/>
      </c>
      <c r="D15" s="15">
        <f>IF($A15="","",IF(ISNUMBER(MATCH($A15,表單!$A$2:$A$301,0)),"線上表單",IFERROR(INDEX($O$2:$O$201,MATCH($A15,$L$2:$L$201,0)),"")))</f>
        <v/>
      </c>
      <c r="E15" s="15">
        <f>IF($A15="","",IF(ISNUMBER(MATCH($A15,表單!$A$2:$A$301,0)),"本檔","系統"))</f>
        <v/>
      </c>
      <c r="H15">
        <f>IF(AND(表單!$C15="自主檢查表",表單!$A15&lt;&gt;"",COUNTIF($L$2:$L$201,表單!$A15)=0),COUNT($H$1:H14)+1,"")</f>
        <v/>
      </c>
      <c r="J15">
        <f>IF(14&lt;=COUNTA($L$2:$L$201),INDEX($L$2:$L$201,14),IFERROR(INDEX(表單!$A$2:$A$301,MATCH(14-COUNTA($L$2:$L$201),$H$2:$H$301,0)),""))</f>
        <v/>
      </c>
    </row>
    <row r="16">
      <c r="A16" s="15">
        <f>IF($J16="","",$J16)</f>
        <v/>
      </c>
      <c r="B16" s="15">
        <f>IF($A16="","",IF(ISNUMBER(MATCH($A16,表單!$A$2:$A$301,0)),INDEX(表單!$B$2:$B$301,MATCH($A16,表單!$A$2:$A$301,0)),IFERROR(INDEX($M$2:$M$201,MATCH($A16,$L$2:$L$201,0)),"")))</f>
        <v/>
      </c>
      <c r="C16" s="15">
        <f>IF($A16="","",IF(ISNUMBER(MATCH($A16,表單!$A$2:$A$301,0)),IF(TRIM(INDEX(表單!$D$2:$D$301,MATCH($A16,表單!$A$2:$A$301,0)))="","（分項工程層）",INDEX(表單!$D$2:$D$301,MATCH($A16,表單!$A$2:$A$301,0))),IFERROR(INDEX($N$2:$N$201,MATCH($A16,$L$2:$L$201,0)),"")))</f>
        <v/>
      </c>
      <c r="D16" s="15">
        <f>IF($A16="","",IF(ISNUMBER(MATCH($A16,表單!$A$2:$A$301,0)),"線上表單",IFERROR(INDEX($O$2:$O$201,MATCH($A16,$L$2:$L$201,0)),"")))</f>
        <v/>
      </c>
      <c r="E16" s="15">
        <f>IF($A16="","",IF(ISNUMBER(MATCH($A16,表單!$A$2:$A$301,0)),"本檔","系統"))</f>
        <v/>
      </c>
      <c r="H16">
        <f>IF(AND(表單!$C16="自主檢查表",表單!$A16&lt;&gt;"",COUNTIF($L$2:$L$201,表單!$A16)=0),COUNT($H$1:H15)+1,"")</f>
        <v/>
      </c>
      <c r="J16">
        <f>IF(15&lt;=COUNTA($L$2:$L$201),INDEX($L$2:$L$201,15),IFERROR(INDEX(表單!$A$2:$A$301,MATCH(15-COUNTA($L$2:$L$201),$H$2:$H$301,0)),""))</f>
        <v/>
      </c>
    </row>
    <row r="17">
      <c r="A17" s="15">
        <f>IF($J17="","",$J17)</f>
        <v/>
      </c>
      <c r="B17" s="15">
        <f>IF($A17="","",IF(ISNUMBER(MATCH($A17,表單!$A$2:$A$301,0)),INDEX(表單!$B$2:$B$301,MATCH($A17,表單!$A$2:$A$301,0)),IFERROR(INDEX($M$2:$M$201,MATCH($A17,$L$2:$L$201,0)),"")))</f>
        <v/>
      </c>
      <c r="C17" s="15">
        <f>IF($A17="","",IF(ISNUMBER(MATCH($A17,表單!$A$2:$A$301,0)),IF(TRIM(INDEX(表單!$D$2:$D$301,MATCH($A17,表單!$A$2:$A$301,0)))="","（分項工程層）",INDEX(表單!$D$2:$D$301,MATCH($A17,表單!$A$2:$A$301,0))),IFERROR(INDEX($N$2:$N$201,MATCH($A17,$L$2:$L$201,0)),"")))</f>
        <v/>
      </c>
      <c r="D17" s="15">
        <f>IF($A17="","",IF(ISNUMBER(MATCH($A17,表單!$A$2:$A$301,0)),"線上表單",IFERROR(INDEX($O$2:$O$201,MATCH($A17,$L$2:$L$201,0)),"")))</f>
        <v/>
      </c>
      <c r="E17" s="15">
        <f>IF($A17="","",IF(ISNUMBER(MATCH($A17,表單!$A$2:$A$301,0)),"本檔","系統"))</f>
        <v/>
      </c>
      <c r="H17">
        <f>IF(AND(表單!$C17="自主檢查表",表單!$A17&lt;&gt;"",COUNTIF($L$2:$L$201,表單!$A17)=0),COUNT($H$1:H16)+1,"")</f>
        <v/>
      </c>
      <c r="J17">
        <f>IF(16&lt;=COUNTA($L$2:$L$201),INDEX($L$2:$L$201,16),IFERROR(INDEX(表單!$A$2:$A$301,MATCH(16-COUNTA($L$2:$L$201),$H$2:$H$301,0)),""))</f>
        <v/>
      </c>
    </row>
    <row r="18">
      <c r="A18" s="15">
        <f>IF($J18="","",$J18)</f>
        <v/>
      </c>
      <c r="B18" s="15">
        <f>IF($A18="","",IF(ISNUMBER(MATCH($A18,表單!$A$2:$A$301,0)),INDEX(表單!$B$2:$B$301,MATCH($A18,表單!$A$2:$A$301,0)),IFERROR(INDEX($M$2:$M$201,MATCH($A18,$L$2:$L$201,0)),"")))</f>
        <v/>
      </c>
      <c r="C18" s="15">
        <f>IF($A18="","",IF(ISNUMBER(MATCH($A18,表單!$A$2:$A$301,0)),IF(TRIM(INDEX(表單!$D$2:$D$301,MATCH($A18,表單!$A$2:$A$301,0)))="","（分項工程層）",INDEX(表單!$D$2:$D$301,MATCH($A18,表單!$A$2:$A$301,0))),IFERROR(INDEX($N$2:$N$201,MATCH($A18,$L$2:$L$201,0)),"")))</f>
        <v/>
      </c>
      <c r="D18" s="15">
        <f>IF($A18="","",IF(ISNUMBER(MATCH($A18,表單!$A$2:$A$301,0)),"線上表單",IFERROR(INDEX($O$2:$O$201,MATCH($A18,$L$2:$L$201,0)),"")))</f>
        <v/>
      </c>
      <c r="E18" s="15">
        <f>IF($A18="","",IF(ISNUMBER(MATCH($A18,表單!$A$2:$A$301,0)),"本檔","系統"))</f>
        <v/>
      </c>
      <c r="H18">
        <f>IF(AND(表單!$C18="自主檢查表",表單!$A18&lt;&gt;"",COUNTIF($L$2:$L$201,表單!$A18)=0),COUNT($H$1:H17)+1,"")</f>
        <v/>
      </c>
      <c r="J18">
        <f>IF(17&lt;=COUNTA($L$2:$L$201),INDEX($L$2:$L$201,17),IFERROR(INDEX(表單!$A$2:$A$301,MATCH(17-COUNTA($L$2:$L$201),$H$2:$H$301,0)),""))</f>
        <v/>
      </c>
    </row>
    <row r="19">
      <c r="A19" s="15">
        <f>IF($J19="","",$J19)</f>
        <v/>
      </c>
      <c r="B19" s="15">
        <f>IF($A19="","",IF(ISNUMBER(MATCH($A19,表單!$A$2:$A$301,0)),INDEX(表單!$B$2:$B$301,MATCH($A19,表單!$A$2:$A$301,0)),IFERROR(INDEX($M$2:$M$201,MATCH($A19,$L$2:$L$201,0)),"")))</f>
        <v/>
      </c>
      <c r="C19" s="15">
        <f>IF($A19="","",IF(ISNUMBER(MATCH($A19,表單!$A$2:$A$301,0)),IF(TRIM(INDEX(表單!$D$2:$D$301,MATCH($A19,表單!$A$2:$A$301,0)))="","（分項工程層）",INDEX(表單!$D$2:$D$301,MATCH($A19,表單!$A$2:$A$301,0))),IFERROR(INDEX($N$2:$N$201,MATCH($A19,$L$2:$L$201,0)),"")))</f>
        <v/>
      </c>
      <c r="D19" s="15">
        <f>IF($A19="","",IF(ISNUMBER(MATCH($A19,表單!$A$2:$A$301,0)),"線上表單",IFERROR(INDEX($O$2:$O$201,MATCH($A19,$L$2:$L$201,0)),"")))</f>
        <v/>
      </c>
      <c r="E19" s="15">
        <f>IF($A19="","",IF(ISNUMBER(MATCH($A19,表單!$A$2:$A$301,0)),"本檔","系統"))</f>
        <v/>
      </c>
      <c r="H19">
        <f>IF(AND(表單!$C19="自主檢查表",表單!$A19&lt;&gt;"",COUNTIF($L$2:$L$201,表單!$A19)=0),COUNT($H$1:H18)+1,"")</f>
        <v/>
      </c>
      <c r="J19">
        <f>IF(18&lt;=COUNTA($L$2:$L$201),INDEX($L$2:$L$201,18),IFERROR(INDEX(表單!$A$2:$A$301,MATCH(18-COUNTA($L$2:$L$201),$H$2:$H$301,0)),""))</f>
        <v/>
      </c>
    </row>
    <row r="20">
      <c r="A20" s="15">
        <f>IF($J20="","",$J20)</f>
        <v/>
      </c>
      <c r="B20" s="15">
        <f>IF($A20="","",IF(ISNUMBER(MATCH($A20,表單!$A$2:$A$301,0)),INDEX(表單!$B$2:$B$301,MATCH($A20,表單!$A$2:$A$301,0)),IFERROR(INDEX($M$2:$M$201,MATCH($A20,$L$2:$L$201,0)),"")))</f>
        <v/>
      </c>
      <c r="C20" s="15">
        <f>IF($A20="","",IF(ISNUMBER(MATCH($A20,表單!$A$2:$A$301,0)),IF(TRIM(INDEX(表單!$D$2:$D$301,MATCH($A20,表單!$A$2:$A$301,0)))="","（分項工程層）",INDEX(表單!$D$2:$D$301,MATCH($A20,表單!$A$2:$A$301,0))),IFERROR(INDEX($N$2:$N$201,MATCH($A20,$L$2:$L$201,0)),"")))</f>
        <v/>
      </c>
      <c r="D20" s="15">
        <f>IF($A20="","",IF(ISNUMBER(MATCH($A20,表單!$A$2:$A$301,0)),"線上表單",IFERROR(INDEX($O$2:$O$201,MATCH($A20,$L$2:$L$201,0)),"")))</f>
        <v/>
      </c>
      <c r="E20" s="15">
        <f>IF($A20="","",IF(ISNUMBER(MATCH($A20,表單!$A$2:$A$301,0)),"本檔","系統"))</f>
        <v/>
      </c>
      <c r="H20">
        <f>IF(AND(表單!$C20="自主檢查表",表單!$A20&lt;&gt;"",COUNTIF($L$2:$L$201,表單!$A20)=0),COUNT($H$1:H19)+1,"")</f>
        <v/>
      </c>
      <c r="J20">
        <f>IF(19&lt;=COUNTA($L$2:$L$201),INDEX($L$2:$L$201,19),IFERROR(INDEX(表單!$A$2:$A$301,MATCH(19-COUNTA($L$2:$L$201),$H$2:$H$301,0)),""))</f>
        <v/>
      </c>
    </row>
    <row r="21">
      <c r="A21" s="15">
        <f>IF($J21="","",$J21)</f>
        <v/>
      </c>
      <c r="B21" s="15">
        <f>IF($A21="","",IF(ISNUMBER(MATCH($A21,表單!$A$2:$A$301,0)),INDEX(表單!$B$2:$B$301,MATCH($A21,表單!$A$2:$A$301,0)),IFERROR(INDEX($M$2:$M$201,MATCH($A21,$L$2:$L$201,0)),"")))</f>
        <v/>
      </c>
      <c r="C21" s="15">
        <f>IF($A21="","",IF(ISNUMBER(MATCH($A21,表單!$A$2:$A$301,0)),IF(TRIM(INDEX(表單!$D$2:$D$301,MATCH($A21,表單!$A$2:$A$301,0)))="","（分項工程層）",INDEX(表單!$D$2:$D$301,MATCH($A21,表單!$A$2:$A$301,0))),IFERROR(INDEX($N$2:$N$201,MATCH($A21,$L$2:$L$201,0)),"")))</f>
        <v/>
      </c>
      <c r="D21" s="15">
        <f>IF($A21="","",IF(ISNUMBER(MATCH($A21,表單!$A$2:$A$301,0)),"線上表單",IFERROR(INDEX($O$2:$O$201,MATCH($A21,$L$2:$L$201,0)),"")))</f>
        <v/>
      </c>
      <c r="E21" s="15">
        <f>IF($A21="","",IF(ISNUMBER(MATCH($A21,表單!$A$2:$A$301,0)),"本檔","系統"))</f>
        <v/>
      </c>
      <c r="H21">
        <f>IF(AND(表單!$C21="自主檢查表",表單!$A21&lt;&gt;"",COUNTIF($L$2:$L$201,表單!$A21)=0),COUNT($H$1:H20)+1,"")</f>
        <v/>
      </c>
      <c r="J21">
        <f>IF(20&lt;=COUNTA($L$2:$L$201),INDEX($L$2:$L$201,20),IFERROR(INDEX(表單!$A$2:$A$301,MATCH(20-COUNTA($L$2:$L$201),$H$2:$H$301,0)),""))</f>
        <v/>
      </c>
    </row>
    <row r="22">
      <c r="A22" s="15">
        <f>IF($J22="","",$J22)</f>
        <v/>
      </c>
      <c r="B22" s="15">
        <f>IF($A22="","",IF(ISNUMBER(MATCH($A22,表單!$A$2:$A$301,0)),INDEX(表單!$B$2:$B$301,MATCH($A22,表單!$A$2:$A$301,0)),IFERROR(INDEX($M$2:$M$201,MATCH($A22,$L$2:$L$201,0)),"")))</f>
        <v/>
      </c>
      <c r="C22" s="15">
        <f>IF($A22="","",IF(ISNUMBER(MATCH($A22,表單!$A$2:$A$301,0)),IF(TRIM(INDEX(表單!$D$2:$D$301,MATCH($A22,表單!$A$2:$A$301,0)))="","（分項工程層）",INDEX(表單!$D$2:$D$301,MATCH($A22,表單!$A$2:$A$301,0))),IFERROR(INDEX($N$2:$N$201,MATCH($A22,$L$2:$L$201,0)),"")))</f>
        <v/>
      </c>
      <c r="D22" s="15">
        <f>IF($A22="","",IF(ISNUMBER(MATCH($A22,表單!$A$2:$A$301,0)),"線上表單",IFERROR(INDEX($O$2:$O$201,MATCH($A22,$L$2:$L$201,0)),"")))</f>
        <v/>
      </c>
      <c r="E22" s="15">
        <f>IF($A22="","",IF(ISNUMBER(MATCH($A22,表單!$A$2:$A$301,0)),"本檔","系統"))</f>
        <v/>
      </c>
      <c r="H22">
        <f>IF(AND(表單!$C22="自主檢查表",表單!$A22&lt;&gt;"",COUNTIF($L$2:$L$201,表單!$A22)=0),COUNT($H$1:H21)+1,"")</f>
        <v/>
      </c>
      <c r="J22">
        <f>IF(21&lt;=COUNTA($L$2:$L$201),INDEX($L$2:$L$201,21),IFERROR(INDEX(表單!$A$2:$A$301,MATCH(21-COUNTA($L$2:$L$201),$H$2:$H$301,0)),""))</f>
        <v/>
      </c>
    </row>
    <row r="23">
      <c r="A23" s="15">
        <f>IF($J23="","",$J23)</f>
        <v/>
      </c>
      <c r="B23" s="15">
        <f>IF($A23="","",IF(ISNUMBER(MATCH($A23,表單!$A$2:$A$301,0)),INDEX(表單!$B$2:$B$301,MATCH($A23,表單!$A$2:$A$301,0)),IFERROR(INDEX($M$2:$M$201,MATCH($A23,$L$2:$L$201,0)),"")))</f>
        <v/>
      </c>
      <c r="C23" s="15">
        <f>IF($A23="","",IF(ISNUMBER(MATCH($A23,表單!$A$2:$A$301,0)),IF(TRIM(INDEX(表單!$D$2:$D$301,MATCH($A23,表單!$A$2:$A$301,0)))="","（分項工程層）",INDEX(表單!$D$2:$D$301,MATCH($A23,表單!$A$2:$A$301,0))),IFERROR(INDEX($N$2:$N$201,MATCH($A23,$L$2:$L$201,0)),"")))</f>
        <v/>
      </c>
      <c r="D23" s="15">
        <f>IF($A23="","",IF(ISNUMBER(MATCH($A23,表單!$A$2:$A$301,0)),"線上表單",IFERROR(INDEX($O$2:$O$201,MATCH($A23,$L$2:$L$201,0)),"")))</f>
        <v/>
      </c>
      <c r="E23" s="15">
        <f>IF($A23="","",IF(ISNUMBER(MATCH($A23,表單!$A$2:$A$301,0)),"本檔","系統"))</f>
        <v/>
      </c>
      <c r="H23">
        <f>IF(AND(表單!$C23="自主檢查表",表單!$A23&lt;&gt;"",COUNTIF($L$2:$L$201,表單!$A23)=0),COUNT($H$1:H22)+1,"")</f>
        <v/>
      </c>
      <c r="J23">
        <f>IF(22&lt;=COUNTA($L$2:$L$201),INDEX($L$2:$L$201,22),IFERROR(INDEX(表單!$A$2:$A$301,MATCH(22-COUNTA($L$2:$L$201),$H$2:$H$301,0)),""))</f>
        <v/>
      </c>
    </row>
    <row r="24">
      <c r="A24" s="15">
        <f>IF($J24="","",$J24)</f>
        <v/>
      </c>
      <c r="B24" s="15">
        <f>IF($A24="","",IF(ISNUMBER(MATCH($A24,表單!$A$2:$A$301,0)),INDEX(表單!$B$2:$B$301,MATCH($A24,表單!$A$2:$A$301,0)),IFERROR(INDEX($M$2:$M$201,MATCH($A24,$L$2:$L$201,0)),"")))</f>
        <v/>
      </c>
      <c r="C24" s="15">
        <f>IF($A24="","",IF(ISNUMBER(MATCH($A24,表單!$A$2:$A$301,0)),IF(TRIM(INDEX(表單!$D$2:$D$301,MATCH($A24,表單!$A$2:$A$301,0)))="","（分項工程層）",INDEX(表單!$D$2:$D$301,MATCH($A24,表單!$A$2:$A$301,0))),IFERROR(INDEX($N$2:$N$201,MATCH($A24,$L$2:$L$201,0)),"")))</f>
        <v/>
      </c>
      <c r="D24" s="15">
        <f>IF($A24="","",IF(ISNUMBER(MATCH($A24,表單!$A$2:$A$301,0)),"線上表單",IFERROR(INDEX($O$2:$O$201,MATCH($A24,$L$2:$L$201,0)),"")))</f>
        <v/>
      </c>
      <c r="E24" s="15">
        <f>IF($A24="","",IF(ISNUMBER(MATCH($A24,表單!$A$2:$A$301,0)),"本檔","系統"))</f>
        <v/>
      </c>
      <c r="H24">
        <f>IF(AND(表單!$C24="自主檢查表",表單!$A24&lt;&gt;"",COUNTIF($L$2:$L$201,表單!$A24)=0),COUNT($H$1:H23)+1,"")</f>
        <v/>
      </c>
      <c r="J24">
        <f>IF(23&lt;=COUNTA($L$2:$L$201),INDEX($L$2:$L$201,23),IFERROR(INDEX(表單!$A$2:$A$301,MATCH(23-COUNTA($L$2:$L$201),$H$2:$H$301,0)),""))</f>
        <v/>
      </c>
    </row>
    <row r="25">
      <c r="A25" s="15">
        <f>IF($J25="","",$J25)</f>
        <v/>
      </c>
      <c r="B25" s="15">
        <f>IF($A25="","",IF(ISNUMBER(MATCH($A25,表單!$A$2:$A$301,0)),INDEX(表單!$B$2:$B$301,MATCH($A25,表單!$A$2:$A$301,0)),IFERROR(INDEX($M$2:$M$201,MATCH($A25,$L$2:$L$201,0)),"")))</f>
        <v/>
      </c>
      <c r="C25" s="15">
        <f>IF($A25="","",IF(ISNUMBER(MATCH($A25,表單!$A$2:$A$301,0)),IF(TRIM(INDEX(表單!$D$2:$D$301,MATCH($A25,表單!$A$2:$A$301,0)))="","（分項工程層）",INDEX(表單!$D$2:$D$301,MATCH($A25,表單!$A$2:$A$301,0))),IFERROR(INDEX($N$2:$N$201,MATCH($A25,$L$2:$L$201,0)),"")))</f>
        <v/>
      </c>
      <c r="D25" s="15">
        <f>IF($A25="","",IF(ISNUMBER(MATCH($A25,表單!$A$2:$A$301,0)),"線上表單",IFERROR(INDEX($O$2:$O$201,MATCH($A25,$L$2:$L$201,0)),"")))</f>
        <v/>
      </c>
      <c r="E25" s="15">
        <f>IF($A25="","",IF(ISNUMBER(MATCH($A25,表單!$A$2:$A$301,0)),"本檔","系統"))</f>
        <v/>
      </c>
      <c r="H25">
        <f>IF(AND(表單!$C25="自主檢查表",表單!$A25&lt;&gt;"",COUNTIF($L$2:$L$201,表單!$A25)=0),COUNT($H$1:H24)+1,"")</f>
        <v/>
      </c>
      <c r="J25">
        <f>IF(24&lt;=COUNTA($L$2:$L$201),INDEX($L$2:$L$201,24),IFERROR(INDEX(表單!$A$2:$A$301,MATCH(24-COUNTA($L$2:$L$201),$H$2:$H$301,0)),""))</f>
        <v/>
      </c>
    </row>
    <row r="26">
      <c r="A26" s="15">
        <f>IF($J26="","",$J26)</f>
        <v/>
      </c>
      <c r="B26" s="15">
        <f>IF($A26="","",IF(ISNUMBER(MATCH($A26,表單!$A$2:$A$301,0)),INDEX(表單!$B$2:$B$301,MATCH($A26,表單!$A$2:$A$301,0)),IFERROR(INDEX($M$2:$M$201,MATCH($A26,$L$2:$L$201,0)),"")))</f>
        <v/>
      </c>
      <c r="C26" s="15">
        <f>IF($A26="","",IF(ISNUMBER(MATCH($A26,表單!$A$2:$A$301,0)),IF(TRIM(INDEX(表單!$D$2:$D$301,MATCH($A26,表單!$A$2:$A$301,0)))="","（分項工程層）",INDEX(表單!$D$2:$D$301,MATCH($A26,表單!$A$2:$A$301,0))),IFERROR(INDEX($N$2:$N$201,MATCH($A26,$L$2:$L$201,0)),"")))</f>
        <v/>
      </c>
      <c r="D26" s="15">
        <f>IF($A26="","",IF(ISNUMBER(MATCH($A26,表單!$A$2:$A$301,0)),"線上表單",IFERROR(INDEX($O$2:$O$201,MATCH($A26,$L$2:$L$201,0)),"")))</f>
        <v/>
      </c>
      <c r="E26" s="15">
        <f>IF($A26="","",IF(ISNUMBER(MATCH($A26,表單!$A$2:$A$301,0)),"本檔","系統"))</f>
        <v/>
      </c>
      <c r="H26">
        <f>IF(AND(表單!$C26="自主檢查表",表單!$A26&lt;&gt;"",COUNTIF($L$2:$L$201,表單!$A26)=0),COUNT($H$1:H25)+1,"")</f>
        <v/>
      </c>
      <c r="J26">
        <f>IF(25&lt;=COUNTA($L$2:$L$201),INDEX($L$2:$L$201,25),IFERROR(INDEX(表單!$A$2:$A$301,MATCH(25-COUNTA($L$2:$L$201),$H$2:$H$301,0)),""))</f>
        <v/>
      </c>
    </row>
    <row r="27">
      <c r="A27" s="15">
        <f>IF($J27="","",$J27)</f>
        <v/>
      </c>
      <c r="B27" s="15">
        <f>IF($A27="","",IF(ISNUMBER(MATCH($A27,表單!$A$2:$A$301,0)),INDEX(表單!$B$2:$B$301,MATCH($A27,表單!$A$2:$A$301,0)),IFERROR(INDEX($M$2:$M$201,MATCH($A27,$L$2:$L$201,0)),"")))</f>
        <v/>
      </c>
      <c r="C27" s="15">
        <f>IF($A27="","",IF(ISNUMBER(MATCH($A27,表單!$A$2:$A$301,0)),IF(TRIM(INDEX(表單!$D$2:$D$301,MATCH($A27,表單!$A$2:$A$301,0)))="","（分項工程層）",INDEX(表單!$D$2:$D$301,MATCH($A27,表單!$A$2:$A$301,0))),IFERROR(INDEX($N$2:$N$201,MATCH($A27,$L$2:$L$201,0)),"")))</f>
        <v/>
      </c>
      <c r="D27" s="15">
        <f>IF($A27="","",IF(ISNUMBER(MATCH($A27,表單!$A$2:$A$301,0)),"線上表單",IFERROR(INDEX($O$2:$O$201,MATCH($A27,$L$2:$L$201,0)),"")))</f>
        <v/>
      </c>
      <c r="E27" s="15">
        <f>IF($A27="","",IF(ISNUMBER(MATCH($A27,表單!$A$2:$A$301,0)),"本檔","系統"))</f>
        <v/>
      </c>
      <c r="H27">
        <f>IF(AND(表單!$C27="自主檢查表",表單!$A27&lt;&gt;"",COUNTIF($L$2:$L$201,表單!$A27)=0),COUNT($H$1:H26)+1,"")</f>
        <v/>
      </c>
      <c r="J27">
        <f>IF(26&lt;=COUNTA($L$2:$L$201),INDEX($L$2:$L$201,26),IFERROR(INDEX(表單!$A$2:$A$301,MATCH(26-COUNTA($L$2:$L$201),$H$2:$H$301,0)),""))</f>
        <v/>
      </c>
    </row>
    <row r="28">
      <c r="A28" s="15">
        <f>IF($J28="","",$J28)</f>
        <v/>
      </c>
      <c r="B28" s="15">
        <f>IF($A28="","",IF(ISNUMBER(MATCH($A28,表單!$A$2:$A$301,0)),INDEX(表單!$B$2:$B$301,MATCH($A28,表單!$A$2:$A$301,0)),IFERROR(INDEX($M$2:$M$201,MATCH($A28,$L$2:$L$201,0)),"")))</f>
        <v/>
      </c>
      <c r="C28" s="15">
        <f>IF($A28="","",IF(ISNUMBER(MATCH($A28,表單!$A$2:$A$301,0)),IF(TRIM(INDEX(表單!$D$2:$D$301,MATCH($A28,表單!$A$2:$A$301,0)))="","（分項工程層）",INDEX(表單!$D$2:$D$301,MATCH($A28,表單!$A$2:$A$301,0))),IFERROR(INDEX($N$2:$N$201,MATCH($A28,$L$2:$L$201,0)),"")))</f>
        <v/>
      </c>
      <c r="D28" s="15">
        <f>IF($A28="","",IF(ISNUMBER(MATCH($A28,表單!$A$2:$A$301,0)),"線上表單",IFERROR(INDEX($O$2:$O$201,MATCH($A28,$L$2:$L$201,0)),"")))</f>
        <v/>
      </c>
      <c r="E28" s="15">
        <f>IF($A28="","",IF(ISNUMBER(MATCH($A28,表單!$A$2:$A$301,0)),"本檔","系統"))</f>
        <v/>
      </c>
      <c r="H28">
        <f>IF(AND(表單!$C28="自主檢查表",表單!$A28&lt;&gt;"",COUNTIF($L$2:$L$201,表單!$A28)=0),COUNT($H$1:H27)+1,"")</f>
        <v/>
      </c>
      <c r="J28">
        <f>IF(27&lt;=COUNTA($L$2:$L$201),INDEX($L$2:$L$201,27),IFERROR(INDEX(表單!$A$2:$A$301,MATCH(27-COUNTA($L$2:$L$201),$H$2:$H$301,0)),""))</f>
        <v/>
      </c>
    </row>
    <row r="29">
      <c r="A29" s="15">
        <f>IF($J29="","",$J29)</f>
        <v/>
      </c>
      <c r="B29" s="15">
        <f>IF($A29="","",IF(ISNUMBER(MATCH($A29,表單!$A$2:$A$301,0)),INDEX(表單!$B$2:$B$301,MATCH($A29,表單!$A$2:$A$301,0)),IFERROR(INDEX($M$2:$M$201,MATCH($A29,$L$2:$L$201,0)),"")))</f>
        <v/>
      </c>
      <c r="C29" s="15">
        <f>IF($A29="","",IF(ISNUMBER(MATCH($A29,表單!$A$2:$A$301,0)),IF(TRIM(INDEX(表單!$D$2:$D$301,MATCH($A29,表單!$A$2:$A$301,0)))="","（分項工程層）",INDEX(表單!$D$2:$D$301,MATCH($A29,表單!$A$2:$A$301,0))),IFERROR(INDEX($N$2:$N$201,MATCH($A29,$L$2:$L$201,0)),"")))</f>
        <v/>
      </c>
      <c r="D29" s="15">
        <f>IF($A29="","",IF(ISNUMBER(MATCH($A29,表單!$A$2:$A$301,0)),"線上表單",IFERROR(INDEX($O$2:$O$201,MATCH($A29,$L$2:$L$201,0)),"")))</f>
        <v/>
      </c>
      <c r="E29" s="15">
        <f>IF($A29="","",IF(ISNUMBER(MATCH($A29,表單!$A$2:$A$301,0)),"本檔","系統"))</f>
        <v/>
      </c>
      <c r="H29">
        <f>IF(AND(表單!$C29="自主檢查表",表單!$A29&lt;&gt;"",COUNTIF($L$2:$L$201,表單!$A29)=0),COUNT($H$1:H28)+1,"")</f>
        <v/>
      </c>
      <c r="J29">
        <f>IF(28&lt;=COUNTA($L$2:$L$201),INDEX($L$2:$L$201,28),IFERROR(INDEX(表單!$A$2:$A$301,MATCH(28-COUNTA($L$2:$L$201),$H$2:$H$301,0)),""))</f>
        <v/>
      </c>
    </row>
    <row r="30">
      <c r="A30" s="15">
        <f>IF($J30="","",$J30)</f>
        <v/>
      </c>
      <c r="B30" s="15">
        <f>IF($A30="","",IF(ISNUMBER(MATCH($A30,表單!$A$2:$A$301,0)),INDEX(表單!$B$2:$B$301,MATCH($A30,表單!$A$2:$A$301,0)),IFERROR(INDEX($M$2:$M$201,MATCH($A30,$L$2:$L$201,0)),"")))</f>
        <v/>
      </c>
      <c r="C30" s="15">
        <f>IF($A30="","",IF(ISNUMBER(MATCH($A30,表單!$A$2:$A$301,0)),IF(TRIM(INDEX(表單!$D$2:$D$301,MATCH($A30,表單!$A$2:$A$301,0)))="","（分項工程層）",INDEX(表單!$D$2:$D$301,MATCH($A30,表單!$A$2:$A$301,0))),IFERROR(INDEX($N$2:$N$201,MATCH($A30,$L$2:$L$201,0)),"")))</f>
        <v/>
      </c>
      <c r="D30" s="15">
        <f>IF($A30="","",IF(ISNUMBER(MATCH($A30,表單!$A$2:$A$301,0)),"線上表單",IFERROR(INDEX($O$2:$O$201,MATCH($A30,$L$2:$L$201,0)),"")))</f>
        <v/>
      </c>
      <c r="E30" s="15">
        <f>IF($A30="","",IF(ISNUMBER(MATCH($A30,表單!$A$2:$A$301,0)),"本檔","系統"))</f>
        <v/>
      </c>
      <c r="H30">
        <f>IF(AND(表單!$C30="自主檢查表",表單!$A30&lt;&gt;"",COUNTIF($L$2:$L$201,表單!$A30)=0),COUNT($H$1:H29)+1,"")</f>
        <v/>
      </c>
      <c r="J30">
        <f>IF(29&lt;=COUNTA($L$2:$L$201),INDEX($L$2:$L$201,29),IFERROR(INDEX(表單!$A$2:$A$301,MATCH(29-COUNTA($L$2:$L$201),$H$2:$H$301,0)),""))</f>
        <v/>
      </c>
    </row>
    <row r="31">
      <c r="A31" s="15">
        <f>IF($J31="","",$J31)</f>
        <v/>
      </c>
      <c r="B31" s="15">
        <f>IF($A31="","",IF(ISNUMBER(MATCH($A31,表單!$A$2:$A$301,0)),INDEX(表單!$B$2:$B$301,MATCH($A31,表單!$A$2:$A$301,0)),IFERROR(INDEX($M$2:$M$201,MATCH($A31,$L$2:$L$201,0)),"")))</f>
        <v/>
      </c>
      <c r="C31" s="15">
        <f>IF($A31="","",IF(ISNUMBER(MATCH($A31,表單!$A$2:$A$301,0)),IF(TRIM(INDEX(表單!$D$2:$D$301,MATCH($A31,表單!$A$2:$A$301,0)))="","（分項工程層）",INDEX(表單!$D$2:$D$301,MATCH($A31,表單!$A$2:$A$301,0))),IFERROR(INDEX($N$2:$N$201,MATCH($A31,$L$2:$L$201,0)),"")))</f>
        <v/>
      </c>
      <c r="D31" s="15">
        <f>IF($A31="","",IF(ISNUMBER(MATCH($A31,表單!$A$2:$A$301,0)),"線上表單",IFERROR(INDEX($O$2:$O$201,MATCH($A31,$L$2:$L$201,0)),"")))</f>
        <v/>
      </c>
      <c r="E31" s="15">
        <f>IF($A31="","",IF(ISNUMBER(MATCH($A31,表單!$A$2:$A$301,0)),"本檔","系統"))</f>
        <v/>
      </c>
      <c r="H31">
        <f>IF(AND(表單!$C31="自主檢查表",表單!$A31&lt;&gt;"",COUNTIF($L$2:$L$201,表單!$A31)=0),COUNT($H$1:H30)+1,"")</f>
        <v/>
      </c>
      <c r="J31">
        <f>IF(30&lt;=COUNTA($L$2:$L$201),INDEX($L$2:$L$201,30),IFERROR(INDEX(表單!$A$2:$A$301,MATCH(30-COUNTA($L$2:$L$201),$H$2:$H$301,0)),""))</f>
        <v/>
      </c>
    </row>
    <row r="32">
      <c r="A32" s="15">
        <f>IF($J32="","",$J32)</f>
        <v/>
      </c>
      <c r="B32" s="15">
        <f>IF($A32="","",IF(ISNUMBER(MATCH($A32,表單!$A$2:$A$301,0)),INDEX(表單!$B$2:$B$301,MATCH($A32,表單!$A$2:$A$301,0)),IFERROR(INDEX($M$2:$M$201,MATCH($A32,$L$2:$L$201,0)),"")))</f>
        <v/>
      </c>
      <c r="C32" s="15">
        <f>IF($A32="","",IF(ISNUMBER(MATCH($A32,表單!$A$2:$A$301,0)),IF(TRIM(INDEX(表單!$D$2:$D$301,MATCH($A32,表單!$A$2:$A$301,0)))="","（分項工程層）",INDEX(表單!$D$2:$D$301,MATCH($A32,表單!$A$2:$A$301,0))),IFERROR(INDEX($N$2:$N$201,MATCH($A32,$L$2:$L$201,0)),"")))</f>
        <v/>
      </c>
      <c r="D32" s="15">
        <f>IF($A32="","",IF(ISNUMBER(MATCH($A32,表單!$A$2:$A$301,0)),"線上表單",IFERROR(INDEX($O$2:$O$201,MATCH($A32,$L$2:$L$201,0)),"")))</f>
        <v/>
      </c>
      <c r="E32" s="15">
        <f>IF($A32="","",IF(ISNUMBER(MATCH($A32,表單!$A$2:$A$301,0)),"本檔","系統"))</f>
        <v/>
      </c>
      <c r="H32">
        <f>IF(AND(表單!$C32="自主檢查表",表單!$A32&lt;&gt;"",COUNTIF($L$2:$L$201,表單!$A32)=0),COUNT($H$1:H31)+1,"")</f>
        <v/>
      </c>
      <c r="J32">
        <f>IF(31&lt;=COUNTA($L$2:$L$201),INDEX($L$2:$L$201,31),IFERROR(INDEX(表單!$A$2:$A$301,MATCH(31-COUNTA($L$2:$L$201),$H$2:$H$301,0)),""))</f>
        <v/>
      </c>
    </row>
    <row r="33">
      <c r="A33" s="15">
        <f>IF($J33="","",$J33)</f>
        <v/>
      </c>
      <c r="B33" s="15">
        <f>IF($A33="","",IF(ISNUMBER(MATCH($A33,表單!$A$2:$A$301,0)),INDEX(表單!$B$2:$B$301,MATCH($A33,表單!$A$2:$A$301,0)),IFERROR(INDEX($M$2:$M$201,MATCH($A33,$L$2:$L$201,0)),"")))</f>
        <v/>
      </c>
      <c r="C33" s="15">
        <f>IF($A33="","",IF(ISNUMBER(MATCH($A33,表單!$A$2:$A$301,0)),IF(TRIM(INDEX(表單!$D$2:$D$301,MATCH($A33,表單!$A$2:$A$301,0)))="","（分項工程層）",INDEX(表單!$D$2:$D$301,MATCH($A33,表單!$A$2:$A$301,0))),IFERROR(INDEX($N$2:$N$201,MATCH($A33,$L$2:$L$201,0)),"")))</f>
        <v/>
      </c>
      <c r="D33" s="15">
        <f>IF($A33="","",IF(ISNUMBER(MATCH($A33,表單!$A$2:$A$301,0)),"線上表單",IFERROR(INDEX($O$2:$O$201,MATCH($A33,$L$2:$L$201,0)),"")))</f>
        <v/>
      </c>
      <c r="E33" s="15">
        <f>IF($A33="","",IF(ISNUMBER(MATCH($A33,表單!$A$2:$A$301,0)),"本檔","系統"))</f>
        <v/>
      </c>
      <c r="H33">
        <f>IF(AND(表單!$C33="自主檢查表",表單!$A33&lt;&gt;"",COUNTIF($L$2:$L$201,表單!$A33)=0),COUNT($H$1:H32)+1,"")</f>
        <v/>
      </c>
      <c r="J33">
        <f>IF(32&lt;=COUNTA($L$2:$L$201),INDEX($L$2:$L$201,32),IFERROR(INDEX(表單!$A$2:$A$301,MATCH(32-COUNTA($L$2:$L$201),$H$2:$H$301,0)),""))</f>
        <v/>
      </c>
    </row>
    <row r="34">
      <c r="A34" s="15">
        <f>IF($J34="","",$J34)</f>
        <v/>
      </c>
      <c r="B34" s="15">
        <f>IF($A34="","",IF(ISNUMBER(MATCH($A34,表單!$A$2:$A$301,0)),INDEX(表單!$B$2:$B$301,MATCH($A34,表單!$A$2:$A$301,0)),IFERROR(INDEX($M$2:$M$201,MATCH($A34,$L$2:$L$201,0)),"")))</f>
        <v/>
      </c>
      <c r="C34" s="15">
        <f>IF($A34="","",IF(ISNUMBER(MATCH($A34,表單!$A$2:$A$301,0)),IF(TRIM(INDEX(表單!$D$2:$D$301,MATCH($A34,表單!$A$2:$A$301,0)))="","（分項工程層）",INDEX(表單!$D$2:$D$301,MATCH($A34,表單!$A$2:$A$301,0))),IFERROR(INDEX($N$2:$N$201,MATCH($A34,$L$2:$L$201,0)),"")))</f>
        <v/>
      </c>
      <c r="D34" s="15">
        <f>IF($A34="","",IF(ISNUMBER(MATCH($A34,表單!$A$2:$A$301,0)),"線上表單",IFERROR(INDEX($O$2:$O$201,MATCH($A34,$L$2:$L$201,0)),"")))</f>
        <v/>
      </c>
      <c r="E34" s="15">
        <f>IF($A34="","",IF(ISNUMBER(MATCH($A34,表單!$A$2:$A$301,0)),"本檔","系統"))</f>
        <v/>
      </c>
      <c r="H34">
        <f>IF(AND(表單!$C34="自主檢查表",表單!$A34&lt;&gt;"",COUNTIF($L$2:$L$201,表單!$A34)=0),COUNT($H$1:H33)+1,"")</f>
        <v/>
      </c>
      <c r="J34">
        <f>IF(33&lt;=COUNTA($L$2:$L$201),INDEX($L$2:$L$201,33),IFERROR(INDEX(表單!$A$2:$A$301,MATCH(33-COUNTA($L$2:$L$201),$H$2:$H$301,0)),""))</f>
        <v/>
      </c>
    </row>
    <row r="35">
      <c r="A35" s="15">
        <f>IF($J35="","",$J35)</f>
        <v/>
      </c>
      <c r="B35" s="15">
        <f>IF($A35="","",IF(ISNUMBER(MATCH($A35,表單!$A$2:$A$301,0)),INDEX(表單!$B$2:$B$301,MATCH($A35,表單!$A$2:$A$301,0)),IFERROR(INDEX($M$2:$M$201,MATCH($A35,$L$2:$L$201,0)),"")))</f>
        <v/>
      </c>
      <c r="C35" s="15">
        <f>IF($A35="","",IF(ISNUMBER(MATCH($A35,表單!$A$2:$A$301,0)),IF(TRIM(INDEX(表單!$D$2:$D$301,MATCH($A35,表單!$A$2:$A$301,0)))="","（分項工程層）",INDEX(表單!$D$2:$D$301,MATCH($A35,表單!$A$2:$A$301,0))),IFERROR(INDEX($N$2:$N$201,MATCH($A35,$L$2:$L$201,0)),"")))</f>
        <v/>
      </c>
      <c r="D35" s="15">
        <f>IF($A35="","",IF(ISNUMBER(MATCH($A35,表單!$A$2:$A$301,0)),"線上表單",IFERROR(INDEX($O$2:$O$201,MATCH($A35,$L$2:$L$201,0)),"")))</f>
        <v/>
      </c>
      <c r="E35" s="15">
        <f>IF($A35="","",IF(ISNUMBER(MATCH($A35,表單!$A$2:$A$301,0)),"本檔","系統"))</f>
        <v/>
      </c>
      <c r="H35">
        <f>IF(AND(表單!$C35="自主檢查表",表單!$A35&lt;&gt;"",COUNTIF($L$2:$L$201,表單!$A35)=0),COUNT($H$1:H34)+1,"")</f>
        <v/>
      </c>
      <c r="J35">
        <f>IF(34&lt;=COUNTA($L$2:$L$201),INDEX($L$2:$L$201,34),IFERROR(INDEX(表單!$A$2:$A$301,MATCH(34-COUNTA($L$2:$L$201),$H$2:$H$301,0)),""))</f>
        <v/>
      </c>
    </row>
    <row r="36">
      <c r="A36" s="15">
        <f>IF($J36="","",$J36)</f>
        <v/>
      </c>
      <c r="B36" s="15">
        <f>IF($A36="","",IF(ISNUMBER(MATCH($A36,表單!$A$2:$A$301,0)),INDEX(表單!$B$2:$B$301,MATCH($A36,表單!$A$2:$A$301,0)),IFERROR(INDEX($M$2:$M$201,MATCH($A36,$L$2:$L$201,0)),"")))</f>
        <v/>
      </c>
      <c r="C36" s="15">
        <f>IF($A36="","",IF(ISNUMBER(MATCH($A36,表單!$A$2:$A$301,0)),IF(TRIM(INDEX(表單!$D$2:$D$301,MATCH($A36,表單!$A$2:$A$301,0)))="","（分項工程層）",INDEX(表單!$D$2:$D$301,MATCH($A36,表單!$A$2:$A$301,0))),IFERROR(INDEX($N$2:$N$201,MATCH($A36,$L$2:$L$201,0)),"")))</f>
        <v/>
      </c>
      <c r="D36" s="15">
        <f>IF($A36="","",IF(ISNUMBER(MATCH($A36,表單!$A$2:$A$301,0)),"線上表單",IFERROR(INDEX($O$2:$O$201,MATCH($A36,$L$2:$L$201,0)),"")))</f>
        <v/>
      </c>
      <c r="E36" s="15">
        <f>IF($A36="","",IF(ISNUMBER(MATCH($A36,表單!$A$2:$A$301,0)),"本檔","系統"))</f>
        <v/>
      </c>
      <c r="H36">
        <f>IF(AND(表單!$C36="自主檢查表",表單!$A36&lt;&gt;"",COUNTIF($L$2:$L$201,表單!$A36)=0),COUNT($H$1:H35)+1,"")</f>
        <v/>
      </c>
      <c r="J36">
        <f>IF(35&lt;=COUNTA($L$2:$L$201),INDEX($L$2:$L$201,35),IFERROR(INDEX(表單!$A$2:$A$301,MATCH(35-COUNTA($L$2:$L$201),$H$2:$H$301,0)),""))</f>
        <v/>
      </c>
    </row>
    <row r="37">
      <c r="A37" s="15">
        <f>IF($J37="","",$J37)</f>
        <v/>
      </c>
      <c r="B37" s="15">
        <f>IF($A37="","",IF(ISNUMBER(MATCH($A37,表單!$A$2:$A$301,0)),INDEX(表單!$B$2:$B$301,MATCH($A37,表單!$A$2:$A$301,0)),IFERROR(INDEX($M$2:$M$201,MATCH($A37,$L$2:$L$201,0)),"")))</f>
        <v/>
      </c>
      <c r="C37" s="15">
        <f>IF($A37="","",IF(ISNUMBER(MATCH($A37,表單!$A$2:$A$301,0)),IF(TRIM(INDEX(表單!$D$2:$D$301,MATCH($A37,表單!$A$2:$A$301,0)))="","（分項工程層）",INDEX(表單!$D$2:$D$301,MATCH($A37,表單!$A$2:$A$301,0))),IFERROR(INDEX($N$2:$N$201,MATCH($A37,$L$2:$L$201,0)),"")))</f>
        <v/>
      </c>
      <c r="D37" s="15">
        <f>IF($A37="","",IF(ISNUMBER(MATCH($A37,表單!$A$2:$A$301,0)),"線上表單",IFERROR(INDEX($O$2:$O$201,MATCH($A37,$L$2:$L$201,0)),"")))</f>
        <v/>
      </c>
      <c r="E37" s="15">
        <f>IF($A37="","",IF(ISNUMBER(MATCH($A37,表單!$A$2:$A$301,0)),"本檔","系統"))</f>
        <v/>
      </c>
      <c r="H37">
        <f>IF(AND(表單!$C37="自主檢查表",表單!$A37&lt;&gt;"",COUNTIF($L$2:$L$201,表單!$A37)=0),COUNT($H$1:H36)+1,"")</f>
        <v/>
      </c>
      <c r="J37">
        <f>IF(36&lt;=COUNTA($L$2:$L$201),INDEX($L$2:$L$201,36),IFERROR(INDEX(表單!$A$2:$A$301,MATCH(36-COUNTA($L$2:$L$201),$H$2:$H$301,0)),""))</f>
        <v/>
      </c>
    </row>
    <row r="38">
      <c r="A38" s="15">
        <f>IF($J38="","",$J38)</f>
        <v/>
      </c>
      <c r="B38" s="15">
        <f>IF($A38="","",IF(ISNUMBER(MATCH($A38,表單!$A$2:$A$301,0)),INDEX(表單!$B$2:$B$301,MATCH($A38,表單!$A$2:$A$301,0)),IFERROR(INDEX($M$2:$M$201,MATCH($A38,$L$2:$L$201,0)),"")))</f>
        <v/>
      </c>
      <c r="C38" s="15">
        <f>IF($A38="","",IF(ISNUMBER(MATCH($A38,表單!$A$2:$A$301,0)),IF(TRIM(INDEX(表單!$D$2:$D$301,MATCH($A38,表單!$A$2:$A$301,0)))="","（分項工程層）",INDEX(表單!$D$2:$D$301,MATCH($A38,表單!$A$2:$A$301,0))),IFERROR(INDEX($N$2:$N$201,MATCH($A38,$L$2:$L$201,0)),"")))</f>
        <v/>
      </c>
      <c r="D38" s="15">
        <f>IF($A38="","",IF(ISNUMBER(MATCH($A38,表單!$A$2:$A$301,0)),"線上表單",IFERROR(INDEX($O$2:$O$201,MATCH($A38,$L$2:$L$201,0)),"")))</f>
        <v/>
      </c>
      <c r="E38" s="15">
        <f>IF($A38="","",IF(ISNUMBER(MATCH($A38,表單!$A$2:$A$301,0)),"本檔","系統"))</f>
        <v/>
      </c>
      <c r="H38">
        <f>IF(AND(表單!$C38="自主檢查表",表單!$A38&lt;&gt;"",COUNTIF($L$2:$L$201,表單!$A38)=0),COUNT($H$1:H37)+1,"")</f>
        <v/>
      </c>
      <c r="J38">
        <f>IF(37&lt;=COUNTA($L$2:$L$201),INDEX($L$2:$L$201,37),IFERROR(INDEX(表單!$A$2:$A$301,MATCH(37-COUNTA($L$2:$L$201),$H$2:$H$301,0)),""))</f>
        <v/>
      </c>
    </row>
    <row r="39">
      <c r="A39" s="15">
        <f>IF($J39="","",$J39)</f>
        <v/>
      </c>
      <c r="B39" s="15">
        <f>IF($A39="","",IF(ISNUMBER(MATCH($A39,表單!$A$2:$A$301,0)),INDEX(表單!$B$2:$B$301,MATCH($A39,表單!$A$2:$A$301,0)),IFERROR(INDEX($M$2:$M$201,MATCH($A39,$L$2:$L$201,0)),"")))</f>
        <v/>
      </c>
      <c r="C39" s="15">
        <f>IF($A39="","",IF(ISNUMBER(MATCH($A39,表單!$A$2:$A$301,0)),IF(TRIM(INDEX(表單!$D$2:$D$301,MATCH($A39,表單!$A$2:$A$301,0)))="","（分項工程層）",INDEX(表單!$D$2:$D$301,MATCH($A39,表單!$A$2:$A$301,0))),IFERROR(INDEX($N$2:$N$201,MATCH($A39,$L$2:$L$201,0)),"")))</f>
        <v/>
      </c>
      <c r="D39" s="15">
        <f>IF($A39="","",IF(ISNUMBER(MATCH($A39,表單!$A$2:$A$301,0)),"線上表單",IFERROR(INDEX($O$2:$O$201,MATCH($A39,$L$2:$L$201,0)),"")))</f>
        <v/>
      </c>
      <c r="E39" s="15">
        <f>IF($A39="","",IF(ISNUMBER(MATCH($A39,表單!$A$2:$A$301,0)),"本檔","系統"))</f>
        <v/>
      </c>
      <c r="H39">
        <f>IF(AND(表單!$C39="自主檢查表",表單!$A39&lt;&gt;"",COUNTIF($L$2:$L$201,表單!$A39)=0),COUNT($H$1:H38)+1,"")</f>
        <v/>
      </c>
      <c r="J39">
        <f>IF(38&lt;=COUNTA($L$2:$L$201),INDEX($L$2:$L$201,38),IFERROR(INDEX(表單!$A$2:$A$301,MATCH(38-COUNTA($L$2:$L$201),$H$2:$H$301,0)),""))</f>
        <v/>
      </c>
    </row>
    <row r="40">
      <c r="A40" s="15">
        <f>IF($J40="","",$J40)</f>
        <v/>
      </c>
      <c r="B40" s="15">
        <f>IF($A40="","",IF(ISNUMBER(MATCH($A40,表單!$A$2:$A$301,0)),INDEX(表單!$B$2:$B$301,MATCH($A40,表單!$A$2:$A$301,0)),IFERROR(INDEX($M$2:$M$201,MATCH($A40,$L$2:$L$201,0)),"")))</f>
        <v/>
      </c>
      <c r="C40" s="15">
        <f>IF($A40="","",IF(ISNUMBER(MATCH($A40,表單!$A$2:$A$301,0)),IF(TRIM(INDEX(表單!$D$2:$D$301,MATCH($A40,表單!$A$2:$A$301,0)))="","（分項工程層）",INDEX(表單!$D$2:$D$301,MATCH($A40,表單!$A$2:$A$301,0))),IFERROR(INDEX($N$2:$N$201,MATCH($A40,$L$2:$L$201,0)),"")))</f>
        <v/>
      </c>
      <c r="D40" s="15">
        <f>IF($A40="","",IF(ISNUMBER(MATCH($A40,表單!$A$2:$A$301,0)),"線上表單",IFERROR(INDEX($O$2:$O$201,MATCH($A40,$L$2:$L$201,0)),"")))</f>
        <v/>
      </c>
      <c r="E40" s="15">
        <f>IF($A40="","",IF(ISNUMBER(MATCH($A40,表單!$A$2:$A$301,0)),"本檔","系統"))</f>
        <v/>
      </c>
      <c r="H40">
        <f>IF(AND(表單!$C40="自主檢查表",表單!$A40&lt;&gt;"",COUNTIF($L$2:$L$201,表單!$A40)=0),COUNT($H$1:H39)+1,"")</f>
        <v/>
      </c>
      <c r="J40">
        <f>IF(39&lt;=COUNTA($L$2:$L$201),INDEX($L$2:$L$201,39),IFERROR(INDEX(表單!$A$2:$A$301,MATCH(39-COUNTA($L$2:$L$201),$H$2:$H$301,0)),""))</f>
        <v/>
      </c>
    </row>
    <row r="41">
      <c r="A41" s="15">
        <f>IF($J41="","",$J41)</f>
        <v/>
      </c>
      <c r="B41" s="15">
        <f>IF($A41="","",IF(ISNUMBER(MATCH($A41,表單!$A$2:$A$301,0)),INDEX(表單!$B$2:$B$301,MATCH($A41,表單!$A$2:$A$301,0)),IFERROR(INDEX($M$2:$M$201,MATCH($A41,$L$2:$L$201,0)),"")))</f>
        <v/>
      </c>
      <c r="C41" s="15">
        <f>IF($A41="","",IF(ISNUMBER(MATCH($A41,表單!$A$2:$A$301,0)),IF(TRIM(INDEX(表單!$D$2:$D$301,MATCH($A41,表單!$A$2:$A$301,0)))="","（分項工程層）",INDEX(表單!$D$2:$D$301,MATCH($A41,表單!$A$2:$A$301,0))),IFERROR(INDEX($N$2:$N$201,MATCH($A41,$L$2:$L$201,0)),"")))</f>
        <v/>
      </c>
      <c r="D41" s="15">
        <f>IF($A41="","",IF(ISNUMBER(MATCH($A41,表單!$A$2:$A$301,0)),"線上表單",IFERROR(INDEX($O$2:$O$201,MATCH($A41,$L$2:$L$201,0)),"")))</f>
        <v/>
      </c>
      <c r="E41" s="15">
        <f>IF($A41="","",IF(ISNUMBER(MATCH($A41,表單!$A$2:$A$301,0)),"本檔","系統"))</f>
        <v/>
      </c>
      <c r="H41">
        <f>IF(AND(表單!$C41="自主檢查表",表單!$A41&lt;&gt;"",COUNTIF($L$2:$L$201,表單!$A41)=0),COUNT($H$1:H40)+1,"")</f>
        <v/>
      </c>
      <c r="J41">
        <f>IF(40&lt;=COUNTA($L$2:$L$201),INDEX($L$2:$L$201,40),IFERROR(INDEX(表單!$A$2:$A$301,MATCH(40-COUNTA($L$2:$L$201),$H$2:$H$301,0)),""))</f>
        <v/>
      </c>
    </row>
    <row r="42">
      <c r="A42" s="15">
        <f>IF($J42="","",$J42)</f>
        <v/>
      </c>
      <c r="B42" s="15">
        <f>IF($A42="","",IF(ISNUMBER(MATCH($A42,表單!$A$2:$A$301,0)),INDEX(表單!$B$2:$B$301,MATCH($A42,表單!$A$2:$A$301,0)),IFERROR(INDEX($M$2:$M$201,MATCH($A42,$L$2:$L$201,0)),"")))</f>
        <v/>
      </c>
      <c r="C42" s="15">
        <f>IF($A42="","",IF(ISNUMBER(MATCH($A42,表單!$A$2:$A$301,0)),IF(TRIM(INDEX(表單!$D$2:$D$301,MATCH($A42,表單!$A$2:$A$301,0)))="","（分項工程層）",INDEX(表單!$D$2:$D$301,MATCH($A42,表單!$A$2:$A$301,0))),IFERROR(INDEX($N$2:$N$201,MATCH($A42,$L$2:$L$201,0)),"")))</f>
        <v/>
      </c>
      <c r="D42" s="15">
        <f>IF($A42="","",IF(ISNUMBER(MATCH($A42,表單!$A$2:$A$301,0)),"線上表單",IFERROR(INDEX($O$2:$O$201,MATCH($A42,$L$2:$L$201,0)),"")))</f>
        <v/>
      </c>
      <c r="E42" s="15">
        <f>IF($A42="","",IF(ISNUMBER(MATCH($A42,表單!$A$2:$A$301,0)),"本檔","系統"))</f>
        <v/>
      </c>
      <c r="H42">
        <f>IF(AND(表單!$C42="自主檢查表",表單!$A42&lt;&gt;"",COUNTIF($L$2:$L$201,表單!$A42)=0),COUNT($H$1:H41)+1,"")</f>
        <v/>
      </c>
      <c r="J42">
        <f>IF(41&lt;=COUNTA($L$2:$L$201),INDEX($L$2:$L$201,41),IFERROR(INDEX(表單!$A$2:$A$301,MATCH(41-COUNTA($L$2:$L$201),$H$2:$H$301,0)),""))</f>
        <v/>
      </c>
    </row>
    <row r="43">
      <c r="A43" s="15">
        <f>IF($J43="","",$J43)</f>
        <v/>
      </c>
      <c r="B43" s="15">
        <f>IF($A43="","",IF(ISNUMBER(MATCH($A43,表單!$A$2:$A$301,0)),INDEX(表單!$B$2:$B$301,MATCH($A43,表單!$A$2:$A$301,0)),IFERROR(INDEX($M$2:$M$201,MATCH($A43,$L$2:$L$201,0)),"")))</f>
        <v/>
      </c>
      <c r="C43" s="15">
        <f>IF($A43="","",IF(ISNUMBER(MATCH($A43,表單!$A$2:$A$301,0)),IF(TRIM(INDEX(表單!$D$2:$D$301,MATCH($A43,表單!$A$2:$A$301,0)))="","（分項工程層）",INDEX(表單!$D$2:$D$301,MATCH($A43,表單!$A$2:$A$301,0))),IFERROR(INDEX($N$2:$N$201,MATCH($A43,$L$2:$L$201,0)),"")))</f>
        <v/>
      </c>
      <c r="D43" s="15">
        <f>IF($A43="","",IF(ISNUMBER(MATCH($A43,表單!$A$2:$A$301,0)),"線上表單",IFERROR(INDEX($O$2:$O$201,MATCH($A43,$L$2:$L$201,0)),"")))</f>
        <v/>
      </c>
      <c r="E43" s="15">
        <f>IF($A43="","",IF(ISNUMBER(MATCH($A43,表單!$A$2:$A$301,0)),"本檔","系統"))</f>
        <v/>
      </c>
      <c r="H43">
        <f>IF(AND(表單!$C43="自主檢查表",表單!$A43&lt;&gt;"",COUNTIF($L$2:$L$201,表單!$A43)=0),COUNT($H$1:H42)+1,"")</f>
        <v/>
      </c>
      <c r="J43">
        <f>IF(42&lt;=COUNTA($L$2:$L$201),INDEX($L$2:$L$201,42),IFERROR(INDEX(表單!$A$2:$A$301,MATCH(42-COUNTA($L$2:$L$201),$H$2:$H$301,0)),""))</f>
        <v/>
      </c>
    </row>
    <row r="44">
      <c r="A44" s="15">
        <f>IF($J44="","",$J44)</f>
        <v/>
      </c>
      <c r="B44" s="15">
        <f>IF($A44="","",IF(ISNUMBER(MATCH($A44,表單!$A$2:$A$301,0)),INDEX(表單!$B$2:$B$301,MATCH($A44,表單!$A$2:$A$301,0)),IFERROR(INDEX($M$2:$M$201,MATCH($A44,$L$2:$L$201,0)),"")))</f>
        <v/>
      </c>
      <c r="C44" s="15">
        <f>IF($A44="","",IF(ISNUMBER(MATCH($A44,表單!$A$2:$A$301,0)),IF(TRIM(INDEX(表單!$D$2:$D$301,MATCH($A44,表單!$A$2:$A$301,0)))="","（分項工程層）",INDEX(表單!$D$2:$D$301,MATCH($A44,表單!$A$2:$A$301,0))),IFERROR(INDEX($N$2:$N$201,MATCH($A44,$L$2:$L$201,0)),"")))</f>
        <v/>
      </c>
      <c r="D44" s="15">
        <f>IF($A44="","",IF(ISNUMBER(MATCH($A44,表單!$A$2:$A$301,0)),"線上表單",IFERROR(INDEX($O$2:$O$201,MATCH($A44,$L$2:$L$201,0)),"")))</f>
        <v/>
      </c>
      <c r="E44" s="15">
        <f>IF($A44="","",IF(ISNUMBER(MATCH($A44,表單!$A$2:$A$301,0)),"本檔","系統"))</f>
        <v/>
      </c>
      <c r="H44">
        <f>IF(AND(表單!$C44="自主檢查表",表單!$A44&lt;&gt;"",COUNTIF($L$2:$L$201,表單!$A44)=0),COUNT($H$1:H43)+1,"")</f>
        <v/>
      </c>
      <c r="J44">
        <f>IF(43&lt;=COUNTA($L$2:$L$201),INDEX($L$2:$L$201,43),IFERROR(INDEX(表單!$A$2:$A$301,MATCH(43-COUNTA($L$2:$L$201),$H$2:$H$301,0)),""))</f>
        <v/>
      </c>
    </row>
    <row r="45">
      <c r="A45" s="15">
        <f>IF($J45="","",$J45)</f>
        <v/>
      </c>
      <c r="B45" s="15">
        <f>IF($A45="","",IF(ISNUMBER(MATCH($A45,表單!$A$2:$A$301,0)),INDEX(表單!$B$2:$B$301,MATCH($A45,表單!$A$2:$A$301,0)),IFERROR(INDEX($M$2:$M$201,MATCH($A45,$L$2:$L$201,0)),"")))</f>
        <v/>
      </c>
      <c r="C45" s="15">
        <f>IF($A45="","",IF(ISNUMBER(MATCH($A45,表單!$A$2:$A$301,0)),IF(TRIM(INDEX(表單!$D$2:$D$301,MATCH($A45,表單!$A$2:$A$301,0)))="","（分項工程層）",INDEX(表單!$D$2:$D$301,MATCH($A45,表單!$A$2:$A$301,0))),IFERROR(INDEX($N$2:$N$201,MATCH($A45,$L$2:$L$201,0)),"")))</f>
        <v/>
      </c>
      <c r="D45" s="15">
        <f>IF($A45="","",IF(ISNUMBER(MATCH($A45,表單!$A$2:$A$301,0)),"線上表單",IFERROR(INDEX($O$2:$O$201,MATCH($A45,$L$2:$L$201,0)),"")))</f>
        <v/>
      </c>
      <c r="E45" s="15">
        <f>IF($A45="","",IF(ISNUMBER(MATCH($A45,表單!$A$2:$A$301,0)),"本檔","系統"))</f>
        <v/>
      </c>
      <c r="H45">
        <f>IF(AND(表單!$C45="自主檢查表",表單!$A45&lt;&gt;"",COUNTIF($L$2:$L$201,表單!$A45)=0),COUNT($H$1:H44)+1,"")</f>
        <v/>
      </c>
      <c r="J45">
        <f>IF(44&lt;=COUNTA($L$2:$L$201),INDEX($L$2:$L$201,44),IFERROR(INDEX(表單!$A$2:$A$301,MATCH(44-COUNTA($L$2:$L$201),$H$2:$H$301,0)),""))</f>
        <v/>
      </c>
    </row>
    <row r="46">
      <c r="A46" s="15">
        <f>IF($J46="","",$J46)</f>
        <v/>
      </c>
      <c r="B46" s="15">
        <f>IF($A46="","",IF(ISNUMBER(MATCH($A46,表單!$A$2:$A$301,0)),INDEX(表單!$B$2:$B$301,MATCH($A46,表單!$A$2:$A$301,0)),IFERROR(INDEX($M$2:$M$201,MATCH($A46,$L$2:$L$201,0)),"")))</f>
        <v/>
      </c>
      <c r="C46" s="15">
        <f>IF($A46="","",IF(ISNUMBER(MATCH($A46,表單!$A$2:$A$301,0)),IF(TRIM(INDEX(表單!$D$2:$D$301,MATCH($A46,表單!$A$2:$A$301,0)))="","（分項工程層）",INDEX(表單!$D$2:$D$301,MATCH($A46,表單!$A$2:$A$301,0))),IFERROR(INDEX($N$2:$N$201,MATCH($A46,$L$2:$L$201,0)),"")))</f>
        <v/>
      </c>
      <c r="D46" s="15">
        <f>IF($A46="","",IF(ISNUMBER(MATCH($A46,表單!$A$2:$A$301,0)),"線上表單",IFERROR(INDEX($O$2:$O$201,MATCH($A46,$L$2:$L$201,0)),"")))</f>
        <v/>
      </c>
      <c r="E46" s="15">
        <f>IF($A46="","",IF(ISNUMBER(MATCH($A46,表單!$A$2:$A$301,0)),"本檔","系統"))</f>
        <v/>
      </c>
      <c r="H46">
        <f>IF(AND(表單!$C46="自主檢查表",表單!$A46&lt;&gt;"",COUNTIF($L$2:$L$201,表單!$A46)=0),COUNT($H$1:H45)+1,"")</f>
        <v/>
      </c>
      <c r="J46">
        <f>IF(45&lt;=COUNTA($L$2:$L$201),INDEX($L$2:$L$201,45),IFERROR(INDEX(表單!$A$2:$A$301,MATCH(45-COUNTA($L$2:$L$201),$H$2:$H$301,0)),""))</f>
        <v/>
      </c>
    </row>
    <row r="47">
      <c r="A47" s="15">
        <f>IF($J47="","",$J47)</f>
        <v/>
      </c>
      <c r="B47" s="15">
        <f>IF($A47="","",IF(ISNUMBER(MATCH($A47,表單!$A$2:$A$301,0)),INDEX(表單!$B$2:$B$301,MATCH($A47,表單!$A$2:$A$301,0)),IFERROR(INDEX($M$2:$M$201,MATCH($A47,$L$2:$L$201,0)),"")))</f>
        <v/>
      </c>
      <c r="C47" s="15">
        <f>IF($A47="","",IF(ISNUMBER(MATCH($A47,表單!$A$2:$A$301,0)),IF(TRIM(INDEX(表單!$D$2:$D$301,MATCH($A47,表單!$A$2:$A$301,0)))="","（分項工程層）",INDEX(表單!$D$2:$D$301,MATCH($A47,表單!$A$2:$A$301,0))),IFERROR(INDEX($N$2:$N$201,MATCH($A47,$L$2:$L$201,0)),"")))</f>
        <v/>
      </c>
      <c r="D47" s="15">
        <f>IF($A47="","",IF(ISNUMBER(MATCH($A47,表單!$A$2:$A$301,0)),"線上表單",IFERROR(INDEX($O$2:$O$201,MATCH($A47,$L$2:$L$201,0)),"")))</f>
        <v/>
      </c>
      <c r="E47" s="15">
        <f>IF($A47="","",IF(ISNUMBER(MATCH($A47,表單!$A$2:$A$301,0)),"本檔","系統"))</f>
        <v/>
      </c>
      <c r="H47">
        <f>IF(AND(表單!$C47="自主檢查表",表單!$A47&lt;&gt;"",COUNTIF($L$2:$L$201,表單!$A47)=0),COUNT($H$1:H46)+1,"")</f>
        <v/>
      </c>
      <c r="J47">
        <f>IF(46&lt;=COUNTA($L$2:$L$201),INDEX($L$2:$L$201,46),IFERROR(INDEX(表單!$A$2:$A$301,MATCH(46-COUNTA($L$2:$L$201),$H$2:$H$301,0)),""))</f>
        <v/>
      </c>
    </row>
    <row r="48">
      <c r="A48" s="15">
        <f>IF($J48="","",$J48)</f>
        <v/>
      </c>
      <c r="B48" s="15">
        <f>IF($A48="","",IF(ISNUMBER(MATCH($A48,表單!$A$2:$A$301,0)),INDEX(表單!$B$2:$B$301,MATCH($A48,表單!$A$2:$A$301,0)),IFERROR(INDEX($M$2:$M$201,MATCH($A48,$L$2:$L$201,0)),"")))</f>
        <v/>
      </c>
      <c r="C48" s="15">
        <f>IF($A48="","",IF(ISNUMBER(MATCH($A48,表單!$A$2:$A$301,0)),IF(TRIM(INDEX(表單!$D$2:$D$301,MATCH($A48,表單!$A$2:$A$301,0)))="","（分項工程層）",INDEX(表單!$D$2:$D$301,MATCH($A48,表單!$A$2:$A$301,0))),IFERROR(INDEX($N$2:$N$201,MATCH($A48,$L$2:$L$201,0)),"")))</f>
        <v/>
      </c>
      <c r="D48" s="15">
        <f>IF($A48="","",IF(ISNUMBER(MATCH($A48,表單!$A$2:$A$301,0)),"線上表單",IFERROR(INDEX($O$2:$O$201,MATCH($A48,$L$2:$L$201,0)),"")))</f>
        <v/>
      </c>
      <c r="E48" s="15">
        <f>IF($A48="","",IF(ISNUMBER(MATCH($A48,表單!$A$2:$A$301,0)),"本檔","系統"))</f>
        <v/>
      </c>
      <c r="H48">
        <f>IF(AND(表單!$C48="自主檢查表",表單!$A48&lt;&gt;"",COUNTIF($L$2:$L$201,表單!$A48)=0),COUNT($H$1:H47)+1,"")</f>
        <v/>
      </c>
      <c r="J48">
        <f>IF(47&lt;=COUNTA($L$2:$L$201),INDEX($L$2:$L$201,47),IFERROR(INDEX(表單!$A$2:$A$301,MATCH(47-COUNTA($L$2:$L$201),$H$2:$H$301,0)),""))</f>
        <v/>
      </c>
    </row>
    <row r="49">
      <c r="A49" s="15">
        <f>IF($J49="","",$J49)</f>
        <v/>
      </c>
      <c r="B49" s="15">
        <f>IF($A49="","",IF(ISNUMBER(MATCH($A49,表單!$A$2:$A$301,0)),INDEX(表單!$B$2:$B$301,MATCH($A49,表單!$A$2:$A$301,0)),IFERROR(INDEX($M$2:$M$201,MATCH($A49,$L$2:$L$201,0)),"")))</f>
        <v/>
      </c>
      <c r="C49" s="15">
        <f>IF($A49="","",IF(ISNUMBER(MATCH($A49,表單!$A$2:$A$301,0)),IF(TRIM(INDEX(表單!$D$2:$D$301,MATCH($A49,表單!$A$2:$A$301,0)))="","（分項工程層）",INDEX(表單!$D$2:$D$301,MATCH($A49,表單!$A$2:$A$301,0))),IFERROR(INDEX($N$2:$N$201,MATCH($A49,$L$2:$L$201,0)),"")))</f>
        <v/>
      </c>
      <c r="D49" s="15">
        <f>IF($A49="","",IF(ISNUMBER(MATCH($A49,表單!$A$2:$A$301,0)),"線上表單",IFERROR(INDEX($O$2:$O$201,MATCH($A49,$L$2:$L$201,0)),"")))</f>
        <v/>
      </c>
      <c r="E49" s="15">
        <f>IF($A49="","",IF(ISNUMBER(MATCH($A49,表單!$A$2:$A$301,0)),"本檔","系統"))</f>
        <v/>
      </c>
      <c r="H49">
        <f>IF(AND(表單!$C49="自主檢查表",表單!$A49&lt;&gt;"",COUNTIF($L$2:$L$201,表單!$A49)=0),COUNT($H$1:H48)+1,"")</f>
        <v/>
      </c>
      <c r="J49">
        <f>IF(48&lt;=COUNTA($L$2:$L$201),INDEX($L$2:$L$201,48),IFERROR(INDEX(表單!$A$2:$A$301,MATCH(48-COUNTA($L$2:$L$201),$H$2:$H$301,0)),""))</f>
        <v/>
      </c>
    </row>
    <row r="50">
      <c r="A50" s="15">
        <f>IF($J50="","",$J50)</f>
        <v/>
      </c>
      <c r="B50" s="15">
        <f>IF($A50="","",IF(ISNUMBER(MATCH($A50,表單!$A$2:$A$301,0)),INDEX(表單!$B$2:$B$301,MATCH($A50,表單!$A$2:$A$301,0)),IFERROR(INDEX($M$2:$M$201,MATCH($A50,$L$2:$L$201,0)),"")))</f>
        <v/>
      </c>
      <c r="C50" s="15">
        <f>IF($A50="","",IF(ISNUMBER(MATCH($A50,表單!$A$2:$A$301,0)),IF(TRIM(INDEX(表單!$D$2:$D$301,MATCH($A50,表單!$A$2:$A$301,0)))="","（分項工程層）",INDEX(表單!$D$2:$D$301,MATCH($A50,表單!$A$2:$A$301,0))),IFERROR(INDEX($N$2:$N$201,MATCH($A50,$L$2:$L$201,0)),"")))</f>
        <v/>
      </c>
      <c r="D50" s="15">
        <f>IF($A50="","",IF(ISNUMBER(MATCH($A50,表單!$A$2:$A$301,0)),"線上表單",IFERROR(INDEX($O$2:$O$201,MATCH($A50,$L$2:$L$201,0)),"")))</f>
        <v/>
      </c>
      <c r="E50" s="15">
        <f>IF($A50="","",IF(ISNUMBER(MATCH($A50,表單!$A$2:$A$301,0)),"本檔","系統"))</f>
        <v/>
      </c>
      <c r="H50">
        <f>IF(AND(表單!$C50="自主檢查表",表單!$A50&lt;&gt;"",COUNTIF($L$2:$L$201,表單!$A50)=0),COUNT($H$1:H49)+1,"")</f>
        <v/>
      </c>
      <c r="J50">
        <f>IF(49&lt;=COUNTA($L$2:$L$201),INDEX($L$2:$L$201,49),IFERROR(INDEX(表單!$A$2:$A$301,MATCH(49-COUNTA($L$2:$L$201),$H$2:$H$301,0)),""))</f>
        <v/>
      </c>
    </row>
    <row r="51">
      <c r="A51" s="15">
        <f>IF($J51="","",$J51)</f>
        <v/>
      </c>
      <c r="B51" s="15">
        <f>IF($A51="","",IF(ISNUMBER(MATCH($A51,表單!$A$2:$A$301,0)),INDEX(表單!$B$2:$B$301,MATCH($A51,表單!$A$2:$A$301,0)),IFERROR(INDEX($M$2:$M$201,MATCH($A51,$L$2:$L$201,0)),"")))</f>
        <v/>
      </c>
      <c r="C51" s="15">
        <f>IF($A51="","",IF(ISNUMBER(MATCH($A51,表單!$A$2:$A$301,0)),IF(TRIM(INDEX(表單!$D$2:$D$301,MATCH($A51,表單!$A$2:$A$301,0)))="","（分項工程層）",INDEX(表單!$D$2:$D$301,MATCH($A51,表單!$A$2:$A$301,0))),IFERROR(INDEX($N$2:$N$201,MATCH($A51,$L$2:$L$201,0)),"")))</f>
        <v/>
      </c>
      <c r="D51" s="15">
        <f>IF($A51="","",IF(ISNUMBER(MATCH($A51,表單!$A$2:$A$301,0)),"線上表單",IFERROR(INDEX($O$2:$O$201,MATCH($A51,$L$2:$L$201,0)),"")))</f>
        <v/>
      </c>
      <c r="E51" s="15">
        <f>IF($A51="","",IF(ISNUMBER(MATCH($A51,表單!$A$2:$A$301,0)),"本檔","系統"))</f>
        <v/>
      </c>
      <c r="H51">
        <f>IF(AND(表單!$C51="自主檢查表",表單!$A51&lt;&gt;"",COUNTIF($L$2:$L$201,表單!$A51)=0),COUNT($H$1:H50)+1,"")</f>
        <v/>
      </c>
      <c r="J51">
        <f>IF(50&lt;=COUNTA($L$2:$L$201),INDEX($L$2:$L$201,50),IFERROR(INDEX(表單!$A$2:$A$301,MATCH(50-COUNTA($L$2:$L$201),$H$2:$H$301,0)),""))</f>
        <v/>
      </c>
    </row>
    <row r="52">
      <c r="A52" s="15">
        <f>IF($J52="","",$J52)</f>
        <v/>
      </c>
      <c r="B52" s="15">
        <f>IF($A52="","",IF(ISNUMBER(MATCH($A52,表單!$A$2:$A$301,0)),INDEX(表單!$B$2:$B$301,MATCH($A52,表單!$A$2:$A$301,0)),IFERROR(INDEX($M$2:$M$201,MATCH($A52,$L$2:$L$201,0)),"")))</f>
        <v/>
      </c>
      <c r="C52" s="15">
        <f>IF($A52="","",IF(ISNUMBER(MATCH($A52,表單!$A$2:$A$301,0)),IF(TRIM(INDEX(表單!$D$2:$D$301,MATCH($A52,表單!$A$2:$A$301,0)))="","（分項工程層）",INDEX(表單!$D$2:$D$301,MATCH($A52,表單!$A$2:$A$301,0))),IFERROR(INDEX($N$2:$N$201,MATCH($A52,$L$2:$L$201,0)),"")))</f>
        <v/>
      </c>
      <c r="D52" s="15">
        <f>IF($A52="","",IF(ISNUMBER(MATCH($A52,表單!$A$2:$A$301,0)),"線上表單",IFERROR(INDEX($O$2:$O$201,MATCH($A52,$L$2:$L$201,0)),"")))</f>
        <v/>
      </c>
      <c r="E52" s="15">
        <f>IF($A52="","",IF(ISNUMBER(MATCH($A52,表單!$A$2:$A$301,0)),"本檔","系統"))</f>
        <v/>
      </c>
      <c r="H52">
        <f>IF(AND(表單!$C52="自主檢查表",表單!$A52&lt;&gt;"",COUNTIF($L$2:$L$201,表單!$A52)=0),COUNT($H$1:H51)+1,"")</f>
        <v/>
      </c>
      <c r="J52">
        <f>IF(51&lt;=COUNTA($L$2:$L$201),INDEX($L$2:$L$201,51),IFERROR(INDEX(表單!$A$2:$A$301,MATCH(51-COUNTA($L$2:$L$201),$H$2:$H$301,0)),""))</f>
        <v/>
      </c>
    </row>
    <row r="53">
      <c r="A53" s="15">
        <f>IF($J53="","",$J53)</f>
        <v/>
      </c>
      <c r="B53" s="15">
        <f>IF($A53="","",IF(ISNUMBER(MATCH($A53,表單!$A$2:$A$301,0)),INDEX(表單!$B$2:$B$301,MATCH($A53,表單!$A$2:$A$301,0)),IFERROR(INDEX($M$2:$M$201,MATCH($A53,$L$2:$L$201,0)),"")))</f>
        <v/>
      </c>
      <c r="C53" s="15">
        <f>IF($A53="","",IF(ISNUMBER(MATCH($A53,表單!$A$2:$A$301,0)),IF(TRIM(INDEX(表單!$D$2:$D$301,MATCH($A53,表單!$A$2:$A$301,0)))="","（分項工程層）",INDEX(表單!$D$2:$D$301,MATCH($A53,表單!$A$2:$A$301,0))),IFERROR(INDEX($N$2:$N$201,MATCH($A53,$L$2:$L$201,0)),"")))</f>
        <v/>
      </c>
      <c r="D53" s="15">
        <f>IF($A53="","",IF(ISNUMBER(MATCH($A53,表單!$A$2:$A$301,0)),"線上表單",IFERROR(INDEX($O$2:$O$201,MATCH($A53,$L$2:$L$201,0)),"")))</f>
        <v/>
      </c>
      <c r="E53" s="15">
        <f>IF($A53="","",IF(ISNUMBER(MATCH($A53,表單!$A$2:$A$301,0)),"本檔","系統"))</f>
        <v/>
      </c>
      <c r="H53">
        <f>IF(AND(表單!$C53="自主檢查表",表單!$A53&lt;&gt;"",COUNTIF($L$2:$L$201,表單!$A53)=0),COUNT($H$1:H52)+1,"")</f>
        <v/>
      </c>
      <c r="J53">
        <f>IF(52&lt;=COUNTA($L$2:$L$201),INDEX($L$2:$L$201,52),IFERROR(INDEX(表單!$A$2:$A$301,MATCH(52-COUNTA($L$2:$L$201),$H$2:$H$301,0)),""))</f>
        <v/>
      </c>
    </row>
    <row r="54">
      <c r="A54" s="15">
        <f>IF($J54="","",$J54)</f>
        <v/>
      </c>
      <c r="B54" s="15">
        <f>IF($A54="","",IF(ISNUMBER(MATCH($A54,表單!$A$2:$A$301,0)),INDEX(表單!$B$2:$B$301,MATCH($A54,表單!$A$2:$A$301,0)),IFERROR(INDEX($M$2:$M$201,MATCH($A54,$L$2:$L$201,0)),"")))</f>
        <v/>
      </c>
      <c r="C54" s="15">
        <f>IF($A54="","",IF(ISNUMBER(MATCH($A54,表單!$A$2:$A$301,0)),IF(TRIM(INDEX(表單!$D$2:$D$301,MATCH($A54,表單!$A$2:$A$301,0)))="","（分項工程層）",INDEX(表單!$D$2:$D$301,MATCH($A54,表單!$A$2:$A$301,0))),IFERROR(INDEX($N$2:$N$201,MATCH($A54,$L$2:$L$201,0)),"")))</f>
        <v/>
      </c>
      <c r="D54" s="15">
        <f>IF($A54="","",IF(ISNUMBER(MATCH($A54,表單!$A$2:$A$301,0)),"線上表單",IFERROR(INDEX($O$2:$O$201,MATCH($A54,$L$2:$L$201,0)),"")))</f>
        <v/>
      </c>
      <c r="E54" s="15">
        <f>IF($A54="","",IF(ISNUMBER(MATCH($A54,表單!$A$2:$A$301,0)),"本檔","系統"))</f>
        <v/>
      </c>
      <c r="H54">
        <f>IF(AND(表單!$C54="自主檢查表",表單!$A54&lt;&gt;"",COUNTIF($L$2:$L$201,表單!$A54)=0),COUNT($H$1:H53)+1,"")</f>
        <v/>
      </c>
      <c r="J54">
        <f>IF(53&lt;=COUNTA($L$2:$L$201),INDEX($L$2:$L$201,53),IFERROR(INDEX(表單!$A$2:$A$301,MATCH(53-COUNTA($L$2:$L$201),$H$2:$H$301,0)),""))</f>
        <v/>
      </c>
    </row>
    <row r="55">
      <c r="A55" s="15">
        <f>IF($J55="","",$J55)</f>
        <v/>
      </c>
      <c r="B55" s="15">
        <f>IF($A55="","",IF(ISNUMBER(MATCH($A55,表單!$A$2:$A$301,0)),INDEX(表單!$B$2:$B$301,MATCH($A55,表單!$A$2:$A$301,0)),IFERROR(INDEX($M$2:$M$201,MATCH($A55,$L$2:$L$201,0)),"")))</f>
        <v/>
      </c>
      <c r="C55" s="15">
        <f>IF($A55="","",IF(ISNUMBER(MATCH($A55,表單!$A$2:$A$301,0)),IF(TRIM(INDEX(表單!$D$2:$D$301,MATCH($A55,表單!$A$2:$A$301,0)))="","（分項工程層）",INDEX(表單!$D$2:$D$301,MATCH($A55,表單!$A$2:$A$301,0))),IFERROR(INDEX($N$2:$N$201,MATCH($A55,$L$2:$L$201,0)),"")))</f>
        <v/>
      </c>
      <c r="D55" s="15">
        <f>IF($A55="","",IF(ISNUMBER(MATCH($A55,表單!$A$2:$A$301,0)),"線上表單",IFERROR(INDEX($O$2:$O$201,MATCH($A55,$L$2:$L$201,0)),"")))</f>
        <v/>
      </c>
      <c r="E55" s="15">
        <f>IF($A55="","",IF(ISNUMBER(MATCH($A55,表單!$A$2:$A$301,0)),"本檔","系統"))</f>
        <v/>
      </c>
      <c r="H55">
        <f>IF(AND(表單!$C55="自主檢查表",表單!$A55&lt;&gt;"",COUNTIF($L$2:$L$201,表單!$A55)=0),COUNT($H$1:H54)+1,"")</f>
        <v/>
      </c>
      <c r="J55">
        <f>IF(54&lt;=COUNTA($L$2:$L$201),INDEX($L$2:$L$201,54),IFERROR(INDEX(表單!$A$2:$A$301,MATCH(54-COUNTA($L$2:$L$201),$H$2:$H$301,0)),""))</f>
        <v/>
      </c>
    </row>
    <row r="56">
      <c r="A56" s="15">
        <f>IF($J56="","",$J56)</f>
        <v/>
      </c>
      <c r="B56" s="15">
        <f>IF($A56="","",IF(ISNUMBER(MATCH($A56,表單!$A$2:$A$301,0)),INDEX(表單!$B$2:$B$301,MATCH($A56,表單!$A$2:$A$301,0)),IFERROR(INDEX($M$2:$M$201,MATCH($A56,$L$2:$L$201,0)),"")))</f>
        <v/>
      </c>
      <c r="C56" s="15">
        <f>IF($A56="","",IF(ISNUMBER(MATCH($A56,表單!$A$2:$A$301,0)),IF(TRIM(INDEX(表單!$D$2:$D$301,MATCH($A56,表單!$A$2:$A$301,0)))="","（分項工程層）",INDEX(表單!$D$2:$D$301,MATCH($A56,表單!$A$2:$A$301,0))),IFERROR(INDEX($N$2:$N$201,MATCH($A56,$L$2:$L$201,0)),"")))</f>
        <v/>
      </c>
      <c r="D56" s="15">
        <f>IF($A56="","",IF(ISNUMBER(MATCH($A56,表單!$A$2:$A$301,0)),"線上表單",IFERROR(INDEX($O$2:$O$201,MATCH($A56,$L$2:$L$201,0)),"")))</f>
        <v/>
      </c>
      <c r="E56" s="15">
        <f>IF($A56="","",IF(ISNUMBER(MATCH($A56,表單!$A$2:$A$301,0)),"本檔","系統"))</f>
        <v/>
      </c>
      <c r="H56">
        <f>IF(AND(表單!$C56="自主檢查表",表單!$A56&lt;&gt;"",COUNTIF($L$2:$L$201,表單!$A56)=0),COUNT($H$1:H55)+1,"")</f>
        <v/>
      </c>
      <c r="J56">
        <f>IF(55&lt;=COUNTA($L$2:$L$201),INDEX($L$2:$L$201,55),IFERROR(INDEX(表單!$A$2:$A$301,MATCH(55-COUNTA($L$2:$L$201),$H$2:$H$301,0)),""))</f>
        <v/>
      </c>
    </row>
    <row r="57">
      <c r="A57" s="15">
        <f>IF($J57="","",$J57)</f>
        <v/>
      </c>
      <c r="B57" s="15">
        <f>IF($A57="","",IF(ISNUMBER(MATCH($A57,表單!$A$2:$A$301,0)),INDEX(表單!$B$2:$B$301,MATCH($A57,表單!$A$2:$A$301,0)),IFERROR(INDEX($M$2:$M$201,MATCH($A57,$L$2:$L$201,0)),"")))</f>
        <v/>
      </c>
      <c r="C57" s="15">
        <f>IF($A57="","",IF(ISNUMBER(MATCH($A57,表單!$A$2:$A$301,0)),IF(TRIM(INDEX(表單!$D$2:$D$301,MATCH($A57,表單!$A$2:$A$301,0)))="","（分項工程層）",INDEX(表單!$D$2:$D$301,MATCH($A57,表單!$A$2:$A$301,0))),IFERROR(INDEX($N$2:$N$201,MATCH($A57,$L$2:$L$201,0)),"")))</f>
        <v/>
      </c>
      <c r="D57" s="15">
        <f>IF($A57="","",IF(ISNUMBER(MATCH($A57,表單!$A$2:$A$301,0)),"線上表單",IFERROR(INDEX($O$2:$O$201,MATCH($A57,$L$2:$L$201,0)),"")))</f>
        <v/>
      </c>
      <c r="E57" s="15">
        <f>IF($A57="","",IF(ISNUMBER(MATCH($A57,表單!$A$2:$A$301,0)),"本檔","系統"))</f>
        <v/>
      </c>
      <c r="H57">
        <f>IF(AND(表單!$C57="自主檢查表",表單!$A57&lt;&gt;"",COUNTIF($L$2:$L$201,表單!$A57)=0),COUNT($H$1:H56)+1,"")</f>
        <v/>
      </c>
      <c r="J57">
        <f>IF(56&lt;=COUNTA($L$2:$L$201),INDEX($L$2:$L$201,56),IFERROR(INDEX(表單!$A$2:$A$301,MATCH(56-COUNTA($L$2:$L$201),$H$2:$H$301,0)),""))</f>
        <v/>
      </c>
    </row>
    <row r="58">
      <c r="A58" s="15">
        <f>IF($J58="","",$J58)</f>
        <v/>
      </c>
      <c r="B58" s="15">
        <f>IF($A58="","",IF(ISNUMBER(MATCH($A58,表單!$A$2:$A$301,0)),INDEX(表單!$B$2:$B$301,MATCH($A58,表單!$A$2:$A$301,0)),IFERROR(INDEX($M$2:$M$201,MATCH($A58,$L$2:$L$201,0)),"")))</f>
        <v/>
      </c>
      <c r="C58" s="15">
        <f>IF($A58="","",IF(ISNUMBER(MATCH($A58,表單!$A$2:$A$301,0)),IF(TRIM(INDEX(表單!$D$2:$D$301,MATCH($A58,表單!$A$2:$A$301,0)))="","（分項工程層）",INDEX(表單!$D$2:$D$301,MATCH($A58,表單!$A$2:$A$301,0))),IFERROR(INDEX($N$2:$N$201,MATCH($A58,$L$2:$L$201,0)),"")))</f>
        <v/>
      </c>
      <c r="D58" s="15">
        <f>IF($A58="","",IF(ISNUMBER(MATCH($A58,表單!$A$2:$A$301,0)),"線上表單",IFERROR(INDEX($O$2:$O$201,MATCH($A58,$L$2:$L$201,0)),"")))</f>
        <v/>
      </c>
      <c r="E58" s="15">
        <f>IF($A58="","",IF(ISNUMBER(MATCH($A58,表單!$A$2:$A$301,0)),"本檔","系統"))</f>
        <v/>
      </c>
      <c r="H58">
        <f>IF(AND(表單!$C58="自主檢查表",表單!$A58&lt;&gt;"",COUNTIF($L$2:$L$201,表單!$A58)=0),COUNT($H$1:H57)+1,"")</f>
        <v/>
      </c>
      <c r="J58">
        <f>IF(57&lt;=COUNTA($L$2:$L$201),INDEX($L$2:$L$201,57),IFERROR(INDEX(表單!$A$2:$A$301,MATCH(57-COUNTA($L$2:$L$201),$H$2:$H$301,0)),""))</f>
        <v/>
      </c>
    </row>
    <row r="59">
      <c r="A59" s="15">
        <f>IF($J59="","",$J59)</f>
        <v/>
      </c>
      <c r="B59" s="15">
        <f>IF($A59="","",IF(ISNUMBER(MATCH($A59,表單!$A$2:$A$301,0)),INDEX(表單!$B$2:$B$301,MATCH($A59,表單!$A$2:$A$301,0)),IFERROR(INDEX($M$2:$M$201,MATCH($A59,$L$2:$L$201,0)),"")))</f>
        <v/>
      </c>
      <c r="C59" s="15">
        <f>IF($A59="","",IF(ISNUMBER(MATCH($A59,表單!$A$2:$A$301,0)),IF(TRIM(INDEX(表單!$D$2:$D$301,MATCH($A59,表單!$A$2:$A$301,0)))="","（分項工程層）",INDEX(表單!$D$2:$D$301,MATCH($A59,表單!$A$2:$A$301,0))),IFERROR(INDEX($N$2:$N$201,MATCH($A59,$L$2:$L$201,0)),"")))</f>
        <v/>
      </c>
      <c r="D59" s="15">
        <f>IF($A59="","",IF(ISNUMBER(MATCH($A59,表單!$A$2:$A$301,0)),"線上表單",IFERROR(INDEX($O$2:$O$201,MATCH($A59,$L$2:$L$201,0)),"")))</f>
        <v/>
      </c>
      <c r="E59" s="15">
        <f>IF($A59="","",IF(ISNUMBER(MATCH($A59,表單!$A$2:$A$301,0)),"本檔","系統"))</f>
        <v/>
      </c>
      <c r="H59">
        <f>IF(AND(表單!$C59="自主檢查表",表單!$A59&lt;&gt;"",COUNTIF($L$2:$L$201,表單!$A59)=0),COUNT($H$1:H58)+1,"")</f>
        <v/>
      </c>
      <c r="J59">
        <f>IF(58&lt;=COUNTA($L$2:$L$201),INDEX($L$2:$L$201,58),IFERROR(INDEX(表單!$A$2:$A$301,MATCH(58-COUNTA($L$2:$L$201),$H$2:$H$301,0)),""))</f>
        <v/>
      </c>
    </row>
    <row r="60">
      <c r="A60" s="15">
        <f>IF($J60="","",$J60)</f>
        <v/>
      </c>
      <c r="B60" s="15">
        <f>IF($A60="","",IF(ISNUMBER(MATCH($A60,表單!$A$2:$A$301,0)),INDEX(表單!$B$2:$B$301,MATCH($A60,表單!$A$2:$A$301,0)),IFERROR(INDEX($M$2:$M$201,MATCH($A60,$L$2:$L$201,0)),"")))</f>
        <v/>
      </c>
      <c r="C60" s="15">
        <f>IF($A60="","",IF(ISNUMBER(MATCH($A60,表單!$A$2:$A$301,0)),IF(TRIM(INDEX(表單!$D$2:$D$301,MATCH($A60,表單!$A$2:$A$301,0)))="","（分項工程層）",INDEX(表單!$D$2:$D$301,MATCH($A60,表單!$A$2:$A$301,0))),IFERROR(INDEX($N$2:$N$201,MATCH($A60,$L$2:$L$201,0)),"")))</f>
        <v/>
      </c>
      <c r="D60" s="15">
        <f>IF($A60="","",IF(ISNUMBER(MATCH($A60,表單!$A$2:$A$301,0)),"線上表單",IFERROR(INDEX($O$2:$O$201,MATCH($A60,$L$2:$L$201,0)),"")))</f>
        <v/>
      </c>
      <c r="E60" s="15">
        <f>IF($A60="","",IF(ISNUMBER(MATCH($A60,表單!$A$2:$A$301,0)),"本檔","系統"))</f>
        <v/>
      </c>
      <c r="H60">
        <f>IF(AND(表單!$C60="自主檢查表",表單!$A60&lt;&gt;"",COUNTIF($L$2:$L$201,表單!$A60)=0),COUNT($H$1:H59)+1,"")</f>
        <v/>
      </c>
      <c r="J60">
        <f>IF(59&lt;=COUNTA($L$2:$L$201),INDEX($L$2:$L$201,59),IFERROR(INDEX(表單!$A$2:$A$301,MATCH(59-COUNTA($L$2:$L$201),$H$2:$H$301,0)),""))</f>
        <v/>
      </c>
    </row>
    <row r="61">
      <c r="A61" s="15">
        <f>IF($J61="","",$J61)</f>
        <v/>
      </c>
      <c r="B61" s="15">
        <f>IF($A61="","",IF(ISNUMBER(MATCH($A61,表單!$A$2:$A$301,0)),INDEX(表單!$B$2:$B$301,MATCH($A61,表單!$A$2:$A$301,0)),IFERROR(INDEX($M$2:$M$201,MATCH($A61,$L$2:$L$201,0)),"")))</f>
        <v/>
      </c>
      <c r="C61" s="15">
        <f>IF($A61="","",IF(ISNUMBER(MATCH($A61,表單!$A$2:$A$301,0)),IF(TRIM(INDEX(表單!$D$2:$D$301,MATCH($A61,表單!$A$2:$A$301,0)))="","（分項工程層）",INDEX(表單!$D$2:$D$301,MATCH($A61,表單!$A$2:$A$301,0))),IFERROR(INDEX($N$2:$N$201,MATCH($A61,$L$2:$L$201,0)),"")))</f>
        <v/>
      </c>
      <c r="D61" s="15">
        <f>IF($A61="","",IF(ISNUMBER(MATCH($A61,表單!$A$2:$A$301,0)),"線上表單",IFERROR(INDEX($O$2:$O$201,MATCH($A61,$L$2:$L$201,0)),"")))</f>
        <v/>
      </c>
      <c r="E61" s="15">
        <f>IF($A61="","",IF(ISNUMBER(MATCH($A61,表單!$A$2:$A$301,0)),"本檔","系統"))</f>
        <v/>
      </c>
      <c r="H61">
        <f>IF(AND(表單!$C61="自主檢查表",表單!$A61&lt;&gt;"",COUNTIF($L$2:$L$201,表單!$A61)=0),COUNT($H$1:H60)+1,"")</f>
        <v/>
      </c>
      <c r="J61">
        <f>IF(60&lt;=COUNTA($L$2:$L$201),INDEX($L$2:$L$201,60),IFERROR(INDEX(表單!$A$2:$A$301,MATCH(60-COUNTA($L$2:$L$201),$H$2:$H$301,0)),""))</f>
        <v/>
      </c>
    </row>
    <row r="62">
      <c r="A62" s="15">
        <f>IF($J62="","",$J62)</f>
        <v/>
      </c>
      <c r="B62" s="15">
        <f>IF($A62="","",IF(ISNUMBER(MATCH($A62,表單!$A$2:$A$301,0)),INDEX(表單!$B$2:$B$301,MATCH($A62,表單!$A$2:$A$301,0)),IFERROR(INDEX($M$2:$M$201,MATCH($A62,$L$2:$L$201,0)),"")))</f>
        <v/>
      </c>
      <c r="C62" s="15">
        <f>IF($A62="","",IF(ISNUMBER(MATCH($A62,表單!$A$2:$A$301,0)),IF(TRIM(INDEX(表單!$D$2:$D$301,MATCH($A62,表單!$A$2:$A$301,0)))="","（分項工程層）",INDEX(表單!$D$2:$D$301,MATCH($A62,表單!$A$2:$A$301,0))),IFERROR(INDEX($N$2:$N$201,MATCH($A62,$L$2:$L$201,0)),"")))</f>
        <v/>
      </c>
      <c r="D62" s="15">
        <f>IF($A62="","",IF(ISNUMBER(MATCH($A62,表單!$A$2:$A$301,0)),"線上表單",IFERROR(INDEX($O$2:$O$201,MATCH($A62,$L$2:$L$201,0)),"")))</f>
        <v/>
      </c>
      <c r="E62" s="15">
        <f>IF($A62="","",IF(ISNUMBER(MATCH($A62,表單!$A$2:$A$301,0)),"本檔","系統"))</f>
        <v/>
      </c>
      <c r="H62">
        <f>IF(AND(表單!$C62="自主檢查表",表單!$A62&lt;&gt;"",COUNTIF($L$2:$L$201,表單!$A62)=0),COUNT($H$1:H61)+1,"")</f>
        <v/>
      </c>
      <c r="J62">
        <f>IF(61&lt;=COUNTA($L$2:$L$201),INDEX($L$2:$L$201,61),IFERROR(INDEX(表單!$A$2:$A$301,MATCH(61-COUNTA($L$2:$L$201),$H$2:$H$301,0)),""))</f>
        <v/>
      </c>
    </row>
    <row r="63">
      <c r="A63" s="15">
        <f>IF($J63="","",$J63)</f>
        <v/>
      </c>
      <c r="B63" s="15">
        <f>IF($A63="","",IF(ISNUMBER(MATCH($A63,表單!$A$2:$A$301,0)),INDEX(表單!$B$2:$B$301,MATCH($A63,表單!$A$2:$A$301,0)),IFERROR(INDEX($M$2:$M$201,MATCH($A63,$L$2:$L$201,0)),"")))</f>
        <v/>
      </c>
      <c r="C63" s="15">
        <f>IF($A63="","",IF(ISNUMBER(MATCH($A63,表單!$A$2:$A$301,0)),IF(TRIM(INDEX(表單!$D$2:$D$301,MATCH($A63,表單!$A$2:$A$301,0)))="","（分項工程層）",INDEX(表單!$D$2:$D$301,MATCH($A63,表單!$A$2:$A$301,0))),IFERROR(INDEX($N$2:$N$201,MATCH($A63,$L$2:$L$201,0)),"")))</f>
        <v/>
      </c>
      <c r="D63" s="15">
        <f>IF($A63="","",IF(ISNUMBER(MATCH($A63,表單!$A$2:$A$301,0)),"線上表單",IFERROR(INDEX($O$2:$O$201,MATCH($A63,$L$2:$L$201,0)),"")))</f>
        <v/>
      </c>
      <c r="E63" s="15">
        <f>IF($A63="","",IF(ISNUMBER(MATCH($A63,表單!$A$2:$A$301,0)),"本檔","系統"))</f>
        <v/>
      </c>
      <c r="H63">
        <f>IF(AND(表單!$C63="自主檢查表",表單!$A63&lt;&gt;"",COUNTIF($L$2:$L$201,表單!$A63)=0),COUNT($H$1:H62)+1,"")</f>
        <v/>
      </c>
      <c r="J63">
        <f>IF(62&lt;=COUNTA($L$2:$L$201),INDEX($L$2:$L$201,62),IFERROR(INDEX(表單!$A$2:$A$301,MATCH(62-COUNTA($L$2:$L$201),$H$2:$H$301,0)),""))</f>
        <v/>
      </c>
    </row>
    <row r="64">
      <c r="A64" s="15">
        <f>IF($J64="","",$J64)</f>
        <v/>
      </c>
      <c r="B64" s="15">
        <f>IF($A64="","",IF(ISNUMBER(MATCH($A64,表單!$A$2:$A$301,0)),INDEX(表單!$B$2:$B$301,MATCH($A64,表單!$A$2:$A$301,0)),IFERROR(INDEX($M$2:$M$201,MATCH($A64,$L$2:$L$201,0)),"")))</f>
        <v/>
      </c>
      <c r="C64" s="15">
        <f>IF($A64="","",IF(ISNUMBER(MATCH($A64,表單!$A$2:$A$301,0)),IF(TRIM(INDEX(表單!$D$2:$D$301,MATCH($A64,表單!$A$2:$A$301,0)))="","（分項工程層）",INDEX(表單!$D$2:$D$301,MATCH($A64,表單!$A$2:$A$301,0))),IFERROR(INDEX($N$2:$N$201,MATCH($A64,$L$2:$L$201,0)),"")))</f>
        <v/>
      </c>
      <c r="D64" s="15">
        <f>IF($A64="","",IF(ISNUMBER(MATCH($A64,表單!$A$2:$A$301,0)),"線上表單",IFERROR(INDEX($O$2:$O$201,MATCH($A64,$L$2:$L$201,0)),"")))</f>
        <v/>
      </c>
      <c r="E64" s="15">
        <f>IF($A64="","",IF(ISNUMBER(MATCH($A64,表單!$A$2:$A$301,0)),"本檔","系統"))</f>
        <v/>
      </c>
      <c r="H64">
        <f>IF(AND(表單!$C64="自主檢查表",表單!$A64&lt;&gt;"",COUNTIF($L$2:$L$201,表單!$A64)=0),COUNT($H$1:H63)+1,"")</f>
        <v/>
      </c>
      <c r="J64">
        <f>IF(63&lt;=COUNTA($L$2:$L$201),INDEX($L$2:$L$201,63),IFERROR(INDEX(表單!$A$2:$A$301,MATCH(63-COUNTA($L$2:$L$201),$H$2:$H$301,0)),""))</f>
        <v/>
      </c>
    </row>
    <row r="65">
      <c r="A65" s="15">
        <f>IF($J65="","",$J65)</f>
        <v/>
      </c>
      <c r="B65" s="15">
        <f>IF($A65="","",IF(ISNUMBER(MATCH($A65,表單!$A$2:$A$301,0)),INDEX(表單!$B$2:$B$301,MATCH($A65,表單!$A$2:$A$301,0)),IFERROR(INDEX($M$2:$M$201,MATCH($A65,$L$2:$L$201,0)),"")))</f>
        <v/>
      </c>
      <c r="C65" s="15">
        <f>IF($A65="","",IF(ISNUMBER(MATCH($A65,表單!$A$2:$A$301,0)),IF(TRIM(INDEX(表單!$D$2:$D$301,MATCH($A65,表單!$A$2:$A$301,0)))="","（分項工程層）",INDEX(表單!$D$2:$D$301,MATCH($A65,表單!$A$2:$A$301,0))),IFERROR(INDEX($N$2:$N$201,MATCH($A65,$L$2:$L$201,0)),"")))</f>
        <v/>
      </c>
      <c r="D65" s="15">
        <f>IF($A65="","",IF(ISNUMBER(MATCH($A65,表單!$A$2:$A$301,0)),"線上表單",IFERROR(INDEX($O$2:$O$201,MATCH($A65,$L$2:$L$201,0)),"")))</f>
        <v/>
      </c>
      <c r="E65" s="15">
        <f>IF($A65="","",IF(ISNUMBER(MATCH($A65,表單!$A$2:$A$301,0)),"本檔","系統"))</f>
        <v/>
      </c>
      <c r="H65">
        <f>IF(AND(表單!$C65="自主檢查表",表單!$A65&lt;&gt;"",COUNTIF($L$2:$L$201,表單!$A65)=0),COUNT($H$1:H64)+1,"")</f>
        <v/>
      </c>
      <c r="J65">
        <f>IF(64&lt;=COUNTA($L$2:$L$201),INDEX($L$2:$L$201,64),IFERROR(INDEX(表單!$A$2:$A$301,MATCH(64-COUNTA($L$2:$L$201),$H$2:$H$301,0)),""))</f>
        <v/>
      </c>
    </row>
    <row r="66">
      <c r="A66" s="15">
        <f>IF($J66="","",$J66)</f>
        <v/>
      </c>
      <c r="B66" s="15">
        <f>IF($A66="","",IF(ISNUMBER(MATCH($A66,表單!$A$2:$A$301,0)),INDEX(表單!$B$2:$B$301,MATCH($A66,表單!$A$2:$A$301,0)),IFERROR(INDEX($M$2:$M$201,MATCH($A66,$L$2:$L$201,0)),"")))</f>
        <v/>
      </c>
      <c r="C66" s="15">
        <f>IF($A66="","",IF(ISNUMBER(MATCH($A66,表單!$A$2:$A$301,0)),IF(TRIM(INDEX(表單!$D$2:$D$301,MATCH($A66,表單!$A$2:$A$301,0)))="","（分項工程層）",INDEX(表單!$D$2:$D$301,MATCH($A66,表單!$A$2:$A$301,0))),IFERROR(INDEX($N$2:$N$201,MATCH($A66,$L$2:$L$201,0)),"")))</f>
        <v/>
      </c>
      <c r="D66" s="15">
        <f>IF($A66="","",IF(ISNUMBER(MATCH($A66,表單!$A$2:$A$301,0)),"線上表單",IFERROR(INDEX($O$2:$O$201,MATCH($A66,$L$2:$L$201,0)),"")))</f>
        <v/>
      </c>
      <c r="E66" s="15">
        <f>IF($A66="","",IF(ISNUMBER(MATCH($A66,表單!$A$2:$A$301,0)),"本檔","系統"))</f>
        <v/>
      </c>
      <c r="H66">
        <f>IF(AND(表單!$C66="自主檢查表",表單!$A66&lt;&gt;"",COUNTIF($L$2:$L$201,表單!$A66)=0),COUNT($H$1:H65)+1,"")</f>
        <v/>
      </c>
      <c r="J66">
        <f>IF(65&lt;=COUNTA($L$2:$L$201),INDEX($L$2:$L$201,65),IFERROR(INDEX(表單!$A$2:$A$301,MATCH(65-COUNTA($L$2:$L$201),$H$2:$H$301,0)),""))</f>
        <v/>
      </c>
    </row>
    <row r="67">
      <c r="A67" s="15">
        <f>IF($J67="","",$J67)</f>
        <v/>
      </c>
      <c r="B67" s="15">
        <f>IF($A67="","",IF(ISNUMBER(MATCH($A67,表單!$A$2:$A$301,0)),INDEX(表單!$B$2:$B$301,MATCH($A67,表單!$A$2:$A$301,0)),IFERROR(INDEX($M$2:$M$201,MATCH($A67,$L$2:$L$201,0)),"")))</f>
        <v/>
      </c>
      <c r="C67" s="15">
        <f>IF($A67="","",IF(ISNUMBER(MATCH($A67,表單!$A$2:$A$301,0)),IF(TRIM(INDEX(表單!$D$2:$D$301,MATCH($A67,表單!$A$2:$A$301,0)))="","（分項工程層）",INDEX(表單!$D$2:$D$301,MATCH($A67,表單!$A$2:$A$301,0))),IFERROR(INDEX($N$2:$N$201,MATCH($A67,$L$2:$L$201,0)),"")))</f>
        <v/>
      </c>
      <c r="D67" s="15">
        <f>IF($A67="","",IF(ISNUMBER(MATCH($A67,表單!$A$2:$A$301,0)),"線上表單",IFERROR(INDEX($O$2:$O$201,MATCH($A67,$L$2:$L$201,0)),"")))</f>
        <v/>
      </c>
      <c r="E67" s="15">
        <f>IF($A67="","",IF(ISNUMBER(MATCH($A67,表單!$A$2:$A$301,0)),"本檔","系統"))</f>
        <v/>
      </c>
      <c r="H67">
        <f>IF(AND(表單!$C67="自主檢查表",表單!$A67&lt;&gt;"",COUNTIF($L$2:$L$201,表單!$A67)=0),COUNT($H$1:H66)+1,"")</f>
        <v/>
      </c>
      <c r="J67">
        <f>IF(66&lt;=COUNTA($L$2:$L$201),INDEX($L$2:$L$201,66),IFERROR(INDEX(表單!$A$2:$A$301,MATCH(66-COUNTA($L$2:$L$201),$H$2:$H$301,0)),""))</f>
        <v/>
      </c>
    </row>
    <row r="68">
      <c r="A68" s="15">
        <f>IF($J68="","",$J68)</f>
        <v/>
      </c>
      <c r="B68" s="15">
        <f>IF($A68="","",IF(ISNUMBER(MATCH($A68,表單!$A$2:$A$301,0)),INDEX(表單!$B$2:$B$301,MATCH($A68,表單!$A$2:$A$301,0)),IFERROR(INDEX($M$2:$M$201,MATCH($A68,$L$2:$L$201,0)),"")))</f>
        <v/>
      </c>
      <c r="C68" s="15">
        <f>IF($A68="","",IF(ISNUMBER(MATCH($A68,表單!$A$2:$A$301,0)),IF(TRIM(INDEX(表單!$D$2:$D$301,MATCH($A68,表單!$A$2:$A$301,0)))="","（分項工程層）",INDEX(表單!$D$2:$D$301,MATCH($A68,表單!$A$2:$A$301,0))),IFERROR(INDEX($N$2:$N$201,MATCH($A68,$L$2:$L$201,0)),"")))</f>
        <v/>
      </c>
      <c r="D68" s="15">
        <f>IF($A68="","",IF(ISNUMBER(MATCH($A68,表單!$A$2:$A$301,0)),"線上表單",IFERROR(INDEX($O$2:$O$201,MATCH($A68,$L$2:$L$201,0)),"")))</f>
        <v/>
      </c>
      <c r="E68" s="15">
        <f>IF($A68="","",IF(ISNUMBER(MATCH($A68,表單!$A$2:$A$301,0)),"本檔","系統"))</f>
        <v/>
      </c>
      <c r="H68">
        <f>IF(AND(表單!$C68="自主檢查表",表單!$A68&lt;&gt;"",COUNTIF($L$2:$L$201,表單!$A68)=0),COUNT($H$1:H67)+1,"")</f>
        <v/>
      </c>
      <c r="J68">
        <f>IF(67&lt;=COUNTA($L$2:$L$201),INDEX($L$2:$L$201,67),IFERROR(INDEX(表單!$A$2:$A$301,MATCH(67-COUNTA($L$2:$L$201),$H$2:$H$301,0)),""))</f>
        <v/>
      </c>
    </row>
    <row r="69">
      <c r="A69" s="15">
        <f>IF($J69="","",$J69)</f>
        <v/>
      </c>
      <c r="B69" s="15">
        <f>IF($A69="","",IF(ISNUMBER(MATCH($A69,表單!$A$2:$A$301,0)),INDEX(表單!$B$2:$B$301,MATCH($A69,表單!$A$2:$A$301,0)),IFERROR(INDEX($M$2:$M$201,MATCH($A69,$L$2:$L$201,0)),"")))</f>
        <v/>
      </c>
      <c r="C69" s="15">
        <f>IF($A69="","",IF(ISNUMBER(MATCH($A69,表單!$A$2:$A$301,0)),IF(TRIM(INDEX(表單!$D$2:$D$301,MATCH($A69,表單!$A$2:$A$301,0)))="","（分項工程層）",INDEX(表單!$D$2:$D$301,MATCH($A69,表單!$A$2:$A$301,0))),IFERROR(INDEX($N$2:$N$201,MATCH($A69,$L$2:$L$201,0)),"")))</f>
        <v/>
      </c>
      <c r="D69" s="15">
        <f>IF($A69="","",IF(ISNUMBER(MATCH($A69,表單!$A$2:$A$301,0)),"線上表單",IFERROR(INDEX($O$2:$O$201,MATCH($A69,$L$2:$L$201,0)),"")))</f>
        <v/>
      </c>
      <c r="E69" s="15">
        <f>IF($A69="","",IF(ISNUMBER(MATCH($A69,表單!$A$2:$A$301,0)),"本檔","系統"))</f>
        <v/>
      </c>
      <c r="H69">
        <f>IF(AND(表單!$C69="自主檢查表",表單!$A69&lt;&gt;"",COUNTIF($L$2:$L$201,表單!$A69)=0),COUNT($H$1:H68)+1,"")</f>
        <v/>
      </c>
      <c r="J69">
        <f>IF(68&lt;=COUNTA($L$2:$L$201),INDEX($L$2:$L$201,68),IFERROR(INDEX(表單!$A$2:$A$301,MATCH(68-COUNTA($L$2:$L$201),$H$2:$H$301,0)),""))</f>
        <v/>
      </c>
    </row>
    <row r="70">
      <c r="A70" s="15">
        <f>IF($J70="","",$J70)</f>
        <v/>
      </c>
      <c r="B70" s="15">
        <f>IF($A70="","",IF(ISNUMBER(MATCH($A70,表單!$A$2:$A$301,0)),INDEX(表單!$B$2:$B$301,MATCH($A70,表單!$A$2:$A$301,0)),IFERROR(INDEX($M$2:$M$201,MATCH($A70,$L$2:$L$201,0)),"")))</f>
        <v/>
      </c>
      <c r="C70" s="15">
        <f>IF($A70="","",IF(ISNUMBER(MATCH($A70,表單!$A$2:$A$301,0)),IF(TRIM(INDEX(表單!$D$2:$D$301,MATCH($A70,表單!$A$2:$A$301,0)))="","（分項工程層）",INDEX(表單!$D$2:$D$301,MATCH($A70,表單!$A$2:$A$301,0))),IFERROR(INDEX($N$2:$N$201,MATCH($A70,$L$2:$L$201,0)),"")))</f>
        <v/>
      </c>
      <c r="D70" s="15">
        <f>IF($A70="","",IF(ISNUMBER(MATCH($A70,表單!$A$2:$A$301,0)),"線上表單",IFERROR(INDEX($O$2:$O$201,MATCH($A70,$L$2:$L$201,0)),"")))</f>
        <v/>
      </c>
      <c r="E70" s="15">
        <f>IF($A70="","",IF(ISNUMBER(MATCH($A70,表單!$A$2:$A$301,0)),"本檔","系統"))</f>
        <v/>
      </c>
      <c r="H70">
        <f>IF(AND(表單!$C70="自主檢查表",表單!$A70&lt;&gt;"",COUNTIF($L$2:$L$201,表單!$A70)=0),COUNT($H$1:H69)+1,"")</f>
        <v/>
      </c>
      <c r="J70">
        <f>IF(69&lt;=COUNTA($L$2:$L$201),INDEX($L$2:$L$201,69),IFERROR(INDEX(表單!$A$2:$A$301,MATCH(69-COUNTA($L$2:$L$201),$H$2:$H$301,0)),""))</f>
        <v/>
      </c>
    </row>
    <row r="71">
      <c r="A71" s="15">
        <f>IF($J71="","",$J71)</f>
        <v/>
      </c>
      <c r="B71" s="15">
        <f>IF($A71="","",IF(ISNUMBER(MATCH($A71,表單!$A$2:$A$301,0)),INDEX(表單!$B$2:$B$301,MATCH($A71,表單!$A$2:$A$301,0)),IFERROR(INDEX($M$2:$M$201,MATCH($A71,$L$2:$L$201,0)),"")))</f>
        <v/>
      </c>
      <c r="C71" s="15">
        <f>IF($A71="","",IF(ISNUMBER(MATCH($A71,表單!$A$2:$A$301,0)),IF(TRIM(INDEX(表單!$D$2:$D$301,MATCH($A71,表單!$A$2:$A$301,0)))="","（分項工程層）",INDEX(表單!$D$2:$D$301,MATCH($A71,表單!$A$2:$A$301,0))),IFERROR(INDEX($N$2:$N$201,MATCH($A71,$L$2:$L$201,0)),"")))</f>
        <v/>
      </c>
      <c r="D71" s="15">
        <f>IF($A71="","",IF(ISNUMBER(MATCH($A71,表單!$A$2:$A$301,0)),"線上表單",IFERROR(INDEX($O$2:$O$201,MATCH($A71,$L$2:$L$201,0)),"")))</f>
        <v/>
      </c>
      <c r="E71" s="15">
        <f>IF($A71="","",IF(ISNUMBER(MATCH($A71,表單!$A$2:$A$301,0)),"本檔","系統"))</f>
        <v/>
      </c>
      <c r="H71">
        <f>IF(AND(表單!$C71="自主檢查表",表單!$A71&lt;&gt;"",COUNTIF($L$2:$L$201,表單!$A71)=0),COUNT($H$1:H70)+1,"")</f>
        <v/>
      </c>
      <c r="J71">
        <f>IF(70&lt;=COUNTA($L$2:$L$201),INDEX($L$2:$L$201,70),IFERROR(INDEX(表單!$A$2:$A$301,MATCH(70-COUNTA($L$2:$L$201),$H$2:$H$301,0)),""))</f>
        <v/>
      </c>
    </row>
    <row r="72">
      <c r="A72" s="15">
        <f>IF($J72="","",$J72)</f>
        <v/>
      </c>
      <c r="B72" s="15">
        <f>IF($A72="","",IF(ISNUMBER(MATCH($A72,表單!$A$2:$A$301,0)),INDEX(表單!$B$2:$B$301,MATCH($A72,表單!$A$2:$A$301,0)),IFERROR(INDEX($M$2:$M$201,MATCH($A72,$L$2:$L$201,0)),"")))</f>
        <v/>
      </c>
      <c r="C72" s="15">
        <f>IF($A72="","",IF(ISNUMBER(MATCH($A72,表單!$A$2:$A$301,0)),IF(TRIM(INDEX(表單!$D$2:$D$301,MATCH($A72,表單!$A$2:$A$301,0)))="","（分項工程層）",INDEX(表單!$D$2:$D$301,MATCH($A72,表單!$A$2:$A$301,0))),IFERROR(INDEX($N$2:$N$201,MATCH($A72,$L$2:$L$201,0)),"")))</f>
        <v/>
      </c>
      <c r="D72" s="15">
        <f>IF($A72="","",IF(ISNUMBER(MATCH($A72,表單!$A$2:$A$301,0)),"線上表單",IFERROR(INDEX($O$2:$O$201,MATCH($A72,$L$2:$L$201,0)),"")))</f>
        <v/>
      </c>
      <c r="E72" s="15">
        <f>IF($A72="","",IF(ISNUMBER(MATCH($A72,表單!$A$2:$A$301,0)),"本檔","系統"))</f>
        <v/>
      </c>
      <c r="H72">
        <f>IF(AND(表單!$C72="自主檢查表",表單!$A72&lt;&gt;"",COUNTIF($L$2:$L$201,表單!$A72)=0),COUNT($H$1:H71)+1,"")</f>
        <v/>
      </c>
      <c r="J72">
        <f>IF(71&lt;=COUNTA($L$2:$L$201),INDEX($L$2:$L$201,71),IFERROR(INDEX(表單!$A$2:$A$301,MATCH(71-COUNTA($L$2:$L$201),$H$2:$H$301,0)),""))</f>
        <v/>
      </c>
    </row>
    <row r="73">
      <c r="A73" s="15">
        <f>IF($J73="","",$J73)</f>
        <v/>
      </c>
      <c r="B73" s="15">
        <f>IF($A73="","",IF(ISNUMBER(MATCH($A73,表單!$A$2:$A$301,0)),INDEX(表單!$B$2:$B$301,MATCH($A73,表單!$A$2:$A$301,0)),IFERROR(INDEX($M$2:$M$201,MATCH($A73,$L$2:$L$201,0)),"")))</f>
        <v/>
      </c>
      <c r="C73" s="15">
        <f>IF($A73="","",IF(ISNUMBER(MATCH($A73,表單!$A$2:$A$301,0)),IF(TRIM(INDEX(表單!$D$2:$D$301,MATCH($A73,表單!$A$2:$A$301,0)))="","（分項工程層）",INDEX(表單!$D$2:$D$301,MATCH($A73,表單!$A$2:$A$301,0))),IFERROR(INDEX($N$2:$N$201,MATCH($A73,$L$2:$L$201,0)),"")))</f>
        <v/>
      </c>
      <c r="D73" s="15">
        <f>IF($A73="","",IF(ISNUMBER(MATCH($A73,表單!$A$2:$A$301,0)),"線上表單",IFERROR(INDEX($O$2:$O$201,MATCH($A73,$L$2:$L$201,0)),"")))</f>
        <v/>
      </c>
      <c r="E73" s="15">
        <f>IF($A73="","",IF(ISNUMBER(MATCH($A73,表單!$A$2:$A$301,0)),"本檔","系統"))</f>
        <v/>
      </c>
      <c r="H73">
        <f>IF(AND(表單!$C73="自主檢查表",表單!$A73&lt;&gt;"",COUNTIF($L$2:$L$201,表單!$A73)=0),COUNT($H$1:H72)+1,"")</f>
        <v/>
      </c>
      <c r="J73">
        <f>IF(72&lt;=COUNTA($L$2:$L$201),INDEX($L$2:$L$201,72),IFERROR(INDEX(表單!$A$2:$A$301,MATCH(72-COUNTA($L$2:$L$201),$H$2:$H$301,0)),""))</f>
        <v/>
      </c>
    </row>
    <row r="74">
      <c r="A74" s="15">
        <f>IF($J74="","",$J74)</f>
        <v/>
      </c>
      <c r="B74" s="15">
        <f>IF($A74="","",IF(ISNUMBER(MATCH($A74,表單!$A$2:$A$301,0)),INDEX(表單!$B$2:$B$301,MATCH($A74,表單!$A$2:$A$301,0)),IFERROR(INDEX($M$2:$M$201,MATCH($A74,$L$2:$L$201,0)),"")))</f>
        <v/>
      </c>
      <c r="C74" s="15">
        <f>IF($A74="","",IF(ISNUMBER(MATCH($A74,表單!$A$2:$A$301,0)),IF(TRIM(INDEX(表單!$D$2:$D$301,MATCH($A74,表單!$A$2:$A$301,0)))="","（分項工程層）",INDEX(表單!$D$2:$D$301,MATCH($A74,表單!$A$2:$A$301,0))),IFERROR(INDEX($N$2:$N$201,MATCH($A74,$L$2:$L$201,0)),"")))</f>
        <v/>
      </c>
      <c r="D74" s="15">
        <f>IF($A74="","",IF(ISNUMBER(MATCH($A74,表單!$A$2:$A$301,0)),"線上表單",IFERROR(INDEX($O$2:$O$201,MATCH($A74,$L$2:$L$201,0)),"")))</f>
        <v/>
      </c>
      <c r="E74" s="15">
        <f>IF($A74="","",IF(ISNUMBER(MATCH($A74,表單!$A$2:$A$301,0)),"本檔","系統"))</f>
        <v/>
      </c>
      <c r="H74">
        <f>IF(AND(表單!$C74="自主檢查表",表單!$A74&lt;&gt;"",COUNTIF($L$2:$L$201,表單!$A74)=0),COUNT($H$1:H73)+1,"")</f>
        <v/>
      </c>
      <c r="J74">
        <f>IF(73&lt;=COUNTA($L$2:$L$201),INDEX($L$2:$L$201,73),IFERROR(INDEX(表單!$A$2:$A$301,MATCH(73-COUNTA($L$2:$L$201),$H$2:$H$301,0)),""))</f>
        <v/>
      </c>
    </row>
    <row r="75">
      <c r="A75" s="15">
        <f>IF($J75="","",$J75)</f>
        <v/>
      </c>
      <c r="B75" s="15">
        <f>IF($A75="","",IF(ISNUMBER(MATCH($A75,表單!$A$2:$A$301,0)),INDEX(表單!$B$2:$B$301,MATCH($A75,表單!$A$2:$A$301,0)),IFERROR(INDEX($M$2:$M$201,MATCH($A75,$L$2:$L$201,0)),"")))</f>
        <v/>
      </c>
      <c r="C75" s="15">
        <f>IF($A75="","",IF(ISNUMBER(MATCH($A75,表單!$A$2:$A$301,0)),IF(TRIM(INDEX(表單!$D$2:$D$301,MATCH($A75,表單!$A$2:$A$301,0)))="","（分項工程層）",INDEX(表單!$D$2:$D$301,MATCH($A75,表單!$A$2:$A$301,0))),IFERROR(INDEX($N$2:$N$201,MATCH($A75,$L$2:$L$201,0)),"")))</f>
        <v/>
      </c>
      <c r="D75" s="15">
        <f>IF($A75="","",IF(ISNUMBER(MATCH($A75,表單!$A$2:$A$301,0)),"線上表單",IFERROR(INDEX($O$2:$O$201,MATCH($A75,$L$2:$L$201,0)),"")))</f>
        <v/>
      </c>
      <c r="E75" s="15">
        <f>IF($A75="","",IF(ISNUMBER(MATCH($A75,表單!$A$2:$A$301,0)),"本檔","系統"))</f>
        <v/>
      </c>
      <c r="H75">
        <f>IF(AND(表單!$C75="自主檢查表",表單!$A75&lt;&gt;"",COUNTIF($L$2:$L$201,表單!$A75)=0),COUNT($H$1:H74)+1,"")</f>
        <v/>
      </c>
      <c r="J75">
        <f>IF(74&lt;=COUNTA($L$2:$L$201),INDEX($L$2:$L$201,74),IFERROR(INDEX(表單!$A$2:$A$301,MATCH(74-COUNTA($L$2:$L$201),$H$2:$H$301,0)),""))</f>
        <v/>
      </c>
    </row>
    <row r="76">
      <c r="A76" s="15">
        <f>IF($J76="","",$J76)</f>
        <v/>
      </c>
      <c r="B76" s="15">
        <f>IF($A76="","",IF(ISNUMBER(MATCH($A76,表單!$A$2:$A$301,0)),INDEX(表單!$B$2:$B$301,MATCH($A76,表單!$A$2:$A$301,0)),IFERROR(INDEX($M$2:$M$201,MATCH($A76,$L$2:$L$201,0)),"")))</f>
        <v/>
      </c>
      <c r="C76" s="15">
        <f>IF($A76="","",IF(ISNUMBER(MATCH($A76,表單!$A$2:$A$301,0)),IF(TRIM(INDEX(表單!$D$2:$D$301,MATCH($A76,表單!$A$2:$A$301,0)))="","（分項工程層）",INDEX(表單!$D$2:$D$301,MATCH($A76,表單!$A$2:$A$301,0))),IFERROR(INDEX($N$2:$N$201,MATCH($A76,$L$2:$L$201,0)),"")))</f>
        <v/>
      </c>
      <c r="D76" s="15">
        <f>IF($A76="","",IF(ISNUMBER(MATCH($A76,表單!$A$2:$A$301,0)),"線上表單",IFERROR(INDEX($O$2:$O$201,MATCH($A76,$L$2:$L$201,0)),"")))</f>
        <v/>
      </c>
      <c r="E76" s="15">
        <f>IF($A76="","",IF(ISNUMBER(MATCH($A76,表單!$A$2:$A$301,0)),"本檔","系統"))</f>
        <v/>
      </c>
      <c r="H76">
        <f>IF(AND(表單!$C76="自主檢查表",表單!$A76&lt;&gt;"",COUNTIF($L$2:$L$201,表單!$A76)=0),COUNT($H$1:H75)+1,"")</f>
        <v/>
      </c>
      <c r="J76">
        <f>IF(75&lt;=COUNTA($L$2:$L$201),INDEX($L$2:$L$201,75),IFERROR(INDEX(表單!$A$2:$A$301,MATCH(75-COUNTA($L$2:$L$201),$H$2:$H$301,0)),""))</f>
        <v/>
      </c>
    </row>
    <row r="77">
      <c r="A77" s="15">
        <f>IF($J77="","",$J77)</f>
        <v/>
      </c>
      <c r="B77" s="15">
        <f>IF($A77="","",IF(ISNUMBER(MATCH($A77,表單!$A$2:$A$301,0)),INDEX(表單!$B$2:$B$301,MATCH($A77,表單!$A$2:$A$301,0)),IFERROR(INDEX($M$2:$M$201,MATCH($A77,$L$2:$L$201,0)),"")))</f>
        <v/>
      </c>
      <c r="C77" s="15">
        <f>IF($A77="","",IF(ISNUMBER(MATCH($A77,表單!$A$2:$A$301,0)),IF(TRIM(INDEX(表單!$D$2:$D$301,MATCH($A77,表單!$A$2:$A$301,0)))="","（分項工程層）",INDEX(表單!$D$2:$D$301,MATCH($A77,表單!$A$2:$A$301,0))),IFERROR(INDEX($N$2:$N$201,MATCH($A77,$L$2:$L$201,0)),"")))</f>
        <v/>
      </c>
      <c r="D77" s="15">
        <f>IF($A77="","",IF(ISNUMBER(MATCH($A77,表單!$A$2:$A$301,0)),"線上表單",IFERROR(INDEX($O$2:$O$201,MATCH($A77,$L$2:$L$201,0)),"")))</f>
        <v/>
      </c>
      <c r="E77" s="15">
        <f>IF($A77="","",IF(ISNUMBER(MATCH($A77,表單!$A$2:$A$301,0)),"本檔","系統"))</f>
        <v/>
      </c>
      <c r="H77">
        <f>IF(AND(表單!$C77="自主檢查表",表單!$A77&lt;&gt;"",COUNTIF($L$2:$L$201,表單!$A77)=0),COUNT($H$1:H76)+1,"")</f>
        <v/>
      </c>
      <c r="J77">
        <f>IF(76&lt;=COUNTA($L$2:$L$201),INDEX($L$2:$L$201,76),IFERROR(INDEX(表單!$A$2:$A$301,MATCH(76-COUNTA($L$2:$L$201),$H$2:$H$301,0)),""))</f>
        <v/>
      </c>
    </row>
    <row r="78">
      <c r="A78" s="15">
        <f>IF($J78="","",$J78)</f>
        <v/>
      </c>
      <c r="B78" s="15">
        <f>IF($A78="","",IF(ISNUMBER(MATCH($A78,表單!$A$2:$A$301,0)),INDEX(表單!$B$2:$B$301,MATCH($A78,表單!$A$2:$A$301,0)),IFERROR(INDEX($M$2:$M$201,MATCH($A78,$L$2:$L$201,0)),"")))</f>
        <v/>
      </c>
      <c r="C78" s="15">
        <f>IF($A78="","",IF(ISNUMBER(MATCH($A78,表單!$A$2:$A$301,0)),IF(TRIM(INDEX(表單!$D$2:$D$301,MATCH($A78,表單!$A$2:$A$301,0)))="","（分項工程層）",INDEX(表單!$D$2:$D$301,MATCH($A78,表單!$A$2:$A$301,0))),IFERROR(INDEX($N$2:$N$201,MATCH($A78,$L$2:$L$201,0)),"")))</f>
        <v/>
      </c>
      <c r="D78" s="15">
        <f>IF($A78="","",IF(ISNUMBER(MATCH($A78,表單!$A$2:$A$301,0)),"線上表單",IFERROR(INDEX($O$2:$O$201,MATCH($A78,$L$2:$L$201,0)),"")))</f>
        <v/>
      </c>
      <c r="E78" s="15">
        <f>IF($A78="","",IF(ISNUMBER(MATCH($A78,表單!$A$2:$A$301,0)),"本檔","系統"))</f>
        <v/>
      </c>
      <c r="H78">
        <f>IF(AND(表單!$C78="自主檢查表",表單!$A78&lt;&gt;"",COUNTIF($L$2:$L$201,表單!$A78)=0),COUNT($H$1:H77)+1,"")</f>
        <v/>
      </c>
      <c r="J78">
        <f>IF(77&lt;=COUNTA($L$2:$L$201),INDEX($L$2:$L$201,77),IFERROR(INDEX(表單!$A$2:$A$301,MATCH(77-COUNTA($L$2:$L$201),$H$2:$H$301,0)),""))</f>
        <v/>
      </c>
    </row>
    <row r="79">
      <c r="A79" s="15">
        <f>IF($J79="","",$J79)</f>
        <v/>
      </c>
      <c r="B79" s="15">
        <f>IF($A79="","",IF(ISNUMBER(MATCH($A79,表單!$A$2:$A$301,0)),INDEX(表單!$B$2:$B$301,MATCH($A79,表單!$A$2:$A$301,0)),IFERROR(INDEX($M$2:$M$201,MATCH($A79,$L$2:$L$201,0)),"")))</f>
        <v/>
      </c>
      <c r="C79" s="15">
        <f>IF($A79="","",IF(ISNUMBER(MATCH($A79,表單!$A$2:$A$301,0)),IF(TRIM(INDEX(表單!$D$2:$D$301,MATCH($A79,表單!$A$2:$A$301,0)))="","（分項工程層）",INDEX(表單!$D$2:$D$301,MATCH($A79,表單!$A$2:$A$301,0))),IFERROR(INDEX($N$2:$N$201,MATCH($A79,$L$2:$L$201,0)),"")))</f>
        <v/>
      </c>
      <c r="D79" s="15">
        <f>IF($A79="","",IF(ISNUMBER(MATCH($A79,表單!$A$2:$A$301,0)),"線上表單",IFERROR(INDEX($O$2:$O$201,MATCH($A79,$L$2:$L$201,0)),"")))</f>
        <v/>
      </c>
      <c r="E79" s="15">
        <f>IF($A79="","",IF(ISNUMBER(MATCH($A79,表單!$A$2:$A$301,0)),"本檔","系統"))</f>
        <v/>
      </c>
      <c r="H79">
        <f>IF(AND(表單!$C79="自主檢查表",表單!$A79&lt;&gt;"",COUNTIF($L$2:$L$201,表單!$A79)=0),COUNT($H$1:H78)+1,"")</f>
        <v/>
      </c>
      <c r="J79">
        <f>IF(78&lt;=COUNTA($L$2:$L$201),INDEX($L$2:$L$201,78),IFERROR(INDEX(表單!$A$2:$A$301,MATCH(78-COUNTA($L$2:$L$201),$H$2:$H$301,0)),""))</f>
        <v/>
      </c>
    </row>
    <row r="80">
      <c r="A80" s="15">
        <f>IF($J80="","",$J80)</f>
        <v/>
      </c>
      <c r="B80" s="15">
        <f>IF($A80="","",IF(ISNUMBER(MATCH($A80,表單!$A$2:$A$301,0)),INDEX(表單!$B$2:$B$301,MATCH($A80,表單!$A$2:$A$301,0)),IFERROR(INDEX($M$2:$M$201,MATCH($A80,$L$2:$L$201,0)),"")))</f>
        <v/>
      </c>
      <c r="C80" s="15">
        <f>IF($A80="","",IF(ISNUMBER(MATCH($A80,表單!$A$2:$A$301,0)),IF(TRIM(INDEX(表單!$D$2:$D$301,MATCH($A80,表單!$A$2:$A$301,0)))="","（分項工程層）",INDEX(表單!$D$2:$D$301,MATCH($A80,表單!$A$2:$A$301,0))),IFERROR(INDEX($N$2:$N$201,MATCH($A80,$L$2:$L$201,0)),"")))</f>
        <v/>
      </c>
      <c r="D80" s="15">
        <f>IF($A80="","",IF(ISNUMBER(MATCH($A80,表單!$A$2:$A$301,0)),"線上表單",IFERROR(INDEX($O$2:$O$201,MATCH($A80,$L$2:$L$201,0)),"")))</f>
        <v/>
      </c>
      <c r="E80" s="15">
        <f>IF($A80="","",IF(ISNUMBER(MATCH($A80,表單!$A$2:$A$301,0)),"本檔","系統"))</f>
        <v/>
      </c>
      <c r="H80">
        <f>IF(AND(表單!$C80="自主檢查表",表單!$A80&lt;&gt;"",COUNTIF($L$2:$L$201,表單!$A80)=0),COUNT($H$1:H79)+1,"")</f>
        <v/>
      </c>
      <c r="J80">
        <f>IF(79&lt;=COUNTA($L$2:$L$201),INDEX($L$2:$L$201,79),IFERROR(INDEX(表單!$A$2:$A$301,MATCH(79-COUNTA($L$2:$L$201),$H$2:$H$301,0)),""))</f>
        <v/>
      </c>
    </row>
    <row r="81">
      <c r="A81" s="15">
        <f>IF($J81="","",$J81)</f>
        <v/>
      </c>
      <c r="B81" s="15">
        <f>IF($A81="","",IF(ISNUMBER(MATCH($A81,表單!$A$2:$A$301,0)),INDEX(表單!$B$2:$B$301,MATCH($A81,表單!$A$2:$A$301,0)),IFERROR(INDEX($M$2:$M$201,MATCH($A81,$L$2:$L$201,0)),"")))</f>
        <v/>
      </c>
      <c r="C81" s="15">
        <f>IF($A81="","",IF(ISNUMBER(MATCH($A81,表單!$A$2:$A$301,0)),IF(TRIM(INDEX(表單!$D$2:$D$301,MATCH($A81,表單!$A$2:$A$301,0)))="","（分項工程層）",INDEX(表單!$D$2:$D$301,MATCH($A81,表單!$A$2:$A$301,0))),IFERROR(INDEX($N$2:$N$201,MATCH($A81,$L$2:$L$201,0)),"")))</f>
        <v/>
      </c>
      <c r="D81" s="15">
        <f>IF($A81="","",IF(ISNUMBER(MATCH($A81,表單!$A$2:$A$301,0)),"線上表單",IFERROR(INDEX($O$2:$O$201,MATCH($A81,$L$2:$L$201,0)),"")))</f>
        <v/>
      </c>
      <c r="E81" s="15">
        <f>IF($A81="","",IF(ISNUMBER(MATCH($A81,表單!$A$2:$A$301,0)),"本檔","系統"))</f>
        <v/>
      </c>
      <c r="H81">
        <f>IF(AND(表單!$C81="自主檢查表",表單!$A81&lt;&gt;"",COUNTIF($L$2:$L$201,表單!$A81)=0),COUNT($H$1:H80)+1,"")</f>
        <v/>
      </c>
      <c r="J81">
        <f>IF(80&lt;=COUNTA($L$2:$L$201),INDEX($L$2:$L$201,80),IFERROR(INDEX(表單!$A$2:$A$301,MATCH(80-COUNTA($L$2:$L$201),$H$2:$H$301,0)),""))</f>
        <v/>
      </c>
    </row>
    <row r="82">
      <c r="A82" s="15">
        <f>IF($J82="","",$J82)</f>
        <v/>
      </c>
      <c r="B82" s="15">
        <f>IF($A82="","",IF(ISNUMBER(MATCH($A82,表單!$A$2:$A$301,0)),INDEX(表單!$B$2:$B$301,MATCH($A82,表單!$A$2:$A$301,0)),IFERROR(INDEX($M$2:$M$201,MATCH($A82,$L$2:$L$201,0)),"")))</f>
        <v/>
      </c>
      <c r="C82" s="15">
        <f>IF($A82="","",IF(ISNUMBER(MATCH($A82,表單!$A$2:$A$301,0)),IF(TRIM(INDEX(表單!$D$2:$D$301,MATCH($A82,表單!$A$2:$A$301,0)))="","（分項工程層）",INDEX(表單!$D$2:$D$301,MATCH($A82,表單!$A$2:$A$301,0))),IFERROR(INDEX($N$2:$N$201,MATCH($A82,$L$2:$L$201,0)),"")))</f>
        <v/>
      </c>
      <c r="D82" s="15">
        <f>IF($A82="","",IF(ISNUMBER(MATCH($A82,表單!$A$2:$A$301,0)),"線上表單",IFERROR(INDEX($O$2:$O$201,MATCH($A82,$L$2:$L$201,0)),"")))</f>
        <v/>
      </c>
      <c r="E82" s="15">
        <f>IF($A82="","",IF(ISNUMBER(MATCH($A82,表單!$A$2:$A$301,0)),"本檔","系統"))</f>
        <v/>
      </c>
      <c r="H82">
        <f>IF(AND(表單!$C82="自主檢查表",表單!$A82&lt;&gt;"",COUNTIF($L$2:$L$201,表單!$A82)=0),COUNT($H$1:H81)+1,"")</f>
        <v/>
      </c>
      <c r="J82">
        <f>IF(81&lt;=COUNTA($L$2:$L$201),INDEX($L$2:$L$201,81),IFERROR(INDEX(表單!$A$2:$A$301,MATCH(81-COUNTA($L$2:$L$201),$H$2:$H$301,0)),""))</f>
        <v/>
      </c>
    </row>
    <row r="83">
      <c r="A83" s="15">
        <f>IF($J83="","",$J83)</f>
        <v/>
      </c>
      <c r="B83" s="15">
        <f>IF($A83="","",IF(ISNUMBER(MATCH($A83,表單!$A$2:$A$301,0)),INDEX(表單!$B$2:$B$301,MATCH($A83,表單!$A$2:$A$301,0)),IFERROR(INDEX($M$2:$M$201,MATCH($A83,$L$2:$L$201,0)),"")))</f>
        <v/>
      </c>
      <c r="C83" s="15">
        <f>IF($A83="","",IF(ISNUMBER(MATCH($A83,表單!$A$2:$A$301,0)),IF(TRIM(INDEX(表單!$D$2:$D$301,MATCH($A83,表單!$A$2:$A$301,0)))="","（分項工程層）",INDEX(表單!$D$2:$D$301,MATCH($A83,表單!$A$2:$A$301,0))),IFERROR(INDEX($N$2:$N$201,MATCH($A83,$L$2:$L$201,0)),"")))</f>
        <v/>
      </c>
      <c r="D83" s="15">
        <f>IF($A83="","",IF(ISNUMBER(MATCH($A83,表單!$A$2:$A$301,0)),"線上表單",IFERROR(INDEX($O$2:$O$201,MATCH($A83,$L$2:$L$201,0)),"")))</f>
        <v/>
      </c>
      <c r="E83" s="15">
        <f>IF($A83="","",IF(ISNUMBER(MATCH($A83,表單!$A$2:$A$301,0)),"本檔","系統"))</f>
        <v/>
      </c>
      <c r="H83">
        <f>IF(AND(表單!$C83="自主檢查表",表單!$A83&lt;&gt;"",COUNTIF($L$2:$L$201,表單!$A83)=0),COUNT($H$1:H82)+1,"")</f>
        <v/>
      </c>
      <c r="J83">
        <f>IF(82&lt;=COUNTA($L$2:$L$201),INDEX($L$2:$L$201,82),IFERROR(INDEX(表單!$A$2:$A$301,MATCH(82-COUNTA($L$2:$L$201),$H$2:$H$301,0)),""))</f>
        <v/>
      </c>
    </row>
    <row r="84">
      <c r="A84" s="15">
        <f>IF($J84="","",$J84)</f>
        <v/>
      </c>
      <c r="B84" s="15">
        <f>IF($A84="","",IF(ISNUMBER(MATCH($A84,表單!$A$2:$A$301,0)),INDEX(表單!$B$2:$B$301,MATCH($A84,表單!$A$2:$A$301,0)),IFERROR(INDEX($M$2:$M$201,MATCH($A84,$L$2:$L$201,0)),"")))</f>
        <v/>
      </c>
      <c r="C84" s="15">
        <f>IF($A84="","",IF(ISNUMBER(MATCH($A84,表單!$A$2:$A$301,0)),IF(TRIM(INDEX(表單!$D$2:$D$301,MATCH($A84,表單!$A$2:$A$301,0)))="","（分項工程層）",INDEX(表單!$D$2:$D$301,MATCH($A84,表單!$A$2:$A$301,0))),IFERROR(INDEX($N$2:$N$201,MATCH($A84,$L$2:$L$201,0)),"")))</f>
        <v/>
      </c>
      <c r="D84" s="15">
        <f>IF($A84="","",IF(ISNUMBER(MATCH($A84,表單!$A$2:$A$301,0)),"線上表單",IFERROR(INDEX($O$2:$O$201,MATCH($A84,$L$2:$L$201,0)),"")))</f>
        <v/>
      </c>
      <c r="E84" s="15">
        <f>IF($A84="","",IF(ISNUMBER(MATCH($A84,表單!$A$2:$A$301,0)),"本檔","系統"))</f>
        <v/>
      </c>
      <c r="H84">
        <f>IF(AND(表單!$C84="自主檢查表",表單!$A84&lt;&gt;"",COUNTIF($L$2:$L$201,表單!$A84)=0),COUNT($H$1:H83)+1,"")</f>
        <v/>
      </c>
      <c r="J84">
        <f>IF(83&lt;=COUNTA($L$2:$L$201),INDEX($L$2:$L$201,83),IFERROR(INDEX(表單!$A$2:$A$301,MATCH(83-COUNTA($L$2:$L$201),$H$2:$H$301,0)),""))</f>
        <v/>
      </c>
    </row>
    <row r="85">
      <c r="A85" s="15">
        <f>IF($J85="","",$J85)</f>
        <v/>
      </c>
      <c r="B85" s="15">
        <f>IF($A85="","",IF(ISNUMBER(MATCH($A85,表單!$A$2:$A$301,0)),INDEX(表單!$B$2:$B$301,MATCH($A85,表單!$A$2:$A$301,0)),IFERROR(INDEX($M$2:$M$201,MATCH($A85,$L$2:$L$201,0)),"")))</f>
        <v/>
      </c>
      <c r="C85" s="15">
        <f>IF($A85="","",IF(ISNUMBER(MATCH($A85,表單!$A$2:$A$301,0)),IF(TRIM(INDEX(表單!$D$2:$D$301,MATCH($A85,表單!$A$2:$A$301,0)))="","（分項工程層）",INDEX(表單!$D$2:$D$301,MATCH($A85,表單!$A$2:$A$301,0))),IFERROR(INDEX($N$2:$N$201,MATCH($A85,$L$2:$L$201,0)),"")))</f>
        <v/>
      </c>
      <c r="D85" s="15">
        <f>IF($A85="","",IF(ISNUMBER(MATCH($A85,表單!$A$2:$A$301,0)),"線上表單",IFERROR(INDEX($O$2:$O$201,MATCH($A85,$L$2:$L$201,0)),"")))</f>
        <v/>
      </c>
      <c r="E85" s="15">
        <f>IF($A85="","",IF(ISNUMBER(MATCH($A85,表單!$A$2:$A$301,0)),"本檔","系統"))</f>
        <v/>
      </c>
      <c r="H85">
        <f>IF(AND(表單!$C85="自主檢查表",表單!$A85&lt;&gt;"",COUNTIF($L$2:$L$201,表單!$A85)=0),COUNT($H$1:H84)+1,"")</f>
        <v/>
      </c>
      <c r="J85">
        <f>IF(84&lt;=COUNTA($L$2:$L$201),INDEX($L$2:$L$201,84),IFERROR(INDEX(表單!$A$2:$A$301,MATCH(84-COUNTA($L$2:$L$201),$H$2:$H$301,0)),""))</f>
        <v/>
      </c>
    </row>
    <row r="86">
      <c r="A86" s="15">
        <f>IF($J86="","",$J86)</f>
        <v/>
      </c>
      <c r="B86" s="15">
        <f>IF($A86="","",IF(ISNUMBER(MATCH($A86,表單!$A$2:$A$301,0)),INDEX(表單!$B$2:$B$301,MATCH($A86,表單!$A$2:$A$301,0)),IFERROR(INDEX($M$2:$M$201,MATCH($A86,$L$2:$L$201,0)),"")))</f>
        <v/>
      </c>
      <c r="C86" s="15">
        <f>IF($A86="","",IF(ISNUMBER(MATCH($A86,表單!$A$2:$A$301,0)),IF(TRIM(INDEX(表單!$D$2:$D$301,MATCH($A86,表單!$A$2:$A$301,0)))="","（分項工程層）",INDEX(表單!$D$2:$D$301,MATCH($A86,表單!$A$2:$A$301,0))),IFERROR(INDEX($N$2:$N$201,MATCH($A86,$L$2:$L$201,0)),"")))</f>
        <v/>
      </c>
      <c r="D86" s="15">
        <f>IF($A86="","",IF(ISNUMBER(MATCH($A86,表單!$A$2:$A$301,0)),"線上表單",IFERROR(INDEX($O$2:$O$201,MATCH($A86,$L$2:$L$201,0)),"")))</f>
        <v/>
      </c>
      <c r="E86" s="15">
        <f>IF($A86="","",IF(ISNUMBER(MATCH($A86,表單!$A$2:$A$301,0)),"本檔","系統"))</f>
        <v/>
      </c>
      <c r="H86">
        <f>IF(AND(表單!$C86="自主檢查表",表單!$A86&lt;&gt;"",COUNTIF($L$2:$L$201,表單!$A86)=0),COUNT($H$1:H85)+1,"")</f>
        <v/>
      </c>
      <c r="J86">
        <f>IF(85&lt;=COUNTA($L$2:$L$201),INDEX($L$2:$L$201,85),IFERROR(INDEX(表單!$A$2:$A$301,MATCH(85-COUNTA($L$2:$L$201),$H$2:$H$301,0)),""))</f>
        <v/>
      </c>
    </row>
    <row r="87">
      <c r="A87" s="15">
        <f>IF($J87="","",$J87)</f>
        <v/>
      </c>
      <c r="B87" s="15">
        <f>IF($A87="","",IF(ISNUMBER(MATCH($A87,表單!$A$2:$A$301,0)),INDEX(表單!$B$2:$B$301,MATCH($A87,表單!$A$2:$A$301,0)),IFERROR(INDEX($M$2:$M$201,MATCH($A87,$L$2:$L$201,0)),"")))</f>
        <v/>
      </c>
      <c r="C87" s="15">
        <f>IF($A87="","",IF(ISNUMBER(MATCH($A87,表單!$A$2:$A$301,0)),IF(TRIM(INDEX(表單!$D$2:$D$301,MATCH($A87,表單!$A$2:$A$301,0)))="","（分項工程層）",INDEX(表單!$D$2:$D$301,MATCH($A87,表單!$A$2:$A$301,0))),IFERROR(INDEX($N$2:$N$201,MATCH($A87,$L$2:$L$201,0)),"")))</f>
        <v/>
      </c>
      <c r="D87" s="15">
        <f>IF($A87="","",IF(ISNUMBER(MATCH($A87,表單!$A$2:$A$301,0)),"線上表單",IFERROR(INDEX($O$2:$O$201,MATCH($A87,$L$2:$L$201,0)),"")))</f>
        <v/>
      </c>
      <c r="E87" s="15">
        <f>IF($A87="","",IF(ISNUMBER(MATCH($A87,表單!$A$2:$A$301,0)),"本檔","系統"))</f>
        <v/>
      </c>
      <c r="H87">
        <f>IF(AND(表單!$C87="自主檢查表",表單!$A87&lt;&gt;"",COUNTIF($L$2:$L$201,表單!$A87)=0),COUNT($H$1:H86)+1,"")</f>
        <v/>
      </c>
      <c r="J87">
        <f>IF(86&lt;=COUNTA($L$2:$L$201),INDEX($L$2:$L$201,86),IFERROR(INDEX(表單!$A$2:$A$301,MATCH(86-COUNTA($L$2:$L$201),$H$2:$H$301,0)),""))</f>
        <v/>
      </c>
    </row>
    <row r="88">
      <c r="A88" s="15">
        <f>IF($J88="","",$J88)</f>
        <v/>
      </c>
      <c r="B88" s="15">
        <f>IF($A88="","",IF(ISNUMBER(MATCH($A88,表單!$A$2:$A$301,0)),INDEX(表單!$B$2:$B$301,MATCH($A88,表單!$A$2:$A$301,0)),IFERROR(INDEX($M$2:$M$201,MATCH($A88,$L$2:$L$201,0)),"")))</f>
        <v/>
      </c>
      <c r="C88" s="15">
        <f>IF($A88="","",IF(ISNUMBER(MATCH($A88,表單!$A$2:$A$301,0)),IF(TRIM(INDEX(表單!$D$2:$D$301,MATCH($A88,表單!$A$2:$A$301,0)))="","（分項工程層）",INDEX(表單!$D$2:$D$301,MATCH($A88,表單!$A$2:$A$301,0))),IFERROR(INDEX($N$2:$N$201,MATCH($A88,$L$2:$L$201,0)),"")))</f>
        <v/>
      </c>
      <c r="D88" s="15">
        <f>IF($A88="","",IF(ISNUMBER(MATCH($A88,表單!$A$2:$A$301,0)),"線上表單",IFERROR(INDEX($O$2:$O$201,MATCH($A88,$L$2:$L$201,0)),"")))</f>
        <v/>
      </c>
      <c r="E88" s="15">
        <f>IF($A88="","",IF(ISNUMBER(MATCH($A88,表單!$A$2:$A$301,0)),"本檔","系統"))</f>
        <v/>
      </c>
      <c r="H88">
        <f>IF(AND(表單!$C88="自主檢查表",表單!$A88&lt;&gt;"",COUNTIF($L$2:$L$201,表單!$A88)=0),COUNT($H$1:H87)+1,"")</f>
        <v/>
      </c>
      <c r="J88">
        <f>IF(87&lt;=COUNTA($L$2:$L$201),INDEX($L$2:$L$201,87),IFERROR(INDEX(表單!$A$2:$A$301,MATCH(87-COUNTA($L$2:$L$201),$H$2:$H$301,0)),""))</f>
        <v/>
      </c>
    </row>
    <row r="89">
      <c r="A89" s="15">
        <f>IF($J89="","",$J89)</f>
        <v/>
      </c>
      <c r="B89" s="15">
        <f>IF($A89="","",IF(ISNUMBER(MATCH($A89,表單!$A$2:$A$301,0)),INDEX(表單!$B$2:$B$301,MATCH($A89,表單!$A$2:$A$301,0)),IFERROR(INDEX($M$2:$M$201,MATCH($A89,$L$2:$L$201,0)),"")))</f>
        <v/>
      </c>
      <c r="C89" s="15">
        <f>IF($A89="","",IF(ISNUMBER(MATCH($A89,表單!$A$2:$A$301,0)),IF(TRIM(INDEX(表單!$D$2:$D$301,MATCH($A89,表單!$A$2:$A$301,0)))="","（分項工程層）",INDEX(表單!$D$2:$D$301,MATCH($A89,表單!$A$2:$A$301,0))),IFERROR(INDEX($N$2:$N$201,MATCH($A89,$L$2:$L$201,0)),"")))</f>
        <v/>
      </c>
      <c r="D89" s="15">
        <f>IF($A89="","",IF(ISNUMBER(MATCH($A89,表單!$A$2:$A$301,0)),"線上表單",IFERROR(INDEX($O$2:$O$201,MATCH($A89,$L$2:$L$201,0)),"")))</f>
        <v/>
      </c>
      <c r="E89" s="15">
        <f>IF($A89="","",IF(ISNUMBER(MATCH($A89,表單!$A$2:$A$301,0)),"本檔","系統"))</f>
        <v/>
      </c>
      <c r="H89">
        <f>IF(AND(表單!$C89="自主檢查表",表單!$A89&lt;&gt;"",COUNTIF($L$2:$L$201,表單!$A89)=0),COUNT($H$1:H88)+1,"")</f>
        <v/>
      </c>
      <c r="J89">
        <f>IF(88&lt;=COUNTA($L$2:$L$201),INDEX($L$2:$L$201,88),IFERROR(INDEX(表單!$A$2:$A$301,MATCH(88-COUNTA($L$2:$L$201),$H$2:$H$301,0)),""))</f>
        <v/>
      </c>
    </row>
    <row r="90">
      <c r="A90" s="15">
        <f>IF($J90="","",$J90)</f>
        <v/>
      </c>
      <c r="B90" s="15">
        <f>IF($A90="","",IF(ISNUMBER(MATCH($A90,表單!$A$2:$A$301,0)),INDEX(表單!$B$2:$B$301,MATCH($A90,表單!$A$2:$A$301,0)),IFERROR(INDEX($M$2:$M$201,MATCH($A90,$L$2:$L$201,0)),"")))</f>
        <v/>
      </c>
      <c r="C90" s="15">
        <f>IF($A90="","",IF(ISNUMBER(MATCH($A90,表單!$A$2:$A$301,0)),IF(TRIM(INDEX(表單!$D$2:$D$301,MATCH($A90,表單!$A$2:$A$301,0)))="","（分項工程層）",INDEX(表單!$D$2:$D$301,MATCH($A90,表單!$A$2:$A$301,0))),IFERROR(INDEX($N$2:$N$201,MATCH($A90,$L$2:$L$201,0)),"")))</f>
        <v/>
      </c>
      <c r="D90" s="15">
        <f>IF($A90="","",IF(ISNUMBER(MATCH($A90,表單!$A$2:$A$301,0)),"線上表單",IFERROR(INDEX($O$2:$O$201,MATCH($A90,$L$2:$L$201,0)),"")))</f>
        <v/>
      </c>
      <c r="E90" s="15">
        <f>IF($A90="","",IF(ISNUMBER(MATCH($A90,表單!$A$2:$A$301,0)),"本檔","系統"))</f>
        <v/>
      </c>
      <c r="H90">
        <f>IF(AND(表單!$C90="自主檢查表",表單!$A90&lt;&gt;"",COUNTIF($L$2:$L$201,表單!$A90)=0),COUNT($H$1:H89)+1,"")</f>
        <v/>
      </c>
      <c r="J90">
        <f>IF(89&lt;=COUNTA($L$2:$L$201),INDEX($L$2:$L$201,89),IFERROR(INDEX(表單!$A$2:$A$301,MATCH(89-COUNTA($L$2:$L$201),$H$2:$H$301,0)),""))</f>
        <v/>
      </c>
    </row>
    <row r="91">
      <c r="A91" s="15">
        <f>IF($J91="","",$J91)</f>
        <v/>
      </c>
      <c r="B91" s="15">
        <f>IF($A91="","",IF(ISNUMBER(MATCH($A91,表單!$A$2:$A$301,0)),INDEX(表單!$B$2:$B$301,MATCH($A91,表單!$A$2:$A$301,0)),IFERROR(INDEX($M$2:$M$201,MATCH($A91,$L$2:$L$201,0)),"")))</f>
        <v/>
      </c>
      <c r="C91" s="15">
        <f>IF($A91="","",IF(ISNUMBER(MATCH($A91,表單!$A$2:$A$301,0)),IF(TRIM(INDEX(表單!$D$2:$D$301,MATCH($A91,表單!$A$2:$A$301,0)))="","（分項工程層）",INDEX(表單!$D$2:$D$301,MATCH($A91,表單!$A$2:$A$301,0))),IFERROR(INDEX($N$2:$N$201,MATCH($A91,$L$2:$L$201,0)),"")))</f>
        <v/>
      </c>
      <c r="D91" s="15">
        <f>IF($A91="","",IF(ISNUMBER(MATCH($A91,表單!$A$2:$A$301,0)),"線上表單",IFERROR(INDEX($O$2:$O$201,MATCH($A91,$L$2:$L$201,0)),"")))</f>
        <v/>
      </c>
      <c r="E91" s="15">
        <f>IF($A91="","",IF(ISNUMBER(MATCH($A91,表單!$A$2:$A$301,0)),"本檔","系統"))</f>
        <v/>
      </c>
      <c r="H91">
        <f>IF(AND(表單!$C91="自主檢查表",表單!$A91&lt;&gt;"",COUNTIF($L$2:$L$201,表單!$A91)=0),COUNT($H$1:H90)+1,"")</f>
        <v/>
      </c>
      <c r="J91">
        <f>IF(90&lt;=COUNTA($L$2:$L$201),INDEX($L$2:$L$201,90),IFERROR(INDEX(表單!$A$2:$A$301,MATCH(90-COUNTA($L$2:$L$201),$H$2:$H$301,0)),""))</f>
        <v/>
      </c>
    </row>
    <row r="92">
      <c r="A92" s="15">
        <f>IF($J92="","",$J92)</f>
        <v/>
      </c>
      <c r="B92" s="15">
        <f>IF($A92="","",IF(ISNUMBER(MATCH($A92,表單!$A$2:$A$301,0)),INDEX(表單!$B$2:$B$301,MATCH($A92,表單!$A$2:$A$301,0)),IFERROR(INDEX($M$2:$M$201,MATCH($A92,$L$2:$L$201,0)),"")))</f>
        <v/>
      </c>
      <c r="C92" s="15">
        <f>IF($A92="","",IF(ISNUMBER(MATCH($A92,表單!$A$2:$A$301,0)),IF(TRIM(INDEX(表單!$D$2:$D$301,MATCH($A92,表單!$A$2:$A$301,0)))="","（分項工程層）",INDEX(表單!$D$2:$D$301,MATCH($A92,表單!$A$2:$A$301,0))),IFERROR(INDEX($N$2:$N$201,MATCH($A92,$L$2:$L$201,0)),"")))</f>
        <v/>
      </c>
      <c r="D92" s="15">
        <f>IF($A92="","",IF(ISNUMBER(MATCH($A92,表單!$A$2:$A$301,0)),"線上表單",IFERROR(INDEX($O$2:$O$201,MATCH($A92,$L$2:$L$201,0)),"")))</f>
        <v/>
      </c>
      <c r="E92" s="15">
        <f>IF($A92="","",IF(ISNUMBER(MATCH($A92,表單!$A$2:$A$301,0)),"本檔","系統"))</f>
        <v/>
      </c>
      <c r="H92">
        <f>IF(AND(表單!$C92="自主檢查表",表單!$A92&lt;&gt;"",COUNTIF($L$2:$L$201,表單!$A92)=0),COUNT($H$1:H91)+1,"")</f>
        <v/>
      </c>
      <c r="J92">
        <f>IF(91&lt;=COUNTA($L$2:$L$201),INDEX($L$2:$L$201,91),IFERROR(INDEX(表單!$A$2:$A$301,MATCH(91-COUNTA($L$2:$L$201),$H$2:$H$301,0)),""))</f>
        <v/>
      </c>
    </row>
    <row r="93">
      <c r="A93" s="15">
        <f>IF($J93="","",$J93)</f>
        <v/>
      </c>
      <c r="B93" s="15">
        <f>IF($A93="","",IF(ISNUMBER(MATCH($A93,表單!$A$2:$A$301,0)),INDEX(表單!$B$2:$B$301,MATCH($A93,表單!$A$2:$A$301,0)),IFERROR(INDEX($M$2:$M$201,MATCH($A93,$L$2:$L$201,0)),"")))</f>
        <v/>
      </c>
      <c r="C93" s="15">
        <f>IF($A93="","",IF(ISNUMBER(MATCH($A93,表單!$A$2:$A$301,0)),IF(TRIM(INDEX(表單!$D$2:$D$301,MATCH($A93,表單!$A$2:$A$301,0)))="","（分項工程層）",INDEX(表單!$D$2:$D$301,MATCH($A93,表單!$A$2:$A$301,0))),IFERROR(INDEX($N$2:$N$201,MATCH($A93,$L$2:$L$201,0)),"")))</f>
        <v/>
      </c>
      <c r="D93" s="15">
        <f>IF($A93="","",IF(ISNUMBER(MATCH($A93,表單!$A$2:$A$301,0)),"線上表單",IFERROR(INDEX($O$2:$O$201,MATCH($A93,$L$2:$L$201,0)),"")))</f>
        <v/>
      </c>
      <c r="E93" s="15">
        <f>IF($A93="","",IF(ISNUMBER(MATCH($A93,表單!$A$2:$A$301,0)),"本檔","系統"))</f>
        <v/>
      </c>
      <c r="H93">
        <f>IF(AND(表單!$C93="自主檢查表",表單!$A93&lt;&gt;"",COUNTIF($L$2:$L$201,表單!$A93)=0),COUNT($H$1:H92)+1,"")</f>
        <v/>
      </c>
      <c r="J93">
        <f>IF(92&lt;=COUNTA($L$2:$L$201),INDEX($L$2:$L$201,92),IFERROR(INDEX(表單!$A$2:$A$301,MATCH(92-COUNTA($L$2:$L$201),$H$2:$H$301,0)),""))</f>
        <v/>
      </c>
    </row>
    <row r="94">
      <c r="A94" s="15">
        <f>IF($J94="","",$J94)</f>
        <v/>
      </c>
      <c r="B94" s="15">
        <f>IF($A94="","",IF(ISNUMBER(MATCH($A94,表單!$A$2:$A$301,0)),INDEX(表單!$B$2:$B$301,MATCH($A94,表單!$A$2:$A$301,0)),IFERROR(INDEX($M$2:$M$201,MATCH($A94,$L$2:$L$201,0)),"")))</f>
        <v/>
      </c>
      <c r="C94" s="15">
        <f>IF($A94="","",IF(ISNUMBER(MATCH($A94,表單!$A$2:$A$301,0)),IF(TRIM(INDEX(表單!$D$2:$D$301,MATCH($A94,表單!$A$2:$A$301,0)))="","（分項工程層）",INDEX(表單!$D$2:$D$301,MATCH($A94,表單!$A$2:$A$301,0))),IFERROR(INDEX($N$2:$N$201,MATCH($A94,$L$2:$L$201,0)),"")))</f>
        <v/>
      </c>
      <c r="D94" s="15">
        <f>IF($A94="","",IF(ISNUMBER(MATCH($A94,表單!$A$2:$A$301,0)),"線上表單",IFERROR(INDEX($O$2:$O$201,MATCH($A94,$L$2:$L$201,0)),"")))</f>
        <v/>
      </c>
      <c r="E94" s="15">
        <f>IF($A94="","",IF(ISNUMBER(MATCH($A94,表單!$A$2:$A$301,0)),"本檔","系統"))</f>
        <v/>
      </c>
      <c r="H94">
        <f>IF(AND(表單!$C94="自主檢查表",表單!$A94&lt;&gt;"",COUNTIF($L$2:$L$201,表單!$A94)=0),COUNT($H$1:H93)+1,"")</f>
        <v/>
      </c>
      <c r="J94">
        <f>IF(93&lt;=COUNTA($L$2:$L$201),INDEX($L$2:$L$201,93),IFERROR(INDEX(表單!$A$2:$A$301,MATCH(93-COUNTA($L$2:$L$201),$H$2:$H$301,0)),""))</f>
        <v/>
      </c>
    </row>
    <row r="95">
      <c r="A95" s="15">
        <f>IF($J95="","",$J95)</f>
        <v/>
      </c>
      <c r="B95" s="15">
        <f>IF($A95="","",IF(ISNUMBER(MATCH($A95,表單!$A$2:$A$301,0)),INDEX(表單!$B$2:$B$301,MATCH($A95,表單!$A$2:$A$301,0)),IFERROR(INDEX($M$2:$M$201,MATCH($A95,$L$2:$L$201,0)),"")))</f>
        <v/>
      </c>
      <c r="C95" s="15">
        <f>IF($A95="","",IF(ISNUMBER(MATCH($A95,表單!$A$2:$A$301,0)),IF(TRIM(INDEX(表單!$D$2:$D$301,MATCH($A95,表單!$A$2:$A$301,0)))="","（分項工程層）",INDEX(表單!$D$2:$D$301,MATCH($A95,表單!$A$2:$A$301,0))),IFERROR(INDEX($N$2:$N$201,MATCH($A95,$L$2:$L$201,0)),"")))</f>
        <v/>
      </c>
      <c r="D95" s="15">
        <f>IF($A95="","",IF(ISNUMBER(MATCH($A95,表單!$A$2:$A$301,0)),"線上表單",IFERROR(INDEX($O$2:$O$201,MATCH($A95,$L$2:$L$201,0)),"")))</f>
        <v/>
      </c>
      <c r="E95" s="15">
        <f>IF($A95="","",IF(ISNUMBER(MATCH($A95,表單!$A$2:$A$301,0)),"本檔","系統"))</f>
        <v/>
      </c>
      <c r="H95">
        <f>IF(AND(表單!$C95="自主檢查表",表單!$A95&lt;&gt;"",COUNTIF($L$2:$L$201,表單!$A95)=0),COUNT($H$1:H94)+1,"")</f>
        <v/>
      </c>
      <c r="J95">
        <f>IF(94&lt;=COUNTA($L$2:$L$201),INDEX($L$2:$L$201,94),IFERROR(INDEX(表單!$A$2:$A$301,MATCH(94-COUNTA($L$2:$L$201),$H$2:$H$301,0)),""))</f>
        <v/>
      </c>
    </row>
    <row r="96">
      <c r="A96" s="15">
        <f>IF($J96="","",$J96)</f>
        <v/>
      </c>
      <c r="B96" s="15">
        <f>IF($A96="","",IF(ISNUMBER(MATCH($A96,表單!$A$2:$A$301,0)),INDEX(表單!$B$2:$B$301,MATCH($A96,表單!$A$2:$A$301,0)),IFERROR(INDEX($M$2:$M$201,MATCH($A96,$L$2:$L$201,0)),"")))</f>
        <v/>
      </c>
      <c r="C96" s="15">
        <f>IF($A96="","",IF(ISNUMBER(MATCH($A96,表單!$A$2:$A$301,0)),IF(TRIM(INDEX(表單!$D$2:$D$301,MATCH($A96,表單!$A$2:$A$301,0)))="","（分項工程層）",INDEX(表單!$D$2:$D$301,MATCH($A96,表單!$A$2:$A$301,0))),IFERROR(INDEX($N$2:$N$201,MATCH($A96,$L$2:$L$201,0)),"")))</f>
        <v/>
      </c>
      <c r="D96" s="15">
        <f>IF($A96="","",IF(ISNUMBER(MATCH($A96,表單!$A$2:$A$301,0)),"線上表單",IFERROR(INDEX($O$2:$O$201,MATCH($A96,$L$2:$L$201,0)),"")))</f>
        <v/>
      </c>
      <c r="E96" s="15">
        <f>IF($A96="","",IF(ISNUMBER(MATCH($A96,表單!$A$2:$A$301,0)),"本檔","系統"))</f>
        <v/>
      </c>
      <c r="H96">
        <f>IF(AND(表單!$C96="自主檢查表",表單!$A96&lt;&gt;"",COUNTIF($L$2:$L$201,表單!$A96)=0),COUNT($H$1:H95)+1,"")</f>
        <v/>
      </c>
      <c r="J96">
        <f>IF(95&lt;=COUNTA($L$2:$L$201),INDEX($L$2:$L$201,95),IFERROR(INDEX(表單!$A$2:$A$301,MATCH(95-COUNTA($L$2:$L$201),$H$2:$H$301,0)),""))</f>
        <v/>
      </c>
    </row>
    <row r="97">
      <c r="A97" s="15">
        <f>IF($J97="","",$J97)</f>
        <v/>
      </c>
      <c r="B97" s="15">
        <f>IF($A97="","",IF(ISNUMBER(MATCH($A97,表單!$A$2:$A$301,0)),INDEX(表單!$B$2:$B$301,MATCH($A97,表單!$A$2:$A$301,0)),IFERROR(INDEX($M$2:$M$201,MATCH($A97,$L$2:$L$201,0)),"")))</f>
        <v/>
      </c>
      <c r="C97" s="15">
        <f>IF($A97="","",IF(ISNUMBER(MATCH($A97,表單!$A$2:$A$301,0)),IF(TRIM(INDEX(表單!$D$2:$D$301,MATCH($A97,表單!$A$2:$A$301,0)))="","（分項工程層）",INDEX(表單!$D$2:$D$301,MATCH($A97,表單!$A$2:$A$301,0))),IFERROR(INDEX($N$2:$N$201,MATCH($A97,$L$2:$L$201,0)),"")))</f>
        <v/>
      </c>
      <c r="D97" s="15">
        <f>IF($A97="","",IF(ISNUMBER(MATCH($A97,表單!$A$2:$A$301,0)),"線上表單",IFERROR(INDEX($O$2:$O$201,MATCH($A97,$L$2:$L$201,0)),"")))</f>
        <v/>
      </c>
      <c r="E97" s="15">
        <f>IF($A97="","",IF(ISNUMBER(MATCH($A97,表單!$A$2:$A$301,0)),"本檔","系統"))</f>
        <v/>
      </c>
      <c r="H97">
        <f>IF(AND(表單!$C97="自主檢查表",表單!$A97&lt;&gt;"",COUNTIF($L$2:$L$201,表單!$A97)=0),COUNT($H$1:H96)+1,"")</f>
        <v/>
      </c>
      <c r="J97">
        <f>IF(96&lt;=COUNTA($L$2:$L$201),INDEX($L$2:$L$201,96),IFERROR(INDEX(表單!$A$2:$A$301,MATCH(96-COUNTA($L$2:$L$201),$H$2:$H$301,0)),""))</f>
        <v/>
      </c>
    </row>
    <row r="98">
      <c r="A98" s="15">
        <f>IF($J98="","",$J98)</f>
        <v/>
      </c>
      <c r="B98" s="15">
        <f>IF($A98="","",IF(ISNUMBER(MATCH($A98,表單!$A$2:$A$301,0)),INDEX(表單!$B$2:$B$301,MATCH($A98,表單!$A$2:$A$301,0)),IFERROR(INDEX($M$2:$M$201,MATCH($A98,$L$2:$L$201,0)),"")))</f>
        <v/>
      </c>
      <c r="C98" s="15">
        <f>IF($A98="","",IF(ISNUMBER(MATCH($A98,表單!$A$2:$A$301,0)),IF(TRIM(INDEX(表單!$D$2:$D$301,MATCH($A98,表單!$A$2:$A$301,0)))="","（分項工程層）",INDEX(表單!$D$2:$D$301,MATCH($A98,表單!$A$2:$A$301,0))),IFERROR(INDEX($N$2:$N$201,MATCH($A98,$L$2:$L$201,0)),"")))</f>
        <v/>
      </c>
      <c r="D98" s="15">
        <f>IF($A98="","",IF(ISNUMBER(MATCH($A98,表單!$A$2:$A$301,0)),"線上表單",IFERROR(INDEX($O$2:$O$201,MATCH($A98,$L$2:$L$201,0)),"")))</f>
        <v/>
      </c>
      <c r="E98" s="15">
        <f>IF($A98="","",IF(ISNUMBER(MATCH($A98,表單!$A$2:$A$301,0)),"本檔","系統"))</f>
        <v/>
      </c>
      <c r="H98">
        <f>IF(AND(表單!$C98="自主檢查表",表單!$A98&lt;&gt;"",COUNTIF($L$2:$L$201,表單!$A98)=0),COUNT($H$1:H97)+1,"")</f>
        <v/>
      </c>
      <c r="J98">
        <f>IF(97&lt;=COUNTA($L$2:$L$201),INDEX($L$2:$L$201,97),IFERROR(INDEX(表單!$A$2:$A$301,MATCH(97-COUNTA($L$2:$L$201),$H$2:$H$301,0)),""))</f>
        <v/>
      </c>
    </row>
    <row r="99">
      <c r="A99" s="15">
        <f>IF($J99="","",$J99)</f>
        <v/>
      </c>
      <c r="B99" s="15">
        <f>IF($A99="","",IF(ISNUMBER(MATCH($A99,表單!$A$2:$A$301,0)),INDEX(表單!$B$2:$B$301,MATCH($A99,表單!$A$2:$A$301,0)),IFERROR(INDEX($M$2:$M$201,MATCH($A99,$L$2:$L$201,0)),"")))</f>
        <v/>
      </c>
      <c r="C99" s="15">
        <f>IF($A99="","",IF(ISNUMBER(MATCH($A99,表單!$A$2:$A$301,0)),IF(TRIM(INDEX(表單!$D$2:$D$301,MATCH($A99,表單!$A$2:$A$301,0)))="","（分項工程層）",INDEX(表單!$D$2:$D$301,MATCH($A99,表單!$A$2:$A$301,0))),IFERROR(INDEX($N$2:$N$201,MATCH($A99,$L$2:$L$201,0)),"")))</f>
        <v/>
      </c>
      <c r="D99" s="15">
        <f>IF($A99="","",IF(ISNUMBER(MATCH($A99,表單!$A$2:$A$301,0)),"線上表單",IFERROR(INDEX($O$2:$O$201,MATCH($A99,$L$2:$L$201,0)),"")))</f>
        <v/>
      </c>
      <c r="E99" s="15">
        <f>IF($A99="","",IF(ISNUMBER(MATCH($A99,表單!$A$2:$A$301,0)),"本檔","系統"))</f>
        <v/>
      </c>
      <c r="H99">
        <f>IF(AND(表單!$C99="自主檢查表",表單!$A99&lt;&gt;"",COUNTIF($L$2:$L$201,表單!$A99)=0),COUNT($H$1:H98)+1,"")</f>
        <v/>
      </c>
      <c r="J99">
        <f>IF(98&lt;=COUNTA($L$2:$L$201),INDEX($L$2:$L$201,98),IFERROR(INDEX(表單!$A$2:$A$301,MATCH(98-COUNTA($L$2:$L$201),$H$2:$H$301,0)),""))</f>
        <v/>
      </c>
    </row>
    <row r="100">
      <c r="A100" s="15">
        <f>IF($J100="","",$J100)</f>
        <v/>
      </c>
      <c r="B100" s="15">
        <f>IF($A100="","",IF(ISNUMBER(MATCH($A100,表單!$A$2:$A$301,0)),INDEX(表單!$B$2:$B$301,MATCH($A100,表單!$A$2:$A$301,0)),IFERROR(INDEX($M$2:$M$201,MATCH($A100,$L$2:$L$201,0)),"")))</f>
        <v/>
      </c>
      <c r="C100" s="15">
        <f>IF($A100="","",IF(ISNUMBER(MATCH($A100,表單!$A$2:$A$301,0)),IF(TRIM(INDEX(表單!$D$2:$D$301,MATCH($A100,表單!$A$2:$A$301,0)))="","（分項工程層）",INDEX(表單!$D$2:$D$301,MATCH($A100,表單!$A$2:$A$301,0))),IFERROR(INDEX($N$2:$N$201,MATCH($A100,$L$2:$L$201,0)),"")))</f>
        <v/>
      </c>
      <c r="D100" s="15">
        <f>IF($A100="","",IF(ISNUMBER(MATCH($A100,表單!$A$2:$A$301,0)),"線上表單",IFERROR(INDEX($O$2:$O$201,MATCH($A100,$L$2:$L$201,0)),"")))</f>
        <v/>
      </c>
      <c r="E100" s="15">
        <f>IF($A100="","",IF(ISNUMBER(MATCH($A100,表單!$A$2:$A$301,0)),"本檔","系統"))</f>
        <v/>
      </c>
      <c r="H100">
        <f>IF(AND(表單!$C100="自主檢查表",表單!$A100&lt;&gt;"",COUNTIF($L$2:$L$201,表單!$A100)=0),COUNT($H$1:H99)+1,"")</f>
        <v/>
      </c>
      <c r="J100">
        <f>IF(99&lt;=COUNTA($L$2:$L$201),INDEX($L$2:$L$201,99),IFERROR(INDEX(表單!$A$2:$A$301,MATCH(99-COUNTA($L$2:$L$201),$H$2:$H$301,0)),""))</f>
        <v/>
      </c>
    </row>
    <row r="101">
      <c r="A101" s="15">
        <f>IF($J101="","",$J101)</f>
        <v/>
      </c>
      <c r="B101" s="15">
        <f>IF($A101="","",IF(ISNUMBER(MATCH($A101,表單!$A$2:$A$301,0)),INDEX(表單!$B$2:$B$301,MATCH($A101,表單!$A$2:$A$301,0)),IFERROR(INDEX($M$2:$M$201,MATCH($A101,$L$2:$L$201,0)),"")))</f>
        <v/>
      </c>
      <c r="C101" s="15">
        <f>IF($A101="","",IF(ISNUMBER(MATCH($A101,表單!$A$2:$A$301,0)),IF(TRIM(INDEX(表單!$D$2:$D$301,MATCH($A101,表單!$A$2:$A$301,0)))="","（分項工程層）",INDEX(表單!$D$2:$D$301,MATCH($A101,表單!$A$2:$A$301,0))),IFERROR(INDEX($N$2:$N$201,MATCH($A101,$L$2:$L$201,0)),"")))</f>
        <v/>
      </c>
      <c r="D101" s="15">
        <f>IF($A101="","",IF(ISNUMBER(MATCH($A101,表單!$A$2:$A$301,0)),"線上表單",IFERROR(INDEX($O$2:$O$201,MATCH($A101,$L$2:$L$201,0)),"")))</f>
        <v/>
      </c>
      <c r="E101" s="15">
        <f>IF($A101="","",IF(ISNUMBER(MATCH($A101,表單!$A$2:$A$301,0)),"本檔","系統"))</f>
        <v/>
      </c>
      <c r="H101">
        <f>IF(AND(表單!$C101="自主檢查表",表單!$A101&lt;&gt;"",COUNTIF($L$2:$L$201,表單!$A101)=0),COUNT($H$1:H100)+1,"")</f>
        <v/>
      </c>
      <c r="J101">
        <f>IF(100&lt;=COUNTA($L$2:$L$201),INDEX($L$2:$L$201,100),IFERROR(INDEX(表單!$A$2:$A$301,MATCH(100-COUNTA($L$2:$L$201),$H$2:$H$301,0)),""))</f>
        <v/>
      </c>
    </row>
    <row r="102">
      <c r="A102" s="15">
        <f>IF($J102="","",$J102)</f>
        <v/>
      </c>
      <c r="B102" s="15">
        <f>IF($A102="","",IF(ISNUMBER(MATCH($A102,表單!$A$2:$A$301,0)),INDEX(表單!$B$2:$B$301,MATCH($A102,表單!$A$2:$A$301,0)),IFERROR(INDEX($M$2:$M$201,MATCH($A102,$L$2:$L$201,0)),"")))</f>
        <v/>
      </c>
      <c r="C102" s="15">
        <f>IF($A102="","",IF(ISNUMBER(MATCH($A102,表單!$A$2:$A$301,0)),IF(TRIM(INDEX(表單!$D$2:$D$301,MATCH($A102,表單!$A$2:$A$301,0)))="","（分項工程層）",INDEX(表單!$D$2:$D$301,MATCH($A102,表單!$A$2:$A$301,0))),IFERROR(INDEX($N$2:$N$201,MATCH($A102,$L$2:$L$201,0)),"")))</f>
        <v/>
      </c>
      <c r="D102" s="15">
        <f>IF($A102="","",IF(ISNUMBER(MATCH($A102,表單!$A$2:$A$301,0)),"線上表單",IFERROR(INDEX($O$2:$O$201,MATCH($A102,$L$2:$L$201,0)),"")))</f>
        <v/>
      </c>
      <c r="E102" s="15">
        <f>IF($A102="","",IF(ISNUMBER(MATCH($A102,表單!$A$2:$A$301,0)),"本檔","系統"))</f>
        <v/>
      </c>
      <c r="H102">
        <f>IF(AND(表單!$C102="自主檢查表",表單!$A102&lt;&gt;"",COUNTIF($L$2:$L$201,表單!$A102)=0),COUNT($H$1:H101)+1,"")</f>
        <v/>
      </c>
      <c r="J102">
        <f>IF(101&lt;=COUNTA($L$2:$L$201),INDEX($L$2:$L$201,101),IFERROR(INDEX(表單!$A$2:$A$301,MATCH(101-COUNTA($L$2:$L$201),$H$2:$H$301,0)),""))</f>
        <v/>
      </c>
    </row>
    <row r="103">
      <c r="A103" s="15">
        <f>IF($J103="","",$J103)</f>
        <v/>
      </c>
      <c r="B103" s="15">
        <f>IF($A103="","",IF(ISNUMBER(MATCH($A103,表單!$A$2:$A$301,0)),INDEX(表單!$B$2:$B$301,MATCH($A103,表單!$A$2:$A$301,0)),IFERROR(INDEX($M$2:$M$201,MATCH($A103,$L$2:$L$201,0)),"")))</f>
        <v/>
      </c>
      <c r="C103" s="15">
        <f>IF($A103="","",IF(ISNUMBER(MATCH($A103,表單!$A$2:$A$301,0)),IF(TRIM(INDEX(表單!$D$2:$D$301,MATCH($A103,表單!$A$2:$A$301,0)))="","（分項工程層）",INDEX(表單!$D$2:$D$301,MATCH($A103,表單!$A$2:$A$301,0))),IFERROR(INDEX($N$2:$N$201,MATCH($A103,$L$2:$L$201,0)),"")))</f>
        <v/>
      </c>
      <c r="D103" s="15">
        <f>IF($A103="","",IF(ISNUMBER(MATCH($A103,表單!$A$2:$A$301,0)),"線上表單",IFERROR(INDEX($O$2:$O$201,MATCH($A103,$L$2:$L$201,0)),"")))</f>
        <v/>
      </c>
      <c r="E103" s="15">
        <f>IF($A103="","",IF(ISNUMBER(MATCH($A103,表單!$A$2:$A$301,0)),"本檔","系統"))</f>
        <v/>
      </c>
      <c r="H103">
        <f>IF(AND(表單!$C103="自主檢查表",表單!$A103&lt;&gt;"",COUNTIF($L$2:$L$201,表單!$A103)=0),COUNT($H$1:H102)+1,"")</f>
        <v/>
      </c>
      <c r="J103">
        <f>IF(102&lt;=COUNTA($L$2:$L$201),INDEX($L$2:$L$201,102),IFERROR(INDEX(表單!$A$2:$A$301,MATCH(102-COUNTA($L$2:$L$201),$H$2:$H$301,0)),""))</f>
        <v/>
      </c>
    </row>
    <row r="104">
      <c r="A104" s="15">
        <f>IF($J104="","",$J104)</f>
        <v/>
      </c>
      <c r="B104" s="15">
        <f>IF($A104="","",IF(ISNUMBER(MATCH($A104,表單!$A$2:$A$301,0)),INDEX(表單!$B$2:$B$301,MATCH($A104,表單!$A$2:$A$301,0)),IFERROR(INDEX($M$2:$M$201,MATCH($A104,$L$2:$L$201,0)),"")))</f>
        <v/>
      </c>
      <c r="C104" s="15">
        <f>IF($A104="","",IF(ISNUMBER(MATCH($A104,表單!$A$2:$A$301,0)),IF(TRIM(INDEX(表單!$D$2:$D$301,MATCH($A104,表單!$A$2:$A$301,0)))="","（分項工程層）",INDEX(表單!$D$2:$D$301,MATCH($A104,表單!$A$2:$A$301,0))),IFERROR(INDEX($N$2:$N$201,MATCH($A104,$L$2:$L$201,0)),"")))</f>
        <v/>
      </c>
      <c r="D104" s="15">
        <f>IF($A104="","",IF(ISNUMBER(MATCH($A104,表單!$A$2:$A$301,0)),"線上表單",IFERROR(INDEX($O$2:$O$201,MATCH($A104,$L$2:$L$201,0)),"")))</f>
        <v/>
      </c>
      <c r="E104" s="15">
        <f>IF($A104="","",IF(ISNUMBER(MATCH($A104,表單!$A$2:$A$301,0)),"本檔","系統"))</f>
        <v/>
      </c>
      <c r="H104">
        <f>IF(AND(表單!$C104="自主檢查表",表單!$A104&lt;&gt;"",COUNTIF($L$2:$L$201,表單!$A104)=0),COUNT($H$1:H103)+1,"")</f>
        <v/>
      </c>
      <c r="J104">
        <f>IF(103&lt;=COUNTA($L$2:$L$201),INDEX($L$2:$L$201,103),IFERROR(INDEX(表單!$A$2:$A$301,MATCH(103-COUNTA($L$2:$L$201),$H$2:$H$301,0)),""))</f>
        <v/>
      </c>
    </row>
    <row r="105">
      <c r="A105" s="15">
        <f>IF($J105="","",$J105)</f>
        <v/>
      </c>
      <c r="B105" s="15">
        <f>IF($A105="","",IF(ISNUMBER(MATCH($A105,表單!$A$2:$A$301,0)),INDEX(表單!$B$2:$B$301,MATCH($A105,表單!$A$2:$A$301,0)),IFERROR(INDEX($M$2:$M$201,MATCH($A105,$L$2:$L$201,0)),"")))</f>
        <v/>
      </c>
      <c r="C105" s="15">
        <f>IF($A105="","",IF(ISNUMBER(MATCH($A105,表單!$A$2:$A$301,0)),IF(TRIM(INDEX(表單!$D$2:$D$301,MATCH($A105,表單!$A$2:$A$301,0)))="","（分項工程層）",INDEX(表單!$D$2:$D$301,MATCH($A105,表單!$A$2:$A$301,0))),IFERROR(INDEX($N$2:$N$201,MATCH($A105,$L$2:$L$201,0)),"")))</f>
        <v/>
      </c>
      <c r="D105" s="15">
        <f>IF($A105="","",IF(ISNUMBER(MATCH($A105,表單!$A$2:$A$301,0)),"線上表單",IFERROR(INDEX($O$2:$O$201,MATCH($A105,$L$2:$L$201,0)),"")))</f>
        <v/>
      </c>
      <c r="E105" s="15">
        <f>IF($A105="","",IF(ISNUMBER(MATCH($A105,表單!$A$2:$A$301,0)),"本檔","系統"))</f>
        <v/>
      </c>
      <c r="H105">
        <f>IF(AND(表單!$C105="自主檢查表",表單!$A105&lt;&gt;"",COUNTIF($L$2:$L$201,表單!$A105)=0),COUNT($H$1:H104)+1,"")</f>
        <v/>
      </c>
      <c r="J105">
        <f>IF(104&lt;=COUNTA($L$2:$L$201),INDEX($L$2:$L$201,104),IFERROR(INDEX(表單!$A$2:$A$301,MATCH(104-COUNTA($L$2:$L$201),$H$2:$H$301,0)),""))</f>
        <v/>
      </c>
    </row>
    <row r="106">
      <c r="A106" s="15">
        <f>IF($J106="","",$J106)</f>
        <v/>
      </c>
      <c r="B106" s="15">
        <f>IF($A106="","",IF(ISNUMBER(MATCH($A106,表單!$A$2:$A$301,0)),INDEX(表單!$B$2:$B$301,MATCH($A106,表單!$A$2:$A$301,0)),IFERROR(INDEX($M$2:$M$201,MATCH($A106,$L$2:$L$201,0)),"")))</f>
        <v/>
      </c>
      <c r="C106" s="15">
        <f>IF($A106="","",IF(ISNUMBER(MATCH($A106,表單!$A$2:$A$301,0)),IF(TRIM(INDEX(表單!$D$2:$D$301,MATCH($A106,表單!$A$2:$A$301,0)))="","（分項工程層）",INDEX(表單!$D$2:$D$301,MATCH($A106,表單!$A$2:$A$301,0))),IFERROR(INDEX($N$2:$N$201,MATCH($A106,$L$2:$L$201,0)),"")))</f>
        <v/>
      </c>
      <c r="D106" s="15">
        <f>IF($A106="","",IF(ISNUMBER(MATCH($A106,表單!$A$2:$A$301,0)),"線上表單",IFERROR(INDEX($O$2:$O$201,MATCH($A106,$L$2:$L$201,0)),"")))</f>
        <v/>
      </c>
      <c r="E106" s="15">
        <f>IF($A106="","",IF(ISNUMBER(MATCH($A106,表單!$A$2:$A$301,0)),"本檔","系統"))</f>
        <v/>
      </c>
      <c r="H106">
        <f>IF(AND(表單!$C106="自主檢查表",表單!$A106&lt;&gt;"",COUNTIF($L$2:$L$201,表單!$A106)=0),COUNT($H$1:H105)+1,"")</f>
        <v/>
      </c>
      <c r="J106">
        <f>IF(105&lt;=COUNTA($L$2:$L$201),INDEX($L$2:$L$201,105),IFERROR(INDEX(表單!$A$2:$A$301,MATCH(105-COUNTA($L$2:$L$201),$H$2:$H$301,0)),""))</f>
        <v/>
      </c>
    </row>
    <row r="107">
      <c r="A107" s="15">
        <f>IF($J107="","",$J107)</f>
        <v/>
      </c>
      <c r="B107" s="15">
        <f>IF($A107="","",IF(ISNUMBER(MATCH($A107,表單!$A$2:$A$301,0)),INDEX(表單!$B$2:$B$301,MATCH($A107,表單!$A$2:$A$301,0)),IFERROR(INDEX($M$2:$M$201,MATCH($A107,$L$2:$L$201,0)),"")))</f>
        <v/>
      </c>
      <c r="C107" s="15">
        <f>IF($A107="","",IF(ISNUMBER(MATCH($A107,表單!$A$2:$A$301,0)),IF(TRIM(INDEX(表單!$D$2:$D$301,MATCH($A107,表單!$A$2:$A$301,0)))="","（分項工程層）",INDEX(表單!$D$2:$D$301,MATCH($A107,表單!$A$2:$A$301,0))),IFERROR(INDEX($N$2:$N$201,MATCH($A107,$L$2:$L$201,0)),"")))</f>
        <v/>
      </c>
      <c r="D107" s="15">
        <f>IF($A107="","",IF(ISNUMBER(MATCH($A107,表單!$A$2:$A$301,0)),"線上表單",IFERROR(INDEX($O$2:$O$201,MATCH($A107,$L$2:$L$201,0)),"")))</f>
        <v/>
      </c>
      <c r="E107" s="15">
        <f>IF($A107="","",IF(ISNUMBER(MATCH($A107,表單!$A$2:$A$301,0)),"本檔","系統"))</f>
        <v/>
      </c>
      <c r="H107">
        <f>IF(AND(表單!$C107="自主檢查表",表單!$A107&lt;&gt;"",COUNTIF($L$2:$L$201,表單!$A107)=0),COUNT($H$1:H106)+1,"")</f>
        <v/>
      </c>
      <c r="J107">
        <f>IF(106&lt;=COUNTA($L$2:$L$201),INDEX($L$2:$L$201,106),IFERROR(INDEX(表單!$A$2:$A$301,MATCH(106-COUNTA($L$2:$L$201),$H$2:$H$301,0)),""))</f>
        <v/>
      </c>
    </row>
    <row r="108">
      <c r="A108" s="15">
        <f>IF($J108="","",$J108)</f>
        <v/>
      </c>
      <c r="B108" s="15">
        <f>IF($A108="","",IF(ISNUMBER(MATCH($A108,表單!$A$2:$A$301,0)),INDEX(表單!$B$2:$B$301,MATCH($A108,表單!$A$2:$A$301,0)),IFERROR(INDEX($M$2:$M$201,MATCH($A108,$L$2:$L$201,0)),"")))</f>
        <v/>
      </c>
      <c r="C108" s="15">
        <f>IF($A108="","",IF(ISNUMBER(MATCH($A108,表單!$A$2:$A$301,0)),IF(TRIM(INDEX(表單!$D$2:$D$301,MATCH($A108,表單!$A$2:$A$301,0)))="","（分項工程層）",INDEX(表單!$D$2:$D$301,MATCH($A108,表單!$A$2:$A$301,0))),IFERROR(INDEX($N$2:$N$201,MATCH($A108,$L$2:$L$201,0)),"")))</f>
        <v/>
      </c>
      <c r="D108" s="15">
        <f>IF($A108="","",IF(ISNUMBER(MATCH($A108,表單!$A$2:$A$301,0)),"線上表單",IFERROR(INDEX($O$2:$O$201,MATCH($A108,$L$2:$L$201,0)),"")))</f>
        <v/>
      </c>
      <c r="E108" s="15">
        <f>IF($A108="","",IF(ISNUMBER(MATCH($A108,表單!$A$2:$A$301,0)),"本檔","系統"))</f>
        <v/>
      </c>
      <c r="H108">
        <f>IF(AND(表單!$C108="自主檢查表",表單!$A108&lt;&gt;"",COUNTIF($L$2:$L$201,表單!$A108)=0),COUNT($H$1:H107)+1,"")</f>
        <v/>
      </c>
      <c r="J108">
        <f>IF(107&lt;=COUNTA($L$2:$L$201),INDEX($L$2:$L$201,107),IFERROR(INDEX(表單!$A$2:$A$301,MATCH(107-COUNTA($L$2:$L$201),$H$2:$H$301,0)),""))</f>
        <v/>
      </c>
    </row>
    <row r="109">
      <c r="A109" s="15">
        <f>IF($J109="","",$J109)</f>
        <v/>
      </c>
      <c r="B109" s="15">
        <f>IF($A109="","",IF(ISNUMBER(MATCH($A109,表單!$A$2:$A$301,0)),INDEX(表單!$B$2:$B$301,MATCH($A109,表單!$A$2:$A$301,0)),IFERROR(INDEX($M$2:$M$201,MATCH($A109,$L$2:$L$201,0)),"")))</f>
        <v/>
      </c>
      <c r="C109" s="15">
        <f>IF($A109="","",IF(ISNUMBER(MATCH($A109,表單!$A$2:$A$301,0)),IF(TRIM(INDEX(表單!$D$2:$D$301,MATCH($A109,表單!$A$2:$A$301,0)))="","（分項工程層）",INDEX(表單!$D$2:$D$301,MATCH($A109,表單!$A$2:$A$301,0))),IFERROR(INDEX($N$2:$N$201,MATCH($A109,$L$2:$L$201,0)),"")))</f>
        <v/>
      </c>
      <c r="D109" s="15">
        <f>IF($A109="","",IF(ISNUMBER(MATCH($A109,表單!$A$2:$A$301,0)),"線上表單",IFERROR(INDEX($O$2:$O$201,MATCH($A109,$L$2:$L$201,0)),"")))</f>
        <v/>
      </c>
      <c r="E109" s="15">
        <f>IF($A109="","",IF(ISNUMBER(MATCH($A109,表單!$A$2:$A$301,0)),"本檔","系統"))</f>
        <v/>
      </c>
      <c r="H109">
        <f>IF(AND(表單!$C109="自主檢查表",表單!$A109&lt;&gt;"",COUNTIF($L$2:$L$201,表單!$A109)=0),COUNT($H$1:H108)+1,"")</f>
        <v/>
      </c>
      <c r="J109">
        <f>IF(108&lt;=COUNTA($L$2:$L$201),INDEX($L$2:$L$201,108),IFERROR(INDEX(表單!$A$2:$A$301,MATCH(108-COUNTA($L$2:$L$201),$H$2:$H$301,0)),""))</f>
        <v/>
      </c>
    </row>
    <row r="110">
      <c r="A110" s="15">
        <f>IF($J110="","",$J110)</f>
        <v/>
      </c>
      <c r="B110" s="15">
        <f>IF($A110="","",IF(ISNUMBER(MATCH($A110,表單!$A$2:$A$301,0)),INDEX(表單!$B$2:$B$301,MATCH($A110,表單!$A$2:$A$301,0)),IFERROR(INDEX($M$2:$M$201,MATCH($A110,$L$2:$L$201,0)),"")))</f>
        <v/>
      </c>
      <c r="C110" s="15">
        <f>IF($A110="","",IF(ISNUMBER(MATCH($A110,表單!$A$2:$A$301,0)),IF(TRIM(INDEX(表單!$D$2:$D$301,MATCH($A110,表單!$A$2:$A$301,0)))="","（分項工程層）",INDEX(表單!$D$2:$D$301,MATCH($A110,表單!$A$2:$A$301,0))),IFERROR(INDEX($N$2:$N$201,MATCH($A110,$L$2:$L$201,0)),"")))</f>
        <v/>
      </c>
      <c r="D110" s="15">
        <f>IF($A110="","",IF(ISNUMBER(MATCH($A110,表單!$A$2:$A$301,0)),"線上表單",IFERROR(INDEX($O$2:$O$201,MATCH($A110,$L$2:$L$201,0)),"")))</f>
        <v/>
      </c>
      <c r="E110" s="15">
        <f>IF($A110="","",IF(ISNUMBER(MATCH($A110,表單!$A$2:$A$301,0)),"本檔","系統"))</f>
        <v/>
      </c>
      <c r="H110">
        <f>IF(AND(表單!$C110="自主檢查表",表單!$A110&lt;&gt;"",COUNTIF($L$2:$L$201,表單!$A110)=0),COUNT($H$1:H109)+1,"")</f>
        <v/>
      </c>
      <c r="J110">
        <f>IF(109&lt;=COUNTA($L$2:$L$201),INDEX($L$2:$L$201,109),IFERROR(INDEX(表單!$A$2:$A$301,MATCH(109-COUNTA($L$2:$L$201),$H$2:$H$301,0)),""))</f>
        <v/>
      </c>
    </row>
    <row r="111">
      <c r="A111" s="15">
        <f>IF($J111="","",$J111)</f>
        <v/>
      </c>
      <c r="B111" s="15">
        <f>IF($A111="","",IF(ISNUMBER(MATCH($A111,表單!$A$2:$A$301,0)),INDEX(表單!$B$2:$B$301,MATCH($A111,表單!$A$2:$A$301,0)),IFERROR(INDEX($M$2:$M$201,MATCH($A111,$L$2:$L$201,0)),"")))</f>
        <v/>
      </c>
      <c r="C111" s="15">
        <f>IF($A111="","",IF(ISNUMBER(MATCH($A111,表單!$A$2:$A$301,0)),IF(TRIM(INDEX(表單!$D$2:$D$301,MATCH($A111,表單!$A$2:$A$301,0)))="","（分項工程層）",INDEX(表單!$D$2:$D$301,MATCH($A111,表單!$A$2:$A$301,0))),IFERROR(INDEX($N$2:$N$201,MATCH($A111,$L$2:$L$201,0)),"")))</f>
        <v/>
      </c>
      <c r="D111" s="15">
        <f>IF($A111="","",IF(ISNUMBER(MATCH($A111,表單!$A$2:$A$301,0)),"線上表單",IFERROR(INDEX($O$2:$O$201,MATCH($A111,$L$2:$L$201,0)),"")))</f>
        <v/>
      </c>
      <c r="E111" s="15">
        <f>IF($A111="","",IF(ISNUMBER(MATCH($A111,表單!$A$2:$A$301,0)),"本檔","系統"))</f>
        <v/>
      </c>
      <c r="H111">
        <f>IF(AND(表單!$C111="自主檢查表",表單!$A111&lt;&gt;"",COUNTIF($L$2:$L$201,表單!$A111)=0),COUNT($H$1:H110)+1,"")</f>
        <v/>
      </c>
      <c r="J111">
        <f>IF(110&lt;=COUNTA($L$2:$L$201),INDEX($L$2:$L$201,110),IFERROR(INDEX(表單!$A$2:$A$301,MATCH(110-COUNTA($L$2:$L$201),$H$2:$H$301,0)),""))</f>
        <v/>
      </c>
    </row>
    <row r="112">
      <c r="A112" s="15">
        <f>IF($J112="","",$J112)</f>
        <v/>
      </c>
      <c r="B112" s="15">
        <f>IF($A112="","",IF(ISNUMBER(MATCH($A112,表單!$A$2:$A$301,0)),INDEX(表單!$B$2:$B$301,MATCH($A112,表單!$A$2:$A$301,0)),IFERROR(INDEX($M$2:$M$201,MATCH($A112,$L$2:$L$201,0)),"")))</f>
        <v/>
      </c>
      <c r="C112" s="15">
        <f>IF($A112="","",IF(ISNUMBER(MATCH($A112,表單!$A$2:$A$301,0)),IF(TRIM(INDEX(表單!$D$2:$D$301,MATCH($A112,表單!$A$2:$A$301,0)))="","（分項工程層）",INDEX(表單!$D$2:$D$301,MATCH($A112,表單!$A$2:$A$301,0))),IFERROR(INDEX($N$2:$N$201,MATCH($A112,$L$2:$L$201,0)),"")))</f>
        <v/>
      </c>
      <c r="D112" s="15">
        <f>IF($A112="","",IF(ISNUMBER(MATCH($A112,表單!$A$2:$A$301,0)),"線上表單",IFERROR(INDEX($O$2:$O$201,MATCH($A112,$L$2:$L$201,0)),"")))</f>
        <v/>
      </c>
      <c r="E112" s="15">
        <f>IF($A112="","",IF(ISNUMBER(MATCH($A112,表單!$A$2:$A$301,0)),"本檔","系統"))</f>
        <v/>
      </c>
      <c r="H112">
        <f>IF(AND(表單!$C112="自主檢查表",表單!$A112&lt;&gt;"",COUNTIF($L$2:$L$201,表單!$A112)=0),COUNT($H$1:H111)+1,"")</f>
        <v/>
      </c>
      <c r="J112">
        <f>IF(111&lt;=COUNTA($L$2:$L$201),INDEX($L$2:$L$201,111),IFERROR(INDEX(表單!$A$2:$A$301,MATCH(111-COUNTA($L$2:$L$201),$H$2:$H$301,0)),""))</f>
        <v/>
      </c>
    </row>
    <row r="113">
      <c r="A113" s="15">
        <f>IF($J113="","",$J113)</f>
        <v/>
      </c>
      <c r="B113" s="15">
        <f>IF($A113="","",IF(ISNUMBER(MATCH($A113,表單!$A$2:$A$301,0)),INDEX(表單!$B$2:$B$301,MATCH($A113,表單!$A$2:$A$301,0)),IFERROR(INDEX($M$2:$M$201,MATCH($A113,$L$2:$L$201,0)),"")))</f>
        <v/>
      </c>
      <c r="C113" s="15">
        <f>IF($A113="","",IF(ISNUMBER(MATCH($A113,表單!$A$2:$A$301,0)),IF(TRIM(INDEX(表單!$D$2:$D$301,MATCH($A113,表單!$A$2:$A$301,0)))="","（分項工程層）",INDEX(表單!$D$2:$D$301,MATCH($A113,表單!$A$2:$A$301,0))),IFERROR(INDEX($N$2:$N$201,MATCH($A113,$L$2:$L$201,0)),"")))</f>
        <v/>
      </c>
      <c r="D113" s="15">
        <f>IF($A113="","",IF(ISNUMBER(MATCH($A113,表單!$A$2:$A$301,0)),"線上表單",IFERROR(INDEX($O$2:$O$201,MATCH($A113,$L$2:$L$201,0)),"")))</f>
        <v/>
      </c>
      <c r="E113" s="15">
        <f>IF($A113="","",IF(ISNUMBER(MATCH($A113,表單!$A$2:$A$301,0)),"本檔","系統"))</f>
        <v/>
      </c>
      <c r="H113">
        <f>IF(AND(表單!$C113="自主檢查表",表單!$A113&lt;&gt;"",COUNTIF($L$2:$L$201,表單!$A113)=0),COUNT($H$1:H112)+1,"")</f>
        <v/>
      </c>
      <c r="J113">
        <f>IF(112&lt;=COUNTA($L$2:$L$201),INDEX($L$2:$L$201,112),IFERROR(INDEX(表單!$A$2:$A$301,MATCH(112-COUNTA($L$2:$L$201),$H$2:$H$301,0)),""))</f>
        <v/>
      </c>
    </row>
    <row r="114">
      <c r="A114" s="15">
        <f>IF($J114="","",$J114)</f>
        <v/>
      </c>
      <c r="B114" s="15">
        <f>IF($A114="","",IF(ISNUMBER(MATCH($A114,表單!$A$2:$A$301,0)),INDEX(表單!$B$2:$B$301,MATCH($A114,表單!$A$2:$A$301,0)),IFERROR(INDEX($M$2:$M$201,MATCH($A114,$L$2:$L$201,0)),"")))</f>
        <v/>
      </c>
      <c r="C114" s="15">
        <f>IF($A114="","",IF(ISNUMBER(MATCH($A114,表單!$A$2:$A$301,0)),IF(TRIM(INDEX(表單!$D$2:$D$301,MATCH($A114,表單!$A$2:$A$301,0)))="","（分項工程層）",INDEX(表單!$D$2:$D$301,MATCH($A114,表單!$A$2:$A$301,0))),IFERROR(INDEX($N$2:$N$201,MATCH($A114,$L$2:$L$201,0)),"")))</f>
        <v/>
      </c>
      <c r="D114" s="15">
        <f>IF($A114="","",IF(ISNUMBER(MATCH($A114,表單!$A$2:$A$301,0)),"線上表單",IFERROR(INDEX($O$2:$O$201,MATCH($A114,$L$2:$L$201,0)),"")))</f>
        <v/>
      </c>
      <c r="E114" s="15">
        <f>IF($A114="","",IF(ISNUMBER(MATCH($A114,表單!$A$2:$A$301,0)),"本檔","系統"))</f>
        <v/>
      </c>
      <c r="H114">
        <f>IF(AND(表單!$C114="自主檢查表",表單!$A114&lt;&gt;"",COUNTIF($L$2:$L$201,表單!$A114)=0),COUNT($H$1:H113)+1,"")</f>
        <v/>
      </c>
      <c r="J114">
        <f>IF(113&lt;=COUNTA($L$2:$L$201),INDEX($L$2:$L$201,113),IFERROR(INDEX(表單!$A$2:$A$301,MATCH(113-COUNTA($L$2:$L$201),$H$2:$H$301,0)),""))</f>
        <v/>
      </c>
    </row>
    <row r="115">
      <c r="A115" s="15">
        <f>IF($J115="","",$J115)</f>
        <v/>
      </c>
      <c r="B115" s="15">
        <f>IF($A115="","",IF(ISNUMBER(MATCH($A115,表單!$A$2:$A$301,0)),INDEX(表單!$B$2:$B$301,MATCH($A115,表單!$A$2:$A$301,0)),IFERROR(INDEX($M$2:$M$201,MATCH($A115,$L$2:$L$201,0)),"")))</f>
        <v/>
      </c>
      <c r="C115" s="15">
        <f>IF($A115="","",IF(ISNUMBER(MATCH($A115,表單!$A$2:$A$301,0)),IF(TRIM(INDEX(表單!$D$2:$D$301,MATCH($A115,表單!$A$2:$A$301,0)))="","（分項工程層）",INDEX(表單!$D$2:$D$301,MATCH($A115,表單!$A$2:$A$301,0))),IFERROR(INDEX($N$2:$N$201,MATCH($A115,$L$2:$L$201,0)),"")))</f>
        <v/>
      </c>
      <c r="D115" s="15">
        <f>IF($A115="","",IF(ISNUMBER(MATCH($A115,表單!$A$2:$A$301,0)),"線上表單",IFERROR(INDEX($O$2:$O$201,MATCH($A115,$L$2:$L$201,0)),"")))</f>
        <v/>
      </c>
      <c r="E115" s="15">
        <f>IF($A115="","",IF(ISNUMBER(MATCH($A115,表單!$A$2:$A$301,0)),"本檔","系統"))</f>
        <v/>
      </c>
      <c r="H115">
        <f>IF(AND(表單!$C115="自主檢查表",表單!$A115&lt;&gt;"",COUNTIF($L$2:$L$201,表單!$A115)=0),COUNT($H$1:H114)+1,"")</f>
        <v/>
      </c>
      <c r="J115">
        <f>IF(114&lt;=COUNTA($L$2:$L$201),INDEX($L$2:$L$201,114),IFERROR(INDEX(表單!$A$2:$A$301,MATCH(114-COUNTA($L$2:$L$201),$H$2:$H$301,0)),""))</f>
        <v/>
      </c>
    </row>
    <row r="116">
      <c r="A116" s="15">
        <f>IF($J116="","",$J116)</f>
        <v/>
      </c>
      <c r="B116" s="15">
        <f>IF($A116="","",IF(ISNUMBER(MATCH($A116,表單!$A$2:$A$301,0)),INDEX(表單!$B$2:$B$301,MATCH($A116,表單!$A$2:$A$301,0)),IFERROR(INDEX($M$2:$M$201,MATCH($A116,$L$2:$L$201,0)),"")))</f>
        <v/>
      </c>
      <c r="C116" s="15">
        <f>IF($A116="","",IF(ISNUMBER(MATCH($A116,表單!$A$2:$A$301,0)),IF(TRIM(INDEX(表單!$D$2:$D$301,MATCH($A116,表單!$A$2:$A$301,0)))="","（分項工程層）",INDEX(表單!$D$2:$D$301,MATCH($A116,表單!$A$2:$A$301,0))),IFERROR(INDEX($N$2:$N$201,MATCH($A116,$L$2:$L$201,0)),"")))</f>
        <v/>
      </c>
      <c r="D116" s="15">
        <f>IF($A116="","",IF(ISNUMBER(MATCH($A116,表單!$A$2:$A$301,0)),"線上表單",IFERROR(INDEX($O$2:$O$201,MATCH($A116,$L$2:$L$201,0)),"")))</f>
        <v/>
      </c>
      <c r="E116" s="15">
        <f>IF($A116="","",IF(ISNUMBER(MATCH($A116,表單!$A$2:$A$301,0)),"本檔","系統"))</f>
        <v/>
      </c>
      <c r="H116">
        <f>IF(AND(表單!$C116="自主檢查表",表單!$A116&lt;&gt;"",COUNTIF($L$2:$L$201,表單!$A116)=0),COUNT($H$1:H115)+1,"")</f>
        <v/>
      </c>
      <c r="J116">
        <f>IF(115&lt;=COUNTA($L$2:$L$201),INDEX($L$2:$L$201,115),IFERROR(INDEX(表單!$A$2:$A$301,MATCH(115-COUNTA($L$2:$L$201),$H$2:$H$301,0)),""))</f>
        <v/>
      </c>
    </row>
    <row r="117">
      <c r="A117" s="15">
        <f>IF($J117="","",$J117)</f>
        <v/>
      </c>
      <c r="B117" s="15">
        <f>IF($A117="","",IF(ISNUMBER(MATCH($A117,表單!$A$2:$A$301,0)),INDEX(表單!$B$2:$B$301,MATCH($A117,表單!$A$2:$A$301,0)),IFERROR(INDEX($M$2:$M$201,MATCH($A117,$L$2:$L$201,0)),"")))</f>
        <v/>
      </c>
      <c r="C117" s="15">
        <f>IF($A117="","",IF(ISNUMBER(MATCH($A117,表單!$A$2:$A$301,0)),IF(TRIM(INDEX(表單!$D$2:$D$301,MATCH($A117,表單!$A$2:$A$301,0)))="","（分項工程層）",INDEX(表單!$D$2:$D$301,MATCH($A117,表單!$A$2:$A$301,0))),IFERROR(INDEX($N$2:$N$201,MATCH($A117,$L$2:$L$201,0)),"")))</f>
        <v/>
      </c>
      <c r="D117" s="15">
        <f>IF($A117="","",IF(ISNUMBER(MATCH($A117,表單!$A$2:$A$301,0)),"線上表單",IFERROR(INDEX($O$2:$O$201,MATCH($A117,$L$2:$L$201,0)),"")))</f>
        <v/>
      </c>
      <c r="E117" s="15">
        <f>IF($A117="","",IF(ISNUMBER(MATCH($A117,表單!$A$2:$A$301,0)),"本檔","系統"))</f>
        <v/>
      </c>
      <c r="H117">
        <f>IF(AND(表單!$C117="自主檢查表",表單!$A117&lt;&gt;"",COUNTIF($L$2:$L$201,表單!$A117)=0),COUNT($H$1:H116)+1,"")</f>
        <v/>
      </c>
      <c r="J117">
        <f>IF(116&lt;=COUNTA($L$2:$L$201),INDEX($L$2:$L$201,116),IFERROR(INDEX(表單!$A$2:$A$301,MATCH(116-COUNTA($L$2:$L$201),$H$2:$H$301,0)),""))</f>
        <v/>
      </c>
    </row>
    <row r="118">
      <c r="A118" s="15">
        <f>IF($J118="","",$J118)</f>
        <v/>
      </c>
      <c r="B118" s="15">
        <f>IF($A118="","",IF(ISNUMBER(MATCH($A118,表單!$A$2:$A$301,0)),INDEX(表單!$B$2:$B$301,MATCH($A118,表單!$A$2:$A$301,0)),IFERROR(INDEX($M$2:$M$201,MATCH($A118,$L$2:$L$201,0)),"")))</f>
        <v/>
      </c>
      <c r="C118" s="15">
        <f>IF($A118="","",IF(ISNUMBER(MATCH($A118,表單!$A$2:$A$301,0)),IF(TRIM(INDEX(表單!$D$2:$D$301,MATCH($A118,表單!$A$2:$A$301,0)))="","（分項工程層）",INDEX(表單!$D$2:$D$301,MATCH($A118,表單!$A$2:$A$301,0))),IFERROR(INDEX($N$2:$N$201,MATCH($A118,$L$2:$L$201,0)),"")))</f>
        <v/>
      </c>
      <c r="D118" s="15">
        <f>IF($A118="","",IF(ISNUMBER(MATCH($A118,表單!$A$2:$A$301,0)),"線上表單",IFERROR(INDEX($O$2:$O$201,MATCH($A118,$L$2:$L$201,0)),"")))</f>
        <v/>
      </c>
      <c r="E118" s="15">
        <f>IF($A118="","",IF(ISNUMBER(MATCH($A118,表單!$A$2:$A$301,0)),"本檔","系統"))</f>
        <v/>
      </c>
      <c r="H118">
        <f>IF(AND(表單!$C118="自主檢查表",表單!$A118&lt;&gt;"",COUNTIF($L$2:$L$201,表單!$A118)=0),COUNT($H$1:H117)+1,"")</f>
        <v/>
      </c>
      <c r="J118">
        <f>IF(117&lt;=COUNTA($L$2:$L$201),INDEX($L$2:$L$201,117),IFERROR(INDEX(表單!$A$2:$A$301,MATCH(117-COUNTA($L$2:$L$201),$H$2:$H$301,0)),""))</f>
        <v/>
      </c>
    </row>
    <row r="119">
      <c r="A119" s="15">
        <f>IF($J119="","",$J119)</f>
        <v/>
      </c>
      <c r="B119" s="15">
        <f>IF($A119="","",IF(ISNUMBER(MATCH($A119,表單!$A$2:$A$301,0)),INDEX(表單!$B$2:$B$301,MATCH($A119,表單!$A$2:$A$301,0)),IFERROR(INDEX($M$2:$M$201,MATCH($A119,$L$2:$L$201,0)),"")))</f>
        <v/>
      </c>
      <c r="C119" s="15">
        <f>IF($A119="","",IF(ISNUMBER(MATCH($A119,表單!$A$2:$A$301,0)),IF(TRIM(INDEX(表單!$D$2:$D$301,MATCH($A119,表單!$A$2:$A$301,0)))="","（分項工程層）",INDEX(表單!$D$2:$D$301,MATCH($A119,表單!$A$2:$A$301,0))),IFERROR(INDEX($N$2:$N$201,MATCH($A119,$L$2:$L$201,0)),"")))</f>
        <v/>
      </c>
      <c r="D119" s="15">
        <f>IF($A119="","",IF(ISNUMBER(MATCH($A119,表單!$A$2:$A$301,0)),"線上表單",IFERROR(INDEX($O$2:$O$201,MATCH($A119,$L$2:$L$201,0)),"")))</f>
        <v/>
      </c>
      <c r="E119" s="15">
        <f>IF($A119="","",IF(ISNUMBER(MATCH($A119,表單!$A$2:$A$301,0)),"本檔","系統"))</f>
        <v/>
      </c>
      <c r="H119">
        <f>IF(AND(表單!$C119="自主檢查表",表單!$A119&lt;&gt;"",COUNTIF($L$2:$L$201,表單!$A119)=0),COUNT($H$1:H118)+1,"")</f>
        <v/>
      </c>
      <c r="J119">
        <f>IF(118&lt;=COUNTA($L$2:$L$201),INDEX($L$2:$L$201,118),IFERROR(INDEX(表單!$A$2:$A$301,MATCH(118-COUNTA($L$2:$L$201),$H$2:$H$301,0)),""))</f>
        <v/>
      </c>
    </row>
    <row r="120">
      <c r="A120" s="15">
        <f>IF($J120="","",$J120)</f>
        <v/>
      </c>
      <c r="B120" s="15">
        <f>IF($A120="","",IF(ISNUMBER(MATCH($A120,表單!$A$2:$A$301,0)),INDEX(表單!$B$2:$B$301,MATCH($A120,表單!$A$2:$A$301,0)),IFERROR(INDEX($M$2:$M$201,MATCH($A120,$L$2:$L$201,0)),"")))</f>
        <v/>
      </c>
      <c r="C120" s="15">
        <f>IF($A120="","",IF(ISNUMBER(MATCH($A120,表單!$A$2:$A$301,0)),IF(TRIM(INDEX(表單!$D$2:$D$301,MATCH($A120,表單!$A$2:$A$301,0)))="","（分項工程層）",INDEX(表單!$D$2:$D$301,MATCH($A120,表單!$A$2:$A$301,0))),IFERROR(INDEX($N$2:$N$201,MATCH($A120,$L$2:$L$201,0)),"")))</f>
        <v/>
      </c>
      <c r="D120" s="15">
        <f>IF($A120="","",IF(ISNUMBER(MATCH($A120,表單!$A$2:$A$301,0)),"線上表單",IFERROR(INDEX($O$2:$O$201,MATCH($A120,$L$2:$L$201,0)),"")))</f>
        <v/>
      </c>
      <c r="E120" s="15">
        <f>IF($A120="","",IF(ISNUMBER(MATCH($A120,表單!$A$2:$A$301,0)),"本檔","系統"))</f>
        <v/>
      </c>
      <c r="H120">
        <f>IF(AND(表單!$C120="自主檢查表",表單!$A120&lt;&gt;"",COUNTIF($L$2:$L$201,表單!$A120)=0),COUNT($H$1:H119)+1,"")</f>
        <v/>
      </c>
      <c r="J120">
        <f>IF(119&lt;=COUNTA($L$2:$L$201),INDEX($L$2:$L$201,119),IFERROR(INDEX(表單!$A$2:$A$301,MATCH(119-COUNTA($L$2:$L$201),$H$2:$H$301,0)),""))</f>
        <v/>
      </c>
    </row>
    <row r="121">
      <c r="A121" s="15">
        <f>IF($J121="","",$J121)</f>
        <v/>
      </c>
      <c r="B121" s="15">
        <f>IF($A121="","",IF(ISNUMBER(MATCH($A121,表單!$A$2:$A$301,0)),INDEX(表單!$B$2:$B$301,MATCH($A121,表單!$A$2:$A$301,0)),IFERROR(INDEX($M$2:$M$201,MATCH($A121,$L$2:$L$201,0)),"")))</f>
        <v/>
      </c>
      <c r="C121" s="15">
        <f>IF($A121="","",IF(ISNUMBER(MATCH($A121,表單!$A$2:$A$301,0)),IF(TRIM(INDEX(表單!$D$2:$D$301,MATCH($A121,表單!$A$2:$A$301,0)))="","（分項工程層）",INDEX(表單!$D$2:$D$301,MATCH($A121,表單!$A$2:$A$301,0))),IFERROR(INDEX($N$2:$N$201,MATCH($A121,$L$2:$L$201,0)),"")))</f>
        <v/>
      </c>
      <c r="D121" s="15">
        <f>IF($A121="","",IF(ISNUMBER(MATCH($A121,表單!$A$2:$A$301,0)),"線上表單",IFERROR(INDEX($O$2:$O$201,MATCH($A121,$L$2:$L$201,0)),"")))</f>
        <v/>
      </c>
      <c r="E121" s="15">
        <f>IF($A121="","",IF(ISNUMBER(MATCH($A121,表單!$A$2:$A$301,0)),"本檔","系統"))</f>
        <v/>
      </c>
      <c r="H121">
        <f>IF(AND(表單!$C121="自主檢查表",表單!$A121&lt;&gt;"",COUNTIF($L$2:$L$201,表單!$A121)=0),COUNT($H$1:H120)+1,"")</f>
        <v/>
      </c>
      <c r="J121">
        <f>IF(120&lt;=COUNTA($L$2:$L$201),INDEX($L$2:$L$201,120),IFERROR(INDEX(表單!$A$2:$A$301,MATCH(120-COUNTA($L$2:$L$201),$H$2:$H$301,0)),""))</f>
        <v/>
      </c>
    </row>
    <row r="122">
      <c r="A122" s="15">
        <f>IF($J122="","",$J122)</f>
        <v/>
      </c>
      <c r="B122" s="15">
        <f>IF($A122="","",IF(ISNUMBER(MATCH($A122,表單!$A$2:$A$301,0)),INDEX(表單!$B$2:$B$301,MATCH($A122,表單!$A$2:$A$301,0)),IFERROR(INDEX($M$2:$M$201,MATCH($A122,$L$2:$L$201,0)),"")))</f>
        <v/>
      </c>
      <c r="C122" s="15">
        <f>IF($A122="","",IF(ISNUMBER(MATCH($A122,表單!$A$2:$A$301,0)),IF(TRIM(INDEX(表單!$D$2:$D$301,MATCH($A122,表單!$A$2:$A$301,0)))="","（分項工程層）",INDEX(表單!$D$2:$D$301,MATCH($A122,表單!$A$2:$A$301,0))),IFERROR(INDEX($N$2:$N$201,MATCH($A122,$L$2:$L$201,0)),"")))</f>
        <v/>
      </c>
      <c r="D122" s="15">
        <f>IF($A122="","",IF(ISNUMBER(MATCH($A122,表單!$A$2:$A$301,0)),"線上表單",IFERROR(INDEX($O$2:$O$201,MATCH($A122,$L$2:$L$201,0)),"")))</f>
        <v/>
      </c>
      <c r="E122" s="15">
        <f>IF($A122="","",IF(ISNUMBER(MATCH($A122,表單!$A$2:$A$301,0)),"本檔","系統"))</f>
        <v/>
      </c>
      <c r="H122">
        <f>IF(AND(表單!$C122="自主檢查表",表單!$A122&lt;&gt;"",COUNTIF($L$2:$L$201,表單!$A122)=0),COUNT($H$1:H121)+1,"")</f>
        <v/>
      </c>
      <c r="J122">
        <f>IF(121&lt;=COUNTA($L$2:$L$201),INDEX($L$2:$L$201,121),IFERROR(INDEX(表單!$A$2:$A$301,MATCH(121-COUNTA($L$2:$L$201),$H$2:$H$301,0)),""))</f>
        <v/>
      </c>
    </row>
    <row r="123">
      <c r="A123" s="15">
        <f>IF($J123="","",$J123)</f>
        <v/>
      </c>
      <c r="B123" s="15">
        <f>IF($A123="","",IF(ISNUMBER(MATCH($A123,表單!$A$2:$A$301,0)),INDEX(表單!$B$2:$B$301,MATCH($A123,表單!$A$2:$A$301,0)),IFERROR(INDEX($M$2:$M$201,MATCH($A123,$L$2:$L$201,0)),"")))</f>
        <v/>
      </c>
      <c r="C123" s="15">
        <f>IF($A123="","",IF(ISNUMBER(MATCH($A123,表單!$A$2:$A$301,0)),IF(TRIM(INDEX(表單!$D$2:$D$301,MATCH($A123,表單!$A$2:$A$301,0)))="","（分項工程層）",INDEX(表單!$D$2:$D$301,MATCH($A123,表單!$A$2:$A$301,0))),IFERROR(INDEX($N$2:$N$201,MATCH($A123,$L$2:$L$201,0)),"")))</f>
        <v/>
      </c>
      <c r="D123" s="15">
        <f>IF($A123="","",IF(ISNUMBER(MATCH($A123,表單!$A$2:$A$301,0)),"線上表單",IFERROR(INDEX($O$2:$O$201,MATCH($A123,$L$2:$L$201,0)),"")))</f>
        <v/>
      </c>
      <c r="E123" s="15">
        <f>IF($A123="","",IF(ISNUMBER(MATCH($A123,表單!$A$2:$A$301,0)),"本檔","系統"))</f>
        <v/>
      </c>
      <c r="H123">
        <f>IF(AND(表單!$C123="自主檢查表",表單!$A123&lt;&gt;"",COUNTIF($L$2:$L$201,表單!$A123)=0),COUNT($H$1:H122)+1,"")</f>
        <v/>
      </c>
      <c r="J123">
        <f>IF(122&lt;=COUNTA($L$2:$L$201),INDEX($L$2:$L$201,122),IFERROR(INDEX(表單!$A$2:$A$301,MATCH(122-COUNTA($L$2:$L$201),$H$2:$H$301,0)),""))</f>
        <v/>
      </c>
    </row>
    <row r="124">
      <c r="A124" s="15">
        <f>IF($J124="","",$J124)</f>
        <v/>
      </c>
      <c r="B124" s="15">
        <f>IF($A124="","",IF(ISNUMBER(MATCH($A124,表單!$A$2:$A$301,0)),INDEX(表單!$B$2:$B$301,MATCH($A124,表單!$A$2:$A$301,0)),IFERROR(INDEX($M$2:$M$201,MATCH($A124,$L$2:$L$201,0)),"")))</f>
        <v/>
      </c>
      <c r="C124" s="15">
        <f>IF($A124="","",IF(ISNUMBER(MATCH($A124,表單!$A$2:$A$301,0)),IF(TRIM(INDEX(表單!$D$2:$D$301,MATCH($A124,表單!$A$2:$A$301,0)))="","（分項工程層）",INDEX(表單!$D$2:$D$301,MATCH($A124,表單!$A$2:$A$301,0))),IFERROR(INDEX($N$2:$N$201,MATCH($A124,$L$2:$L$201,0)),"")))</f>
        <v/>
      </c>
      <c r="D124" s="15">
        <f>IF($A124="","",IF(ISNUMBER(MATCH($A124,表單!$A$2:$A$301,0)),"線上表單",IFERROR(INDEX($O$2:$O$201,MATCH($A124,$L$2:$L$201,0)),"")))</f>
        <v/>
      </c>
      <c r="E124" s="15">
        <f>IF($A124="","",IF(ISNUMBER(MATCH($A124,表單!$A$2:$A$301,0)),"本檔","系統"))</f>
        <v/>
      </c>
      <c r="H124">
        <f>IF(AND(表單!$C124="自主檢查表",表單!$A124&lt;&gt;"",COUNTIF($L$2:$L$201,表單!$A124)=0),COUNT($H$1:H123)+1,"")</f>
        <v/>
      </c>
      <c r="J124">
        <f>IF(123&lt;=COUNTA($L$2:$L$201),INDEX($L$2:$L$201,123),IFERROR(INDEX(表單!$A$2:$A$301,MATCH(123-COUNTA($L$2:$L$201),$H$2:$H$301,0)),""))</f>
        <v/>
      </c>
    </row>
    <row r="125">
      <c r="A125" s="15">
        <f>IF($J125="","",$J125)</f>
        <v/>
      </c>
      <c r="B125" s="15">
        <f>IF($A125="","",IF(ISNUMBER(MATCH($A125,表單!$A$2:$A$301,0)),INDEX(表單!$B$2:$B$301,MATCH($A125,表單!$A$2:$A$301,0)),IFERROR(INDEX($M$2:$M$201,MATCH($A125,$L$2:$L$201,0)),"")))</f>
        <v/>
      </c>
      <c r="C125" s="15">
        <f>IF($A125="","",IF(ISNUMBER(MATCH($A125,表單!$A$2:$A$301,0)),IF(TRIM(INDEX(表單!$D$2:$D$301,MATCH($A125,表單!$A$2:$A$301,0)))="","（分項工程層）",INDEX(表單!$D$2:$D$301,MATCH($A125,表單!$A$2:$A$301,0))),IFERROR(INDEX($N$2:$N$201,MATCH($A125,$L$2:$L$201,0)),"")))</f>
        <v/>
      </c>
      <c r="D125" s="15">
        <f>IF($A125="","",IF(ISNUMBER(MATCH($A125,表單!$A$2:$A$301,0)),"線上表單",IFERROR(INDEX($O$2:$O$201,MATCH($A125,$L$2:$L$201,0)),"")))</f>
        <v/>
      </c>
      <c r="E125" s="15">
        <f>IF($A125="","",IF(ISNUMBER(MATCH($A125,表單!$A$2:$A$301,0)),"本檔","系統"))</f>
        <v/>
      </c>
      <c r="H125">
        <f>IF(AND(表單!$C125="自主檢查表",表單!$A125&lt;&gt;"",COUNTIF($L$2:$L$201,表單!$A125)=0),COUNT($H$1:H124)+1,"")</f>
        <v/>
      </c>
      <c r="J125">
        <f>IF(124&lt;=COUNTA($L$2:$L$201),INDEX($L$2:$L$201,124),IFERROR(INDEX(表單!$A$2:$A$301,MATCH(124-COUNTA($L$2:$L$201),$H$2:$H$301,0)),""))</f>
        <v/>
      </c>
    </row>
    <row r="126">
      <c r="A126" s="15">
        <f>IF($J126="","",$J126)</f>
        <v/>
      </c>
      <c r="B126" s="15">
        <f>IF($A126="","",IF(ISNUMBER(MATCH($A126,表單!$A$2:$A$301,0)),INDEX(表單!$B$2:$B$301,MATCH($A126,表單!$A$2:$A$301,0)),IFERROR(INDEX($M$2:$M$201,MATCH($A126,$L$2:$L$201,0)),"")))</f>
        <v/>
      </c>
      <c r="C126" s="15">
        <f>IF($A126="","",IF(ISNUMBER(MATCH($A126,表單!$A$2:$A$301,0)),IF(TRIM(INDEX(表單!$D$2:$D$301,MATCH($A126,表單!$A$2:$A$301,0)))="","（分項工程層）",INDEX(表單!$D$2:$D$301,MATCH($A126,表單!$A$2:$A$301,0))),IFERROR(INDEX($N$2:$N$201,MATCH($A126,$L$2:$L$201,0)),"")))</f>
        <v/>
      </c>
      <c r="D126" s="15">
        <f>IF($A126="","",IF(ISNUMBER(MATCH($A126,表單!$A$2:$A$301,0)),"線上表單",IFERROR(INDEX($O$2:$O$201,MATCH($A126,$L$2:$L$201,0)),"")))</f>
        <v/>
      </c>
      <c r="E126" s="15">
        <f>IF($A126="","",IF(ISNUMBER(MATCH($A126,表單!$A$2:$A$301,0)),"本檔","系統"))</f>
        <v/>
      </c>
      <c r="H126">
        <f>IF(AND(表單!$C126="自主檢查表",表單!$A126&lt;&gt;"",COUNTIF($L$2:$L$201,表單!$A126)=0),COUNT($H$1:H125)+1,"")</f>
        <v/>
      </c>
      <c r="J126">
        <f>IF(125&lt;=COUNTA($L$2:$L$201),INDEX($L$2:$L$201,125),IFERROR(INDEX(表單!$A$2:$A$301,MATCH(125-COUNTA($L$2:$L$201),$H$2:$H$301,0)),""))</f>
        <v/>
      </c>
    </row>
    <row r="127">
      <c r="A127" s="15">
        <f>IF($J127="","",$J127)</f>
        <v/>
      </c>
      <c r="B127" s="15">
        <f>IF($A127="","",IF(ISNUMBER(MATCH($A127,表單!$A$2:$A$301,0)),INDEX(表單!$B$2:$B$301,MATCH($A127,表單!$A$2:$A$301,0)),IFERROR(INDEX($M$2:$M$201,MATCH($A127,$L$2:$L$201,0)),"")))</f>
        <v/>
      </c>
      <c r="C127" s="15">
        <f>IF($A127="","",IF(ISNUMBER(MATCH($A127,表單!$A$2:$A$301,0)),IF(TRIM(INDEX(表單!$D$2:$D$301,MATCH($A127,表單!$A$2:$A$301,0)))="","（分項工程層）",INDEX(表單!$D$2:$D$301,MATCH($A127,表單!$A$2:$A$301,0))),IFERROR(INDEX($N$2:$N$201,MATCH($A127,$L$2:$L$201,0)),"")))</f>
        <v/>
      </c>
      <c r="D127" s="15">
        <f>IF($A127="","",IF(ISNUMBER(MATCH($A127,表單!$A$2:$A$301,0)),"線上表單",IFERROR(INDEX($O$2:$O$201,MATCH($A127,$L$2:$L$201,0)),"")))</f>
        <v/>
      </c>
      <c r="E127" s="15">
        <f>IF($A127="","",IF(ISNUMBER(MATCH($A127,表單!$A$2:$A$301,0)),"本檔","系統"))</f>
        <v/>
      </c>
      <c r="H127">
        <f>IF(AND(表單!$C127="自主檢查表",表單!$A127&lt;&gt;"",COUNTIF($L$2:$L$201,表單!$A127)=0),COUNT($H$1:H126)+1,"")</f>
        <v/>
      </c>
      <c r="J127">
        <f>IF(126&lt;=COUNTA($L$2:$L$201),INDEX($L$2:$L$201,126),IFERROR(INDEX(表單!$A$2:$A$301,MATCH(126-COUNTA($L$2:$L$201),$H$2:$H$301,0)),""))</f>
        <v/>
      </c>
    </row>
    <row r="128">
      <c r="A128" s="15">
        <f>IF($J128="","",$J128)</f>
        <v/>
      </c>
      <c r="B128" s="15">
        <f>IF($A128="","",IF(ISNUMBER(MATCH($A128,表單!$A$2:$A$301,0)),INDEX(表單!$B$2:$B$301,MATCH($A128,表單!$A$2:$A$301,0)),IFERROR(INDEX($M$2:$M$201,MATCH($A128,$L$2:$L$201,0)),"")))</f>
        <v/>
      </c>
      <c r="C128" s="15">
        <f>IF($A128="","",IF(ISNUMBER(MATCH($A128,表單!$A$2:$A$301,0)),IF(TRIM(INDEX(表單!$D$2:$D$301,MATCH($A128,表單!$A$2:$A$301,0)))="","（分項工程層）",INDEX(表單!$D$2:$D$301,MATCH($A128,表單!$A$2:$A$301,0))),IFERROR(INDEX($N$2:$N$201,MATCH($A128,$L$2:$L$201,0)),"")))</f>
        <v/>
      </c>
      <c r="D128" s="15">
        <f>IF($A128="","",IF(ISNUMBER(MATCH($A128,表單!$A$2:$A$301,0)),"線上表單",IFERROR(INDEX($O$2:$O$201,MATCH($A128,$L$2:$L$201,0)),"")))</f>
        <v/>
      </c>
      <c r="E128" s="15">
        <f>IF($A128="","",IF(ISNUMBER(MATCH($A128,表單!$A$2:$A$301,0)),"本檔","系統"))</f>
        <v/>
      </c>
      <c r="H128">
        <f>IF(AND(表單!$C128="自主檢查表",表單!$A128&lt;&gt;"",COUNTIF($L$2:$L$201,表單!$A128)=0),COUNT($H$1:H127)+1,"")</f>
        <v/>
      </c>
      <c r="J128">
        <f>IF(127&lt;=COUNTA($L$2:$L$201),INDEX($L$2:$L$201,127),IFERROR(INDEX(表單!$A$2:$A$301,MATCH(127-COUNTA($L$2:$L$201),$H$2:$H$301,0)),""))</f>
        <v/>
      </c>
    </row>
    <row r="129">
      <c r="A129" s="15">
        <f>IF($J129="","",$J129)</f>
        <v/>
      </c>
      <c r="B129" s="15">
        <f>IF($A129="","",IF(ISNUMBER(MATCH($A129,表單!$A$2:$A$301,0)),INDEX(表單!$B$2:$B$301,MATCH($A129,表單!$A$2:$A$301,0)),IFERROR(INDEX($M$2:$M$201,MATCH($A129,$L$2:$L$201,0)),"")))</f>
        <v/>
      </c>
      <c r="C129" s="15">
        <f>IF($A129="","",IF(ISNUMBER(MATCH($A129,表單!$A$2:$A$301,0)),IF(TRIM(INDEX(表單!$D$2:$D$301,MATCH($A129,表單!$A$2:$A$301,0)))="","（分項工程層）",INDEX(表單!$D$2:$D$301,MATCH($A129,表單!$A$2:$A$301,0))),IFERROR(INDEX($N$2:$N$201,MATCH($A129,$L$2:$L$201,0)),"")))</f>
        <v/>
      </c>
      <c r="D129" s="15">
        <f>IF($A129="","",IF(ISNUMBER(MATCH($A129,表單!$A$2:$A$301,0)),"線上表單",IFERROR(INDEX($O$2:$O$201,MATCH($A129,$L$2:$L$201,0)),"")))</f>
        <v/>
      </c>
      <c r="E129" s="15">
        <f>IF($A129="","",IF(ISNUMBER(MATCH($A129,表單!$A$2:$A$301,0)),"本檔","系統"))</f>
        <v/>
      </c>
      <c r="H129">
        <f>IF(AND(表單!$C129="自主檢查表",表單!$A129&lt;&gt;"",COUNTIF($L$2:$L$201,表單!$A129)=0),COUNT($H$1:H128)+1,"")</f>
        <v/>
      </c>
      <c r="J129">
        <f>IF(128&lt;=COUNTA($L$2:$L$201),INDEX($L$2:$L$201,128),IFERROR(INDEX(表單!$A$2:$A$301,MATCH(128-COUNTA($L$2:$L$201),$H$2:$H$301,0)),""))</f>
        <v/>
      </c>
    </row>
    <row r="130">
      <c r="A130" s="15">
        <f>IF($J130="","",$J130)</f>
        <v/>
      </c>
      <c r="B130" s="15">
        <f>IF($A130="","",IF(ISNUMBER(MATCH($A130,表單!$A$2:$A$301,0)),INDEX(表單!$B$2:$B$301,MATCH($A130,表單!$A$2:$A$301,0)),IFERROR(INDEX($M$2:$M$201,MATCH($A130,$L$2:$L$201,0)),"")))</f>
        <v/>
      </c>
      <c r="C130" s="15">
        <f>IF($A130="","",IF(ISNUMBER(MATCH($A130,表單!$A$2:$A$301,0)),IF(TRIM(INDEX(表單!$D$2:$D$301,MATCH($A130,表單!$A$2:$A$301,0)))="","（分項工程層）",INDEX(表單!$D$2:$D$301,MATCH($A130,表單!$A$2:$A$301,0))),IFERROR(INDEX($N$2:$N$201,MATCH($A130,$L$2:$L$201,0)),"")))</f>
        <v/>
      </c>
      <c r="D130" s="15">
        <f>IF($A130="","",IF(ISNUMBER(MATCH($A130,表單!$A$2:$A$301,0)),"線上表單",IFERROR(INDEX($O$2:$O$201,MATCH($A130,$L$2:$L$201,0)),"")))</f>
        <v/>
      </c>
      <c r="E130" s="15">
        <f>IF($A130="","",IF(ISNUMBER(MATCH($A130,表單!$A$2:$A$301,0)),"本檔","系統"))</f>
        <v/>
      </c>
      <c r="H130">
        <f>IF(AND(表單!$C130="自主檢查表",表單!$A130&lt;&gt;"",COUNTIF($L$2:$L$201,表單!$A130)=0),COUNT($H$1:H129)+1,"")</f>
        <v/>
      </c>
      <c r="J130">
        <f>IF(129&lt;=COUNTA($L$2:$L$201),INDEX($L$2:$L$201,129),IFERROR(INDEX(表單!$A$2:$A$301,MATCH(129-COUNTA($L$2:$L$201),$H$2:$H$301,0)),""))</f>
        <v/>
      </c>
    </row>
    <row r="131">
      <c r="A131" s="15">
        <f>IF($J131="","",$J131)</f>
        <v/>
      </c>
      <c r="B131" s="15">
        <f>IF($A131="","",IF(ISNUMBER(MATCH($A131,表單!$A$2:$A$301,0)),INDEX(表單!$B$2:$B$301,MATCH($A131,表單!$A$2:$A$301,0)),IFERROR(INDEX($M$2:$M$201,MATCH($A131,$L$2:$L$201,0)),"")))</f>
        <v/>
      </c>
      <c r="C131" s="15">
        <f>IF($A131="","",IF(ISNUMBER(MATCH($A131,表單!$A$2:$A$301,0)),IF(TRIM(INDEX(表單!$D$2:$D$301,MATCH($A131,表單!$A$2:$A$301,0)))="","（分項工程層）",INDEX(表單!$D$2:$D$301,MATCH($A131,表單!$A$2:$A$301,0))),IFERROR(INDEX($N$2:$N$201,MATCH($A131,$L$2:$L$201,0)),"")))</f>
        <v/>
      </c>
      <c r="D131" s="15">
        <f>IF($A131="","",IF(ISNUMBER(MATCH($A131,表單!$A$2:$A$301,0)),"線上表單",IFERROR(INDEX($O$2:$O$201,MATCH($A131,$L$2:$L$201,0)),"")))</f>
        <v/>
      </c>
      <c r="E131" s="15">
        <f>IF($A131="","",IF(ISNUMBER(MATCH($A131,表單!$A$2:$A$301,0)),"本檔","系統"))</f>
        <v/>
      </c>
      <c r="H131">
        <f>IF(AND(表單!$C131="自主檢查表",表單!$A131&lt;&gt;"",COUNTIF($L$2:$L$201,表單!$A131)=0),COUNT($H$1:H130)+1,"")</f>
        <v/>
      </c>
      <c r="J131">
        <f>IF(130&lt;=COUNTA($L$2:$L$201),INDEX($L$2:$L$201,130),IFERROR(INDEX(表單!$A$2:$A$301,MATCH(130-COUNTA($L$2:$L$201),$H$2:$H$301,0)),""))</f>
        <v/>
      </c>
    </row>
    <row r="132">
      <c r="A132" s="15">
        <f>IF($J132="","",$J132)</f>
        <v/>
      </c>
      <c r="B132" s="15">
        <f>IF($A132="","",IF(ISNUMBER(MATCH($A132,表單!$A$2:$A$301,0)),INDEX(表單!$B$2:$B$301,MATCH($A132,表單!$A$2:$A$301,0)),IFERROR(INDEX($M$2:$M$201,MATCH($A132,$L$2:$L$201,0)),"")))</f>
        <v/>
      </c>
      <c r="C132" s="15">
        <f>IF($A132="","",IF(ISNUMBER(MATCH($A132,表單!$A$2:$A$301,0)),IF(TRIM(INDEX(表單!$D$2:$D$301,MATCH($A132,表單!$A$2:$A$301,0)))="","（分項工程層）",INDEX(表單!$D$2:$D$301,MATCH($A132,表單!$A$2:$A$301,0))),IFERROR(INDEX($N$2:$N$201,MATCH($A132,$L$2:$L$201,0)),"")))</f>
        <v/>
      </c>
      <c r="D132" s="15">
        <f>IF($A132="","",IF(ISNUMBER(MATCH($A132,表單!$A$2:$A$301,0)),"線上表單",IFERROR(INDEX($O$2:$O$201,MATCH($A132,$L$2:$L$201,0)),"")))</f>
        <v/>
      </c>
      <c r="E132" s="15">
        <f>IF($A132="","",IF(ISNUMBER(MATCH($A132,表單!$A$2:$A$301,0)),"本檔","系統"))</f>
        <v/>
      </c>
      <c r="H132">
        <f>IF(AND(表單!$C132="自主檢查表",表單!$A132&lt;&gt;"",COUNTIF($L$2:$L$201,表單!$A132)=0),COUNT($H$1:H131)+1,"")</f>
        <v/>
      </c>
      <c r="J132">
        <f>IF(131&lt;=COUNTA($L$2:$L$201),INDEX($L$2:$L$201,131),IFERROR(INDEX(表單!$A$2:$A$301,MATCH(131-COUNTA($L$2:$L$201),$H$2:$H$301,0)),""))</f>
        <v/>
      </c>
    </row>
    <row r="133">
      <c r="A133" s="15">
        <f>IF($J133="","",$J133)</f>
        <v/>
      </c>
      <c r="B133" s="15">
        <f>IF($A133="","",IF(ISNUMBER(MATCH($A133,表單!$A$2:$A$301,0)),INDEX(表單!$B$2:$B$301,MATCH($A133,表單!$A$2:$A$301,0)),IFERROR(INDEX($M$2:$M$201,MATCH($A133,$L$2:$L$201,0)),"")))</f>
        <v/>
      </c>
      <c r="C133" s="15">
        <f>IF($A133="","",IF(ISNUMBER(MATCH($A133,表單!$A$2:$A$301,0)),IF(TRIM(INDEX(表單!$D$2:$D$301,MATCH($A133,表單!$A$2:$A$301,0)))="","（分項工程層）",INDEX(表單!$D$2:$D$301,MATCH($A133,表單!$A$2:$A$301,0))),IFERROR(INDEX($N$2:$N$201,MATCH($A133,$L$2:$L$201,0)),"")))</f>
        <v/>
      </c>
      <c r="D133" s="15">
        <f>IF($A133="","",IF(ISNUMBER(MATCH($A133,表單!$A$2:$A$301,0)),"線上表單",IFERROR(INDEX($O$2:$O$201,MATCH($A133,$L$2:$L$201,0)),"")))</f>
        <v/>
      </c>
      <c r="E133" s="15">
        <f>IF($A133="","",IF(ISNUMBER(MATCH($A133,表單!$A$2:$A$301,0)),"本檔","系統"))</f>
        <v/>
      </c>
      <c r="H133">
        <f>IF(AND(表單!$C133="自主檢查表",表單!$A133&lt;&gt;"",COUNTIF($L$2:$L$201,表單!$A133)=0),COUNT($H$1:H132)+1,"")</f>
        <v/>
      </c>
      <c r="J133">
        <f>IF(132&lt;=COUNTA($L$2:$L$201),INDEX($L$2:$L$201,132),IFERROR(INDEX(表單!$A$2:$A$301,MATCH(132-COUNTA($L$2:$L$201),$H$2:$H$301,0)),""))</f>
        <v/>
      </c>
    </row>
    <row r="134">
      <c r="A134" s="15">
        <f>IF($J134="","",$J134)</f>
        <v/>
      </c>
      <c r="B134" s="15">
        <f>IF($A134="","",IF(ISNUMBER(MATCH($A134,表單!$A$2:$A$301,0)),INDEX(表單!$B$2:$B$301,MATCH($A134,表單!$A$2:$A$301,0)),IFERROR(INDEX($M$2:$M$201,MATCH($A134,$L$2:$L$201,0)),"")))</f>
        <v/>
      </c>
      <c r="C134" s="15">
        <f>IF($A134="","",IF(ISNUMBER(MATCH($A134,表單!$A$2:$A$301,0)),IF(TRIM(INDEX(表單!$D$2:$D$301,MATCH($A134,表單!$A$2:$A$301,0)))="","（分項工程層）",INDEX(表單!$D$2:$D$301,MATCH($A134,表單!$A$2:$A$301,0))),IFERROR(INDEX($N$2:$N$201,MATCH($A134,$L$2:$L$201,0)),"")))</f>
        <v/>
      </c>
      <c r="D134" s="15">
        <f>IF($A134="","",IF(ISNUMBER(MATCH($A134,表單!$A$2:$A$301,0)),"線上表單",IFERROR(INDEX($O$2:$O$201,MATCH($A134,$L$2:$L$201,0)),"")))</f>
        <v/>
      </c>
      <c r="E134" s="15">
        <f>IF($A134="","",IF(ISNUMBER(MATCH($A134,表單!$A$2:$A$301,0)),"本檔","系統"))</f>
        <v/>
      </c>
      <c r="H134">
        <f>IF(AND(表單!$C134="自主檢查表",表單!$A134&lt;&gt;"",COUNTIF($L$2:$L$201,表單!$A134)=0),COUNT($H$1:H133)+1,"")</f>
        <v/>
      </c>
      <c r="J134">
        <f>IF(133&lt;=COUNTA($L$2:$L$201),INDEX($L$2:$L$201,133),IFERROR(INDEX(表單!$A$2:$A$301,MATCH(133-COUNTA($L$2:$L$201),$H$2:$H$301,0)),""))</f>
        <v/>
      </c>
    </row>
    <row r="135">
      <c r="A135" s="15">
        <f>IF($J135="","",$J135)</f>
        <v/>
      </c>
      <c r="B135" s="15">
        <f>IF($A135="","",IF(ISNUMBER(MATCH($A135,表單!$A$2:$A$301,0)),INDEX(表單!$B$2:$B$301,MATCH($A135,表單!$A$2:$A$301,0)),IFERROR(INDEX($M$2:$M$201,MATCH($A135,$L$2:$L$201,0)),"")))</f>
        <v/>
      </c>
      <c r="C135" s="15">
        <f>IF($A135="","",IF(ISNUMBER(MATCH($A135,表單!$A$2:$A$301,0)),IF(TRIM(INDEX(表單!$D$2:$D$301,MATCH($A135,表單!$A$2:$A$301,0)))="","（分項工程層）",INDEX(表單!$D$2:$D$301,MATCH($A135,表單!$A$2:$A$301,0))),IFERROR(INDEX($N$2:$N$201,MATCH($A135,$L$2:$L$201,0)),"")))</f>
        <v/>
      </c>
      <c r="D135" s="15">
        <f>IF($A135="","",IF(ISNUMBER(MATCH($A135,表單!$A$2:$A$301,0)),"線上表單",IFERROR(INDEX($O$2:$O$201,MATCH($A135,$L$2:$L$201,0)),"")))</f>
        <v/>
      </c>
      <c r="E135" s="15">
        <f>IF($A135="","",IF(ISNUMBER(MATCH($A135,表單!$A$2:$A$301,0)),"本檔","系統"))</f>
        <v/>
      </c>
      <c r="H135">
        <f>IF(AND(表單!$C135="自主檢查表",表單!$A135&lt;&gt;"",COUNTIF($L$2:$L$201,表單!$A135)=0),COUNT($H$1:H134)+1,"")</f>
        <v/>
      </c>
      <c r="J135">
        <f>IF(134&lt;=COUNTA($L$2:$L$201),INDEX($L$2:$L$201,134),IFERROR(INDEX(表單!$A$2:$A$301,MATCH(134-COUNTA($L$2:$L$201),$H$2:$H$301,0)),""))</f>
        <v/>
      </c>
    </row>
    <row r="136">
      <c r="A136" s="15">
        <f>IF($J136="","",$J136)</f>
        <v/>
      </c>
      <c r="B136" s="15">
        <f>IF($A136="","",IF(ISNUMBER(MATCH($A136,表單!$A$2:$A$301,0)),INDEX(表單!$B$2:$B$301,MATCH($A136,表單!$A$2:$A$301,0)),IFERROR(INDEX($M$2:$M$201,MATCH($A136,$L$2:$L$201,0)),"")))</f>
        <v/>
      </c>
      <c r="C136" s="15">
        <f>IF($A136="","",IF(ISNUMBER(MATCH($A136,表單!$A$2:$A$301,0)),IF(TRIM(INDEX(表單!$D$2:$D$301,MATCH($A136,表單!$A$2:$A$301,0)))="","（分項工程層）",INDEX(表單!$D$2:$D$301,MATCH($A136,表單!$A$2:$A$301,0))),IFERROR(INDEX($N$2:$N$201,MATCH($A136,$L$2:$L$201,0)),"")))</f>
        <v/>
      </c>
      <c r="D136" s="15">
        <f>IF($A136="","",IF(ISNUMBER(MATCH($A136,表單!$A$2:$A$301,0)),"線上表單",IFERROR(INDEX($O$2:$O$201,MATCH($A136,$L$2:$L$201,0)),"")))</f>
        <v/>
      </c>
      <c r="E136" s="15">
        <f>IF($A136="","",IF(ISNUMBER(MATCH($A136,表單!$A$2:$A$301,0)),"本檔","系統"))</f>
        <v/>
      </c>
      <c r="H136">
        <f>IF(AND(表單!$C136="自主檢查表",表單!$A136&lt;&gt;"",COUNTIF($L$2:$L$201,表單!$A136)=0),COUNT($H$1:H135)+1,"")</f>
        <v/>
      </c>
      <c r="J136">
        <f>IF(135&lt;=COUNTA($L$2:$L$201),INDEX($L$2:$L$201,135),IFERROR(INDEX(表單!$A$2:$A$301,MATCH(135-COUNTA($L$2:$L$201),$H$2:$H$301,0)),""))</f>
        <v/>
      </c>
    </row>
    <row r="137">
      <c r="A137" s="15">
        <f>IF($J137="","",$J137)</f>
        <v/>
      </c>
      <c r="B137" s="15">
        <f>IF($A137="","",IF(ISNUMBER(MATCH($A137,表單!$A$2:$A$301,0)),INDEX(表單!$B$2:$B$301,MATCH($A137,表單!$A$2:$A$301,0)),IFERROR(INDEX($M$2:$M$201,MATCH($A137,$L$2:$L$201,0)),"")))</f>
        <v/>
      </c>
      <c r="C137" s="15">
        <f>IF($A137="","",IF(ISNUMBER(MATCH($A137,表單!$A$2:$A$301,0)),IF(TRIM(INDEX(表單!$D$2:$D$301,MATCH($A137,表單!$A$2:$A$301,0)))="","（分項工程層）",INDEX(表單!$D$2:$D$301,MATCH($A137,表單!$A$2:$A$301,0))),IFERROR(INDEX($N$2:$N$201,MATCH($A137,$L$2:$L$201,0)),"")))</f>
        <v/>
      </c>
      <c r="D137" s="15">
        <f>IF($A137="","",IF(ISNUMBER(MATCH($A137,表單!$A$2:$A$301,0)),"線上表單",IFERROR(INDEX($O$2:$O$201,MATCH($A137,$L$2:$L$201,0)),"")))</f>
        <v/>
      </c>
      <c r="E137" s="15">
        <f>IF($A137="","",IF(ISNUMBER(MATCH($A137,表單!$A$2:$A$301,0)),"本檔","系統"))</f>
        <v/>
      </c>
      <c r="H137">
        <f>IF(AND(表單!$C137="自主檢查表",表單!$A137&lt;&gt;"",COUNTIF($L$2:$L$201,表單!$A137)=0),COUNT($H$1:H136)+1,"")</f>
        <v/>
      </c>
      <c r="J137">
        <f>IF(136&lt;=COUNTA($L$2:$L$201),INDEX($L$2:$L$201,136),IFERROR(INDEX(表單!$A$2:$A$301,MATCH(136-COUNTA($L$2:$L$201),$H$2:$H$301,0)),""))</f>
        <v/>
      </c>
    </row>
    <row r="138">
      <c r="A138" s="15">
        <f>IF($J138="","",$J138)</f>
        <v/>
      </c>
      <c r="B138" s="15">
        <f>IF($A138="","",IF(ISNUMBER(MATCH($A138,表單!$A$2:$A$301,0)),INDEX(表單!$B$2:$B$301,MATCH($A138,表單!$A$2:$A$301,0)),IFERROR(INDEX($M$2:$M$201,MATCH($A138,$L$2:$L$201,0)),"")))</f>
        <v/>
      </c>
      <c r="C138" s="15">
        <f>IF($A138="","",IF(ISNUMBER(MATCH($A138,表單!$A$2:$A$301,0)),IF(TRIM(INDEX(表單!$D$2:$D$301,MATCH($A138,表單!$A$2:$A$301,0)))="","（分項工程層）",INDEX(表單!$D$2:$D$301,MATCH($A138,表單!$A$2:$A$301,0))),IFERROR(INDEX($N$2:$N$201,MATCH($A138,$L$2:$L$201,0)),"")))</f>
        <v/>
      </c>
      <c r="D138" s="15">
        <f>IF($A138="","",IF(ISNUMBER(MATCH($A138,表單!$A$2:$A$301,0)),"線上表單",IFERROR(INDEX($O$2:$O$201,MATCH($A138,$L$2:$L$201,0)),"")))</f>
        <v/>
      </c>
      <c r="E138" s="15">
        <f>IF($A138="","",IF(ISNUMBER(MATCH($A138,表單!$A$2:$A$301,0)),"本檔","系統"))</f>
        <v/>
      </c>
      <c r="H138">
        <f>IF(AND(表單!$C138="自主檢查表",表單!$A138&lt;&gt;"",COUNTIF($L$2:$L$201,表單!$A138)=0),COUNT($H$1:H137)+1,"")</f>
        <v/>
      </c>
      <c r="J138">
        <f>IF(137&lt;=COUNTA($L$2:$L$201),INDEX($L$2:$L$201,137),IFERROR(INDEX(表單!$A$2:$A$301,MATCH(137-COUNTA($L$2:$L$201),$H$2:$H$301,0)),""))</f>
        <v/>
      </c>
    </row>
    <row r="139">
      <c r="A139" s="15">
        <f>IF($J139="","",$J139)</f>
        <v/>
      </c>
      <c r="B139" s="15">
        <f>IF($A139="","",IF(ISNUMBER(MATCH($A139,表單!$A$2:$A$301,0)),INDEX(表單!$B$2:$B$301,MATCH($A139,表單!$A$2:$A$301,0)),IFERROR(INDEX($M$2:$M$201,MATCH($A139,$L$2:$L$201,0)),"")))</f>
        <v/>
      </c>
      <c r="C139" s="15">
        <f>IF($A139="","",IF(ISNUMBER(MATCH($A139,表單!$A$2:$A$301,0)),IF(TRIM(INDEX(表單!$D$2:$D$301,MATCH($A139,表單!$A$2:$A$301,0)))="","（分項工程層）",INDEX(表單!$D$2:$D$301,MATCH($A139,表單!$A$2:$A$301,0))),IFERROR(INDEX($N$2:$N$201,MATCH($A139,$L$2:$L$201,0)),"")))</f>
        <v/>
      </c>
      <c r="D139" s="15">
        <f>IF($A139="","",IF(ISNUMBER(MATCH($A139,表單!$A$2:$A$301,0)),"線上表單",IFERROR(INDEX($O$2:$O$201,MATCH($A139,$L$2:$L$201,0)),"")))</f>
        <v/>
      </c>
      <c r="E139" s="15">
        <f>IF($A139="","",IF(ISNUMBER(MATCH($A139,表單!$A$2:$A$301,0)),"本檔","系統"))</f>
        <v/>
      </c>
      <c r="H139">
        <f>IF(AND(表單!$C139="自主檢查表",表單!$A139&lt;&gt;"",COUNTIF($L$2:$L$201,表單!$A139)=0),COUNT($H$1:H138)+1,"")</f>
        <v/>
      </c>
      <c r="J139">
        <f>IF(138&lt;=COUNTA($L$2:$L$201),INDEX($L$2:$L$201,138),IFERROR(INDEX(表單!$A$2:$A$301,MATCH(138-COUNTA($L$2:$L$201),$H$2:$H$301,0)),""))</f>
        <v/>
      </c>
    </row>
    <row r="140">
      <c r="A140" s="15">
        <f>IF($J140="","",$J140)</f>
        <v/>
      </c>
      <c r="B140" s="15">
        <f>IF($A140="","",IF(ISNUMBER(MATCH($A140,表單!$A$2:$A$301,0)),INDEX(表單!$B$2:$B$301,MATCH($A140,表單!$A$2:$A$301,0)),IFERROR(INDEX($M$2:$M$201,MATCH($A140,$L$2:$L$201,0)),"")))</f>
        <v/>
      </c>
      <c r="C140" s="15">
        <f>IF($A140="","",IF(ISNUMBER(MATCH($A140,表單!$A$2:$A$301,0)),IF(TRIM(INDEX(表單!$D$2:$D$301,MATCH($A140,表單!$A$2:$A$301,0)))="","（分項工程層）",INDEX(表單!$D$2:$D$301,MATCH($A140,表單!$A$2:$A$301,0))),IFERROR(INDEX($N$2:$N$201,MATCH($A140,$L$2:$L$201,0)),"")))</f>
        <v/>
      </c>
      <c r="D140" s="15">
        <f>IF($A140="","",IF(ISNUMBER(MATCH($A140,表單!$A$2:$A$301,0)),"線上表單",IFERROR(INDEX($O$2:$O$201,MATCH($A140,$L$2:$L$201,0)),"")))</f>
        <v/>
      </c>
      <c r="E140" s="15">
        <f>IF($A140="","",IF(ISNUMBER(MATCH($A140,表單!$A$2:$A$301,0)),"本檔","系統"))</f>
        <v/>
      </c>
      <c r="H140">
        <f>IF(AND(表單!$C140="自主檢查表",表單!$A140&lt;&gt;"",COUNTIF($L$2:$L$201,表單!$A140)=0),COUNT($H$1:H139)+1,"")</f>
        <v/>
      </c>
      <c r="J140">
        <f>IF(139&lt;=COUNTA($L$2:$L$201),INDEX($L$2:$L$201,139),IFERROR(INDEX(表單!$A$2:$A$301,MATCH(139-COUNTA($L$2:$L$201),$H$2:$H$301,0)),""))</f>
        <v/>
      </c>
    </row>
    <row r="141">
      <c r="A141" s="15">
        <f>IF($J141="","",$J141)</f>
        <v/>
      </c>
      <c r="B141" s="15">
        <f>IF($A141="","",IF(ISNUMBER(MATCH($A141,表單!$A$2:$A$301,0)),INDEX(表單!$B$2:$B$301,MATCH($A141,表單!$A$2:$A$301,0)),IFERROR(INDEX($M$2:$M$201,MATCH($A141,$L$2:$L$201,0)),"")))</f>
        <v/>
      </c>
      <c r="C141" s="15">
        <f>IF($A141="","",IF(ISNUMBER(MATCH($A141,表單!$A$2:$A$301,0)),IF(TRIM(INDEX(表單!$D$2:$D$301,MATCH($A141,表單!$A$2:$A$301,0)))="","（分項工程層）",INDEX(表單!$D$2:$D$301,MATCH($A141,表單!$A$2:$A$301,0))),IFERROR(INDEX($N$2:$N$201,MATCH($A141,$L$2:$L$201,0)),"")))</f>
        <v/>
      </c>
      <c r="D141" s="15">
        <f>IF($A141="","",IF(ISNUMBER(MATCH($A141,表單!$A$2:$A$301,0)),"線上表單",IFERROR(INDEX($O$2:$O$201,MATCH($A141,$L$2:$L$201,0)),"")))</f>
        <v/>
      </c>
      <c r="E141" s="15">
        <f>IF($A141="","",IF(ISNUMBER(MATCH($A141,表單!$A$2:$A$301,0)),"本檔","系統"))</f>
        <v/>
      </c>
      <c r="H141">
        <f>IF(AND(表單!$C141="自主檢查表",表單!$A141&lt;&gt;"",COUNTIF($L$2:$L$201,表單!$A141)=0),COUNT($H$1:H140)+1,"")</f>
        <v/>
      </c>
      <c r="J141">
        <f>IF(140&lt;=COUNTA($L$2:$L$201),INDEX($L$2:$L$201,140),IFERROR(INDEX(表單!$A$2:$A$301,MATCH(140-COUNTA($L$2:$L$201),$H$2:$H$301,0)),""))</f>
        <v/>
      </c>
    </row>
    <row r="142">
      <c r="A142" s="15">
        <f>IF($J142="","",$J142)</f>
        <v/>
      </c>
      <c r="B142" s="15">
        <f>IF($A142="","",IF(ISNUMBER(MATCH($A142,表單!$A$2:$A$301,0)),INDEX(表單!$B$2:$B$301,MATCH($A142,表單!$A$2:$A$301,0)),IFERROR(INDEX($M$2:$M$201,MATCH($A142,$L$2:$L$201,0)),"")))</f>
        <v/>
      </c>
      <c r="C142" s="15">
        <f>IF($A142="","",IF(ISNUMBER(MATCH($A142,表單!$A$2:$A$301,0)),IF(TRIM(INDEX(表單!$D$2:$D$301,MATCH($A142,表單!$A$2:$A$301,0)))="","（分項工程層）",INDEX(表單!$D$2:$D$301,MATCH($A142,表單!$A$2:$A$301,0))),IFERROR(INDEX($N$2:$N$201,MATCH($A142,$L$2:$L$201,0)),"")))</f>
        <v/>
      </c>
      <c r="D142" s="15">
        <f>IF($A142="","",IF(ISNUMBER(MATCH($A142,表單!$A$2:$A$301,0)),"線上表單",IFERROR(INDEX($O$2:$O$201,MATCH($A142,$L$2:$L$201,0)),"")))</f>
        <v/>
      </c>
      <c r="E142" s="15">
        <f>IF($A142="","",IF(ISNUMBER(MATCH($A142,表單!$A$2:$A$301,0)),"本檔","系統"))</f>
        <v/>
      </c>
      <c r="H142">
        <f>IF(AND(表單!$C142="自主檢查表",表單!$A142&lt;&gt;"",COUNTIF($L$2:$L$201,表單!$A142)=0),COUNT($H$1:H141)+1,"")</f>
        <v/>
      </c>
      <c r="J142">
        <f>IF(141&lt;=COUNTA($L$2:$L$201),INDEX($L$2:$L$201,141),IFERROR(INDEX(表單!$A$2:$A$301,MATCH(141-COUNTA($L$2:$L$201),$H$2:$H$301,0)),""))</f>
        <v/>
      </c>
    </row>
    <row r="143">
      <c r="A143" s="15">
        <f>IF($J143="","",$J143)</f>
        <v/>
      </c>
      <c r="B143" s="15">
        <f>IF($A143="","",IF(ISNUMBER(MATCH($A143,表單!$A$2:$A$301,0)),INDEX(表單!$B$2:$B$301,MATCH($A143,表單!$A$2:$A$301,0)),IFERROR(INDEX($M$2:$M$201,MATCH($A143,$L$2:$L$201,0)),"")))</f>
        <v/>
      </c>
      <c r="C143" s="15">
        <f>IF($A143="","",IF(ISNUMBER(MATCH($A143,表單!$A$2:$A$301,0)),IF(TRIM(INDEX(表單!$D$2:$D$301,MATCH($A143,表單!$A$2:$A$301,0)))="","（分項工程層）",INDEX(表單!$D$2:$D$301,MATCH($A143,表單!$A$2:$A$301,0))),IFERROR(INDEX($N$2:$N$201,MATCH($A143,$L$2:$L$201,0)),"")))</f>
        <v/>
      </c>
      <c r="D143" s="15">
        <f>IF($A143="","",IF(ISNUMBER(MATCH($A143,表單!$A$2:$A$301,0)),"線上表單",IFERROR(INDEX($O$2:$O$201,MATCH($A143,$L$2:$L$201,0)),"")))</f>
        <v/>
      </c>
      <c r="E143" s="15">
        <f>IF($A143="","",IF(ISNUMBER(MATCH($A143,表單!$A$2:$A$301,0)),"本檔","系統"))</f>
        <v/>
      </c>
      <c r="H143">
        <f>IF(AND(表單!$C143="自主檢查表",表單!$A143&lt;&gt;"",COUNTIF($L$2:$L$201,表單!$A143)=0),COUNT($H$1:H142)+1,"")</f>
        <v/>
      </c>
      <c r="J143">
        <f>IF(142&lt;=COUNTA($L$2:$L$201),INDEX($L$2:$L$201,142),IFERROR(INDEX(表單!$A$2:$A$301,MATCH(142-COUNTA($L$2:$L$201),$H$2:$H$301,0)),""))</f>
        <v/>
      </c>
    </row>
    <row r="144">
      <c r="A144" s="15">
        <f>IF($J144="","",$J144)</f>
        <v/>
      </c>
      <c r="B144" s="15">
        <f>IF($A144="","",IF(ISNUMBER(MATCH($A144,表單!$A$2:$A$301,0)),INDEX(表單!$B$2:$B$301,MATCH($A144,表單!$A$2:$A$301,0)),IFERROR(INDEX($M$2:$M$201,MATCH($A144,$L$2:$L$201,0)),"")))</f>
        <v/>
      </c>
      <c r="C144" s="15">
        <f>IF($A144="","",IF(ISNUMBER(MATCH($A144,表單!$A$2:$A$301,0)),IF(TRIM(INDEX(表單!$D$2:$D$301,MATCH($A144,表單!$A$2:$A$301,0)))="","（分項工程層）",INDEX(表單!$D$2:$D$301,MATCH($A144,表單!$A$2:$A$301,0))),IFERROR(INDEX($N$2:$N$201,MATCH($A144,$L$2:$L$201,0)),"")))</f>
        <v/>
      </c>
      <c r="D144" s="15">
        <f>IF($A144="","",IF(ISNUMBER(MATCH($A144,表單!$A$2:$A$301,0)),"線上表單",IFERROR(INDEX($O$2:$O$201,MATCH($A144,$L$2:$L$201,0)),"")))</f>
        <v/>
      </c>
      <c r="E144" s="15">
        <f>IF($A144="","",IF(ISNUMBER(MATCH($A144,表單!$A$2:$A$301,0)),"本檔","系統"))</f>
        <v/>
      </c>
      <c r="H144">
        <f>IF(AND(表單!$C144="自主檢查表",表單!$A144&lt;&gt;"",COUNTIF($L$2:$L$201,表單!$A144)=0),COUNT($H$1:H143)+1,"")</f>
        <v/>
      </c>
      <c r="J144">
        <f>IF(143&lt;=COUNTA($L$2:$L$201),INDEX($L$2:$L$201,143),IFERROR(INDEX(表單!$A$2:$A$301,MATCH(143-COUNTA($L$2:$L$201),$H$2:$H$301,0)),""))</f>
        <v/>
      </c>
    </row>
    <row r="145">
      <c r="A145" s="15">
        <f>IF($J145="","",$J145)</f>
        <v/>
      </c>
      <c r="B145" s="15">
        <f>IF($A145="","",IF(ISNUMBER(MATCH($A145,表單!$A$2:$A$301,0)),INDEX(表單!$B$2:$B$301,MATCH($A145,表單!$A$2:$A$301,0)),IFERROR(INDEX($M$2:$M$201,MATCH($A145,$L$2:$L$201,0)),"")))</f>
        <v/>
      </c>
      <c r="C145" s="15">
        <f>IF($A145="","",IF(ISNUMBER(MATCH($A145,表單!$A$2:$A$301,0)),IF(TRIM(INDEX(表單!$D$2:$D$301,MATCH($A145,表單!$A$2:$A$301,0)))="","（分項工程層）",INDEX(表單!$D$2:$D$301,MATCH($A145,表單!$A$2:$A$301,0))),IFERROR(INDEX($N$2:$N$201,MATCH($A145,$L$2:$L$201,0)),"")))</f>
        <v/>
      </c>
      <c r="D145" s="15">
        <f>IF($A145="","",IF(ISNUMBER(MATCH($A145,表單!$A$2:$A$301,0)),"線上表單",IFERROR(INDEX($O$2:$O$201,MATCH($A145,$L$2:$L$201,0)),"")))</f>
        <v/>
      </c>
      <c r="E145" s="15">
        <f>IF($A145="","",IF(ISNUMBER(MATCH($A145,表單!$A$2:$A$301,0)),"本檔","系統"))</f>
        <v/>
      </c>
      <c r="H145">
        <f>IF(AND(表單!$C145="自主檢查表",表單!$A145&lt;&gt;"",COUNTIF($L$2:$L$201,表單!$A145)=0),COUNT($H$1:H144)+1,"")</f>
        <v/>
      </c>
      <c r="J145">
        <f>IF(144&lt;=COUNTA($L$2:$L$201),INDEX($L$2:$L$201,144),IFERROR(INDEX(表單!$A$2:$A$301,MATCH(144-COUNTA($L$2:$L$201),$H$2:$H$301,0)),""))</f>
        <v/>
      </c>
    </row>
    <row r="146">
      <c r="A146" s="15">
        <f>IF($J146="","",$J146)</f>
        <v/>
      </c>
      <c r="B146" s="15">
        <f>IF($A146="","",IF(ISNUMBER(MATCH($A146,表單!$A$2:$A$301,0)),INDEX(表單!$B$2:$B$301,MATCH($A146,表單!$A$2:$A$301,0)),IFERROR(INDEX($M$2:$M$201,MATCH($A146,$L$2:$L$201,0)),"")))</f>
        <v/>
      </c>
      <c r="C146" s="15">
        <f>IF($A146="","",IF(ISNUMBER(MATCH($A146,表單!$A$2:$A$301,0)),IF(TRIM(INDEX(表單!$D$2:$D$301,MATCH($A146,表單!$A$2:$A$301,0)))="","（分項工程層）",INDEX(表單!$D$2:$D$301,MATCH($A146,表單!$A$2:$A$301,0))),IFERROR(INDEX($N$2:$N$201,MATCH($A146,$L$2:$L$201,0)),"")))</f>
        <v/>
      </c>
      <c r="D146" s="15">
        <f>IF($A146="","",IF(ISNUMBER(MATCH($A146,表單!$A$2:$A$301,0)),"線上表單",IFERROR(INDEX($O$2:$O$201,MATCH($A146,$L$2:$L$201,0)),"")))</f>
        <v/>
      </c>
      <c r="E146" s="15">
        <f>IF($A146="","",IF(ISNUMBER(MATCH($A146,表單!$A$2:$A$301,0)),"本檔","系統"))</f>
        <v/>
      </c>
      <c r="H146">
        <f>IF(AND(表單!$C146="自主檢查表",表單!$A146&lt;&gt;"",COUNTIF($L$2:$L$201,表單!$A146)=0),COUNT($H$1:H145)+1,"")</f>
        <v/>
      </c>
      <c r="J146">
        <f>IF(145&lt;=COUNTA($L$2:$L$201),INDEX($L$2:$L$201,145),IFERROR(INDEX(表單!$A$2:$A$301,MATCH(145-COUNTA($L$2:$L$201),$H$2:$H$301,0)),""))</f>
        <v/>
      </c>
    </row>
    <row r="147">
      <c r="A147" s="15">
        <f>IF($J147="","",$J147)</f>
        <v/>
      </c>
      <c r="B147" s="15">
        <f>IF($A147="","",IF(ISNUMBER(MATCH($A147,表單!$A$2:$A$301,0)),INDEX(表單!$B$2:$B$301,MATCH($A147,表單!$A$2:$A$301,0)),IFERROR(INDEX($M$2:$M$201,MATCH($A147,$L$2:$L$201,0)),"")))</f>
        <v/>
      </c>
      <c r="C147" s="15">
        <f>IF($A147="","",IF(ISNUMBER(MATCH($A147,表單!$A$2:$A$301,0)),IF(TRIM(INDEX(表單!$D$2:$D$301,MATCH($A147,表單!$A$2:$A$301,0)))="","（分項工程層）",INDEX(表單!$D$2:$D$301,MATCH($A147,表單!$A$2:$A$301,0))),IFERROR(INDEX($N$2:$N$201,MATCH($A147,$L$2:$L$201,0)),"")))</f>
        <v/>
      </c>
      <c r="D147" s="15">
        <f>IF($A147="","",IF(ISNUMBER(MATCH($A147,表單!$A$2:$A$301,0)),"線上表單",IFERROR(INDEX($O$2:$O$201,MATCH($A147,$L$2:$L$201,0)),"")))</f>
        <v/>
      </c>
      <c r="E147" s="15">
        <f>IF($A147="","",IF(ISNUMBER(MATCH($A147,表單!$A$2:$A$301,0)),"本檔","系統"))</f>
        <v/>
      </c>
      <c r="H147">
        <f>IF(AND(表單!$C147="自主檢查表",表單!$A147&lt;&gt;"",COUNTIF($L$2:$L$201,表單!$A147)=0),COUNT($H$1:H146)+1,"")</f>
        <v/>
      </c>
      <c r="J147">
        <f>IF(146&lt;=COUNTA($L$2:$L$201),INDEX($L$2:$L$201,146),IFERROR(INDEX(表單!$A$2:$A$301,MATCH(146-COUNTA($L$2:$L$201),$H$2:$H$301,0)),""))</f>
        <v/>
      </c>
    </row>
    <row r="148">
      <c r="A148" s="15">
        <f>IF($J148="","",$J148)</f>
        <v/>
      </c>
      <c r="B148" s="15">
        <f>IF($A148="","",IF(ISNUMBER(MATCH($A148,表單!$A$2:$A$301,0)),INDEX(表單!$B$2:$B$301,MATCH($A148,表單!$A$2:$A$301,0)),IFERROR(INDEX($M$2:$M$201,MATCH($A148,$L$2:$L$201,0)),"")))</f>
        <v/>
      </c>
      <c r="C148" s="15">
        <f>IF($A148="","",IF(ISNUMBER(MATCH($A148,表單!$A$2:$A$301,0)),IF(TRIM(INDEX(表單!$D$2:$D$301,MATCH($A148,表單!$A$2:$A$301,0)))="","（分項工程層）",INDEX(表單!$D$2:$D$301,MATCH($A148,表單!$A$2:$A$301,0))),IFERROR(INDEX($N$2:$N$201,MATCH($A148,$L$2:$L$201,0)),"")))</f>
        <v/>
      </c>
      <c r="D148" s="15">
        <f>IF($A148="","",IF(ISNUMBER(MATCH($A148,表單!$A$2:$A$301,0)),"線上表單",IFERROR(INDEX($O$2:$O$201,MATCH($A148,$L$2:$L$201,0)),"")))</f>
        <v/>
      </c>
      <c r="E148" s="15">
        <f>IF($A148="","",IF(ISNUMBER(MATCH($A148,表單!$A$2:$A$301,0)),"本檔","系統"))</f>
        <v/>
      </c>
      <c r="H148">
        <f>IF(AND(表單!$C148="自主檢查表",表單!$A148&lt;&gt;"",COUNTIF($L$2:$L$201,表單!$A148)=0),COUNT($H$1:H147)+1,"")</f>
        <v/>
      </c>
      <c r="J148">
        <f>IF(147&lt;=COUNTA($L$2:$L$201),INDEX($L$2:$L$201,147),IFERROR(INDEX(表單!$A$2:$A$301,MATCH(147-COUNTA($L$2:$L$201),$H$2:$H$301,0)),""))</f>
        <v/>
      </c>
    </row>
    <row r="149">
      <c r="A149" s="15">
        <f>IF($J149="","",$J149)</f>
        <v/>
      </c>
      <c r="B149" s="15">
        <f>IF($A149="","",IF(ISNUMBER(MATCH($A149,表單!$A$2:$A$301,0)),INDEX(表單!$B$2:$B$301,MATCH($A149,表單!$A$2:$A$301,0)),IFERROR(INDEX($M$2:$M$201,MATCH($A149,$L$2:$L$201,0)),"")))</f>
        <v/>
      </c>
      <c r="C149" s="15">
        <f>IF($A149="","",IF(ISNUMBER(MATCH($A149,表單!$A$2:$A$301,0)),IF(TRIM(INDEX(表單!$D$2:$D$301,MATCH($A149,表單!$A$2:$A$301,0)))="","（分項工程層）",INDEX(表單!$D$2:$D$301,MATCH($A149,表單!$A$2:$A$301,0))),IFERROR(INDEX($N$2:$N$201,MATCH($A149,$L$2:$L$201,0)),"")))</f>
        <v/>
      </c>
      <c r="D149" s="15">
        <f>IF($A149="","",IF(ISNUMBER(MATCH($A149,表單!$A$2:$A$301,0)),"線上表單",IFERROR(INDEX($O$2:$O$201,MATCH($A149,$L$2:$L$201,0)),"")))</f>
        <v/>
      </c>
      <c r="E149" s="15">
        <f>IF($A149="","",IF(ISNUMBER(MATCH($A149,表單!$A$2:$A$301,0)),"本檔","系統"))</f>
        <v/>
      </c>
      <c r="H149">
        <f>IF(AND(表單!$C149="自主檢查表",表單!$A149&lt;&gt;"",COUNTIF($L$2:$L$201,表單!$A149)=0),COUNT($H$1:H148)+1,"")</f>
        <v/>
      </c>
      <c r="J149">
        <f>IF(148&lt;=COUNTA($L$2:$L$201),INDEX($L$2:$L$201,148),IFERROR(INDEX(表單!$A$2:$A$301,MATCH(148-COUNTA($L$2:$L$201),$H$2:$H$301,0)),""))</f>
        <v/>
      </c>
    </row>
    <row r="150">
      <c r="A150" s="15">
        <f>IF($J150="","",$J150)</f>
        <v/>
      </c>
      <c r="B150" s="15">
        <f>IF($A150="","",IF(ISNUMBER(MATCH($A150,表單!$A$2:$A$301,0)),INDEX(表單!$B$2:$B$301,MATCH($A150,表單!$A$2:$A$301,0)),IFERROR(INDEX($M$2:$M$201,MATCH($A150,$L$2:$L$201,0)),"")))</f>
        <v/>
      </c>
      <c r="C150" s="15">
        <f>IF($A150="","",IF(ISNUMBER(MATCH($A150,表單!$A$2:$A$301,0)),IF(TRIM(INDEX(表單!$D$2:$D$301,MATCH($A150,表單!$A$2:$A$301,0)))="","（分項工程層）",INDEX(表單!$D$2:$D$301,MATCH($A150,表單!$A$2:$A$301,0))),IFERROR(INDEX($N$2:$N$201,MATCH($A150,$L$2:$L$201,0)),"")))</f>
        <v/>
      </c>
      <c r="D150" s="15">
        <f>IF($A150="","",IF(ISNUMBER(MATCH($A150,表單!$A$2:$A$301,0)),"線上表單",IFERROR(INDEX($O$2:$O$201,MATCH($A150,$L$2:$L$201,0)),"")))</f>
        <v/>
      </c>
      <c r="E150" s="15">
        <f>IF($A150="","",IF(ISNUMBER(MATCH($A150,表單!$A$2:$A$301,0)),"本檔","系統"))</f>
        <v/>
      </c>
      <c r="H150">
        <f>IF(AND(表單!$C150="自主檢查表",表單!$A150&lt;&gt;"",COUNTIF($L$2:$L$201,表單!$A150)=0),COUNT($H$1:H149)+1,"")</f>
        <v/>
      </c>
      <c r="J150">
        <f>IF(149&lt;=COUNTA($L$2:$L$201),INDEX($L$2:$L$201,149),IFERROR(INDEX(表單!$A$2:$A$301,MATCH(149-COUNTA($L$2:$L$201),$H$2:$H$301,0)),""))</f>
        <v/>
      </c>
    </row>
    <row r="151">
      <c r="A151" s="15">
        <f>IF($J151="","",$J151)</f>
        <v/>
      </c>
      <c r="B151" s="15">
        <f>IF($A151="","",IF(ISNUMBER(MATCH($A151,表單!$A$2:$A$301,0)),INDEX(表單!$B$2:$B$301,MATCH($A151,表單!$A$2:$A$301,0)),IFERROR(INDEX($M$2:$M$201,MATCH($A151,$L$2:$L$201,0)),"")))</f>
        <v/>
      </c>
      <c r="C151" s="15">
        <f>IF($A151="","",IF(ISNUMBER(MATCH($A151,表單!$A$2:$A$301,0)),IF(TRIM(INDEX(表單!$D$2:$D$301,MATCH($A151,表單!$A$2:$A$301,0)))="","（分項工程層）",INDEX(表單!$D$2:$D$301,MATCH($A151,表單!$A$2:$A$301,0))),IFERROR(INDEX($N$2:$N$201,MATCH($A151,$L$2:$L$201,0)),"")))</f>
        <v/>
      </c>
      <c r="D151" s="15">
        <f>IF($A151="","",IF(ISNUMBER(MATCH($A151,表單!$A$2:$A$301,0)),"線上表單",IFERROR(INDEX($O$2:$O$201,MATCH($A151,$L$2:$L$201,0)),"")))</f>
        <v/>
      </c>
      <c r="E151" s="15">
        <f>IF($A151="","",IF(ISNUMBER(MATCH($A151,表單!$A$2:$A$301,0)),"本檔","系統"))</f>
        <v/>
      </c>
      <c r="H151">
        <f>IF(AND(表單!$C151="自主檢查表",表單!$A151&lt;&gt;"",COUNTIF($L$2:$L$201,表單!$A151)=0),COUNT($H$1:H150)+1,"")</f>
        <v/>
      </c>
      <c r="J151">
        <f>IF(150&lt;=COUNTA($L$2:$L$201),INDEX($L$2:$L$201,150),IFERROR(INDEX(表單!$A$2:$A$301,MATCH(150-COUNTA($L$2:$L$201),$H$2:$H$301,0)),""))</f>
        <v/>
      </c>
    </row>
    <row r="152">
      <c r="A152" s="15">
        <f>IF($J152="","",$J152)</f>
        <v/>
      </c>
      <c r="B152" s="15">
        <f>IF($A152="","",IF(ISNUMBER(MATCH($A152,表單!$A$2:$A$301,0)),INDEX(表單!$B$2:$B$301,MATCH($A152,表單!$A$2:$A$301,0)),IFERROR(INDEX($M$2:$M$201,MATCH($A152,$L$2:$L$201,0)),"")))</f>
        <v/>
      </c>
      <c r="C152" s="15">
        <f>IF($A152="","",IF(ISNUMBER(MATCH($A152,表單!$A$2:$A$301,0)),IF(TRIM(INDEX(表單!$D$2:$D$301,MATCH($A152,表單!$A$2:$A$301,0)))="","（分項工程層）",INDEX(表單!$D$2:$D$301,MATCH($A152,表單!$A$2:$A$301,0))),IFERROR(INDEX($N$2:$N$201,MATCH($A152,$L$2:$L$201,0)),"")))</f>
        <v/>
      </c>
      <c r="D152" s="15">
        <f>IF($A152="","",IF(ISNUMBER(MATCH($A152,表單!$A$2:$A$301,0)),"線上表單",IFERROR(INDEX($O$2:$O$201,MATCH($A152,$L$2:$L$201,0)),"")))</f>
        <v/>
      </c>
      <c r="E152" s="15">
        <f>IF($A152="","",IF(ISNUMBER(MATCH($A152,表單!$A$2:$A$301,0)),"本檔","系統"))</f>
        <v/>
      </c>
      <c r="H152">
        <f>IF(AND(表單!$C152="自主檢查表",表單!$A152&lt;&gt;"",COUNTIF($L$2:$L$201,表單!$A152)=0),COUNT($H$1:H151)+1,"")</f>
        <v/>
      </c>
      <c r="J152">
        <f>IF(151&lt;=COUNTA($L$2:$L$201),INDEX($L$2:$L$201,151),IFERROR(INDEX(表單!$A$2:$A$301,MATCH(151-COUNTA($L$2:$L$201),$H$2:$H$301,0)),""))</f>
        <v/>
      </c>
    </row>
    <row r="153">
      <c r="A153" s="15">
        <f>IF($J153="","",$J153)</f>
        <v/>
      </c>
      <c r="B153" s="15">
        <f>IF($A153="","",IF(ISNUMBER(MATCH($A153,表單!$A$2:$A$301,0)),INDEX(表單!$B$2:$B$301,MATCH($A153,表單!$A$2:$A$301,0)),IFERROR(INDEX($M$2:$M$201,MATCH($A153,$L$2:$L$201,0)),"")))</f>
        <v/>
      </c>
      <c r="C153" s="15">
        <f>IF($A153="","",IF(ISNUMBER(MATCH($A153,表單!$A$2:$A$301,0)),IF(TRIM(INDEX(表單!$D$2:$D$301,MATCH($A153,表單!$A$2:$A$301,0)))="","（分項工程層）",INDEX(表單!$D$2:$D$301,MATCH($A153,表單!$A$2:$A$301,0))),IFERROR(INDEX($N$2:$N$201,MATCH($A153,$L$2:$L$201,0)),"")))</f>
        <v/>
      </c>
      <c r="D153" s="15">
        <f>IF($A153="","",IF(ISNUMBER(MATCH($A153,表單!$A$2:$A$301,0)),"線上表單",IFERROR(INDEX($O$2:$O$201,MATCH($A153,$L$2:$L$201,0)),"")))</f>
        <v/>
      </c>
      <c r="E153" s="15">
        <f>IF($A153="","",IF(ISNUMBER(MATCH($A153,表單!$A$2:$A$301,0)),"本檔","系統"))</f>
        <v/>
      </c>
      <c r="H153">
        <f>IF(AND(表單!$C153="自主檢查表",表單!$A153&lt;&gt;"",COUNTIF($L$2:$L$201,表單!$A153)=0),COUNT($H$1:H152)+1,"")</f>
        <v/>
      </c>
      <c r="J153">
        <f>IF(152&lt;=COUNTA($L$2:$L$201),INDEX($L$2:$L$201,152),IFERROR(INDEX(表單!$A$2:$A$301,MATCH(152-COUNTA($L$2:$L$201),$H$2:$H$301,0)),""))</f>
        <v/>
      </c>
    </row>
    <row r="154">
      <c r="A154" s="15">
        <f>IF($J154="","",$J154)</f>
        <v/>
      </c>
      <c r="B154" s="15">
        <f>IF($A154="","",IF(ISNUMBER(MATCH($A154,表單!$A$2:$A$301,0)),INDEX(表單!$B$2:$B$301,MATCH($A154,表單!$A$2:$A$301,0)),IFERROR(INDEX($M$2:$M$201,MATCH($A154,$L$2:$L$201,0)),"")))</f>
        <v/>
      </c>
      <c r="C154" s="15">
        <f>IF($A154="","",IF(ISNUMBER(MATCH($A154,表單!$A$2:$A$301,0)),IF(TRIM(INDEX(表單!$D$2:$D$301,MATCH($A154,表單!$A$2:$A$301,0)))="","（分項工程層）",INDEX(表單!$D$2:$D$301,MATCH($A154,表單!$A$2:$A$301,0))),IFERROR(INDEX($N$2:$N$201,MATCH($A154,$L$2:$L$201,0)),"")))</f>
        <v/>
      </c>
      <c r="D154" s="15">
        <f>IF($A154="","",IF(ISNUMBER(MATCH($A154,表單!$A$2:$A$301,0)),"線上表單",IFERROR(INDEX($O$2:$O$201,MATCH($A154,$L$2:$L$201,0)),"")))</f>
        <v/>
      </c>
      <c r="E154" s="15">
        <f>IF($A154="","",IF(ISNUMBER(MATCH($A154,表單!$A$2:$A$301,0)),"本檔","系統"))</f>
        <v/>
      </c>
      <c r="H154">
        <f>IF(AND(表單!$C154="自主檢查表",表單!$A154&lt;&gt;"",COUNTIF($L$2:$L$201,表單!$A154)=0),COUNT($H$1:H153)+1,"")</f>
        <v/>
      </c>
      <c r="J154">
        <f>IF(153&lt;=COUNTA($L$2:$L$201),INDEX($L$2:$L$201,153),IFERROR(INDEX(表單!$A$2:$A$301,MATCH(153-COUNTA($L$2:$L$201),$H$2:$H$301,0)),""))</f>
        <v/>
      </c>
    </row>
    <row r="155">
      <c r="A155" s="15">
        <f>IF($J155="","",$J155)</f>
        <v/>
      </c>
      <c r="B155" s="15">
        <f>IF($A155="","",IF(ISNUMBER(MATCH($A155,表單!$A$2:$A$301,0)),INDEX(表單!$B$2:$B$301,MATCH($A155,表單!$A$2:$A$301,0)),IFERROR(INDEX($M$2:$M$201,MATCH($A155,$L$2:$L$201,0)),"")))</f>
        <v/>
      </c>
      <c r="C155" s="15">
        <f>IF($A155="","",IF(ISNUMBER(MATCH($A155,表單!$A$2:$A$301,0)),IF(TRIM(INDEX(表單!$D$2:$D$301,MATCH($A155,表單!$A$2:$A$301,0)))="","（分項工程層）",INDEX(表單!$D$2:$D$301,MATCH($A155,表單!$A$2:$A$301,0))),IFERROR(INDEX($N$2:$N$201,MATCH($A155,$L$2:$L$201,0)),"")))</f>
        <v/>
      </c>
      <c r="D155" s="15">
        <f>IF($A155="","",IF(ISNUMBER(MATCH($A155,表單!$A$2:$A$301,0)),"線上表單",IFERROR(INDEX($O$2:$O$201,MATCH($A155,$L$2:$L$201,0)),"")))</f>
        <v/>
      </c>
      <c r="E155" s="15">
        <f>IF($A155="","",IF(ISNUMBER(MATCH($A155,表單!$A$2:$A$301,0)),"本檔","系統"))</f>
        <v/>
      </c>
      <c r="H155">
        <f>IF(AND(表單!$C155="自主檢查表",表單!$A155&lt;&gt;"",COUNTIF($L$2:$L$201,表單!$A155)=0),COUNT($H$1:H154)+1,"")</f>
        <v/>
      </c>
      <c r="J155">
        <f>IF(154&lt;=COUNTA($L$2:$L$201),INDEX($L$2:$L$201,154),IFERROR(INDEX(表單!$A$2:$A$301,MATCH(154-COUNTA($L$2:$L$201),$H$2:$H$301,0)),""))</f>
        <v/>
      </c>
    </row>
    <row r="156">
      <c r="A156" s="15">
        <f>IF($J156="","",$J156)</f>
        <v/>
      </c>
      <c r="B156" s="15">
        <f>IF($A156="","",IF(ISNUMBER(MATCH($A156,表單!$A$2:$A$301,0)),INDEX(表單!$B$2:$B$301,MATCH($A156,表單!$A$2:$A$301,0)),IFERROR(INDEX($M$2:$M$201,MATCH($A156,$L$2:$L$201,0)),"")))</f>
        <v/>
      </c>
      <c r="C156" s="15">
        <f>IF($A156="","",IF(ISNUMBER(MATCH($A156,表單!$A$2:$A$301,0)),IF(TRIM(INDEX(表單!$D$2:$D$301,MATCH($A156,表單!$A$2:$A$301,0)))="","（分項工程層）",INDEX(表單!$D$2:$D$301,MATCH($A156,表單!$A$2:$A$301,0))),IFERROR(INDEX($N$2:$N$201,MATCH($A156,$L$2:$L$201,0)),"")))</f>
        <v/>
      </c>
      <c r="D156" s="15">
        <f>IF($A156="","",IF(ISNUMBER(MATCH($A156,表單!$A$2:$A$301,0)),"線上表單",IFERROR(INDEX($O$2:$O$201,MATCH($A156,$L$2:$L$201,0)),"")))</f>
        <v/>
      </c>
      <c r="E156" s="15">
        <f>IF($A156="","",IF(ISNUMBER(MATCH($A156,表單!$A$2:$A$301,0)),"本檔","系統"))</f>
        <v/>
      </c>
      <c r="H156">
        <f>IF(AND(表單!$C156="自主檢查表",表單!$A156&lt;&gt;"",COUNTIF($L$2:$L$201,表單!$A156)=0),COUNT($H$1:H155)+1,"")</f>
        <v/>
      </c>
      <c r="J156">
        <f>IF(155&lt;=COUNTA($L$2:$L$201),INDEX($L$2:$L$201,155),IFERROR(INDEX(表單!$A$2:$A$301,MATCH(155-COUNTA($L$2:$L$201),$H$2:$H$301,0)),""))</f>
        <v/>
      </c>
    </row>
    <row r="157">
      <c r="A157" s="15">
        <f>IF($J157="","",$J157)</f>
        <v/>
      </c>
      <c r="B157" s="15">
        <f>IF($A157="","",IF(ISNUMBER(MATCH($A157,表單!$A$2:$A$301,0)),INDEX(表單!$B$2:$B$301,MATCH($A157,表單!$A$2:$A$301,0)),IFERROR(INDEX($M$2:$M$201,MATCH($A157,$L$2:$L$201,0)),"")))</f>
        <v/>
      </c>
      <c r="C157" s="15">
        <f>IF($A157="","",IF(ISNUMBER(MATCH($A157,表單!$A$2:$A$301,0)),IF(TRIM(INDEX(表單!$D$2:$D$301,MATCH($A157,表單!$A$2:$A$301,0)))="","（分項工程層）",INDEX(表單!$D$2:$D$301,MATCH($A157,表單!$A$2:$A$301,0))),IFERROR(INDEX($N$2:$N$201,MATCH($A157,$L$2:$L$201,0)),"")))</f>
        <v/>
      </c>
      <c r="D157" s="15">
        <f>IF($A157="","",IF(ISNUMBER(MATCH($A157,表單!$A$2:$A$301,0)),"線上表單",IFERROR(INDEX($O$2:$O$201,MATCH($A157,$L$2:$L$201,0)),"")))</f>
        <v/>
      </c>
      <c r="E157" s="15">
        <f>IF($A157="","",IF(ISNUMBER(MATCH($A157,表單!$A$2:$A$301,0)),"本檔","系統"))</f>
        <v/>
      </c>
      <c r="H157">
        <f>IF(AND(表單!$C157="自主檢查表",表單!$A157&lt;&gt;"",COUNTIF($L$2:$L$201,表單!$A157)=0),COUNT($H$1:H156)+1,"")</f>
        <v/>
      </c>
      <c r="J157">
        <f>IF(156&lt;=COUNTA($L$2:$L$201),INDEX($L$2:$L$201,156),IFERROR(INDEX(表單!$A$2:$A$301,MATCH(156-COUNTA($L$2:$L$201),$H$2:$H$301,0)),""))</f>
        <v/>
      </c>
    </row>
    <row r="158">
      <c r="A158" s="15">
        <f>IF($J158="","",$J158)</f>
        <v/>
      </c>
      <c r="B158" s="15">
        <f>IF($A158="","",IF(ISNUMBER(MATCH($A158,表單!$A$2:$A$301,0)),INDEX(表單!$B$2:$B$301,MATCH($A158,表單!$A$2:$A$301,0)),IFERROR(INDEX($M$2:$M$201,MATCH($A158,$L$2:$L$201,0)),"")))</f>
        <v/>
      </c>
      <c r="C158" s="15">
        <f>IF($A158="","",IF(ISNUMBER(MATCH($A158,表單!$A$2:$A$301,0)),IF(TRIM(INDEX(表單!$D$2:$D$301,MATCH($A158,表單!$A$2:$A$301,0)))="","（分項工程層）",INDEX(表單!$D$2:$D$301,MATCH($A158,表單!$A$2:$A$301,0))),IFERROR(INDEX($N$2:$N$201,MATCH($A158,$L$2:$L$201,0)),"")))</f>
        <v/>
      </c>
      <c r="D158" s="15">
        <f>IF($A158="","",IF(ISNUMBER(MATCH($A158,表單!$A$2:$A$301,0)),"線上表單",IFERROR(INDEX($O$2:$O$201,MATCH($A158,$L$2:$L$201,0)),"")))</f>
        <v/>
      </c>
      <c r="E158" s="15">
        <f>IF($A158="","",IF(ISNUMBER(MATCH($A158,表單!$A$2:$A$301,0)),"本檔","系統"))</f>
        <v/>
      </c>
      <c r="H158">
        <f>IF(AND(表單!$C158="自主檢查表",表單!$A158&lt;&gt;"",COUNTIF($L$2:$L$201,表單!$A158)=0),COUNT($H$1:H157)+1,"")</f>
        <v/>
      </c>
      <c r="J158">
        <f>IF(157&lt;=COUNTA($L$2:$L$201),INDEX($L$2:$L$201,157),IFERROR(INDEX(表單!$A$2:$A$301,MATCH(157-COUNTA($L$2:$L$201),$H$2:$H$301,0)),""))</f>
        <v/>
      </c>
    </row>
    <row r="159">
      <c r="A159" s="15">
        <f>IF($J159="","",$J159)</f>
        <v/>
      </c>
      <c r="B159" s="15">
        <f>IF($A159="","",IF(ISNUMBER(MATCH($A159,表單!$A$2:$A$301,0)),INDEX(表單!$B$2:$B$301,MATCH($A159,表單!$A$2:$A$301,0)),IFERROR(INDEX($M$2:$M$201,MATCH($A159,$L$2:$L$201,0)),"")))</f>
        <v/>
      </c>
      <c r="C159" s="15">
        <f>IF($A159="","",IF(ISNUMBER(MATCH($A159,表單!$A$2:$A$301,0)),IF(TRIM(INDEX(表單!$D$2:$D$301,MATCH($A159,表單!$A$2:$A$301,0)))="","（分項工程層）",INDEX(表單!$D$2:$D$301,MATCH($A159,表單!$A$2:$A$301,0))),IFERROR(INDEX($N$2:$N$201,MATCH($A159,$L$2:$L$201,0)),"")))</f>
        <v/>
      </c>
      <c r="D159" s="15">
        <f>IF($A159="","",IF(ISNUMBER(MATCH($A159,表單!$A$2:$A$301,0)),"線上表單",IFERROR(INDEX($O$2:$O$201,MATCH($A159,$L$2:$L$201,0)),"")))</f>
        <v/>
      </c>
      <c r="E159" s="15">
        <f>IF($A159="","",IF(ISNUMBER(MATCH($A159,表單!$A$2:$A$301,0)),"本檔","系統"))</f>
        <v/>
      </c>
      <c r="H159">
        <f>IF(AND(表單!$C159="自主檢查表",表單!$A159&lt;&gt;"",COUNTIF($L$2:$L$201,表單!$A159)=0),COUNT($H$1:H158)+1,"")</f>
        <v/>
      </c>
      <c r="J159">
        <f>IF(158&lt;=COUNTA($L$2:$L$201),INDEX($L$2:$L$201,158),IFERROR(INDEX(表單!$A$2:$A$301,MATCH(158-COUNTA($L$2:$L$201),$H$2:$H$301,0)),""))</f>
        <v/>
      </c>
    </row>
    <row r="160">
      <c r="A160" s="15">
        <f>IF($J160="","",$J160)</f>
        <v/>
      </c>
      <c r="B160" s="15">
        <f>IF($A160="","",IF(ISNUMBER(MATCH($A160,表單!$A$2:$A$301,0)),INDEX(表單!$B$2:$B$301,MATCH($A160,表單!$A$2:$A$301,0)),IFERROR(INDEX($M$2:$M$201,MATCH($A160,$L$2:$L$201,0)),"")))</f>
        <v/>
      </c>
      <c r="C160" s="15">
        <f>IF($A160="","",IF(ISNUMBER(MATCH($A160,表單!$A$2:$A$301,0)),IF(TRIM(INDEX(表單!$D$2:$D$301,MATCH($A160,表單!$A$2:$A$301,0)))="","（分項工程層）",INDEX(表單!$D$2:$D$301,MATCH($A160,表單!$A$2:$A$301,0))),IFERROR(INDEX($N$2:$N$201,MATCH($A160,$L$2:$L$201,0)),"")))</f>
        <v/>
      </c>
      <c r="D160" s="15">
        <f>IF($A160="","",IF(ISNUMBER(MATCH($A160,表單!$A$2:$A$301,0)),"線上表單",IFERROR(INDEX($O$2:$O$201,MATCH($A160,$L$2:$L$201,0)),"")))</f>
        <v/>
      </c>
      <c r="E160" s="15">
        <f>IF($A160="","",IF(ISNUMBER(MATCH($A160,表單!$A$2:$A$301,0)),"本檔","系統"))</f>
        <v/>
      </c>
      <c r="H160">
        <f>IF(AND(表單!$C160="自主檢查表",表單!$A160&lt;&gt;"",COUNTIF($L$2:$L$201,表單!$A160)=0),COUNT($H$1:H159)+1,"")</f>
        <v/>
      </c>
      <c r="J160">
        <f>IF(159&lt;=COUNTA($L$2:$L$201),INDEX($L$2:$L$201,159),IFERROR(INDEX(表單!$A$2:$A$301,MATCH(159-COUNTA($L$2:$L$201),$H$2:$H$301,0)),""))</f>
        <v/>
      </c>
    </row>
    <row r="161">
      <c r="A161" s="15">
        <f>IF($J161="","",$J161)</f>
        <v/>
      </c>
      <c r="B161" s="15">
        <f>IF($A161="","",IF(ISNUMBER(MATCH($A161,表單!$A$2:$A$301,0)),INDEX(表單!$B$2:$B$301,MATCH($A161,表單!$A$2:$A$301,0)),IFERROR(INDEX($M$2:$M$201,MATCH($A161,$L$2:$L$201,0)),"")))</f>
        <v/>
      </c>
      <c r="C161" s="15">
        <f>IF($A161="","",IF(ISNUMBER(MATCH($A161,表單!$A$2:$A$301,0)),IF(TRIM(INDEX(表單!$D$2:$D$301,MATCH($A161,表單!$A$2:$A$301,0)))="","（分項工程層）",INDEX(表單!$D$2:$D$301,MATCH($A161,表單!$A$2:$A$301,0))),IFERROR(INDEX($N$2:$N$201,MATCH($A161,$L$2:$L$201,0)),"")))</f>
        <v/>
      </c>
      <c r="D161" s="15">
        <f>IF($A161="","",IF(ISNUMBER(MATCH($A161,表單!$A$2:$A$301,0)),"線上表單",IFERROR(INDEX($O$2:$O$201,MATCH($A161,$L$2:$L$201,0)),"")))</f>
        <v/>
      </c>
      <c r="E161" s="15">
        <f>IF($A161="","",IF(ISNUMBER(MATCH($A161,表單!$A$2:$A$301,0)),"本檔","系統"))</f>
        <v/>
      </c>
      <c r="H161">
        <f>IF(AND(表單!$C161="自主檢查表",表單!$A161&lt;&gt;"",COUNTIF($L$2:$L$201,表單!$A161)=0),COUNT($H$1:H160)+1,"")</f>
        <v/>
      </c>
      <c r="J161">
        <f>IF(160&lt;=COUNTA($L$2:$L$201),INDEX($L$2:$L$201,160),IFERROR(INDEX(表單!$A$2:$A$301,MATCH(160-COUNTA($L$2:$L$201),$H$2:$H$301,0)),""))</f>
        <v/>
      </c>
    </row>
    <row r="162">
      <c r="A162" s="15">
        <f>IF($J162="","",$J162)</f>
        <v/>
      </c>
      <c r="B162" s="15">
        <f>IF($A162="","",IF(ISNUMBER(MATCH($A162,表單!$A$2:$A$301,0)),INDEX(表單!$B$2:$B$301,MATCH($A162,表單!$A$2:$A$301,0)),IFERROR(INDEX($M$2:$M$201,MATCH($A162,$L$2:$L$201,0)),"")))</f>
        <v/>
      </c>
      <c r="C162" s="15">
        <f>IF($A162="","",IF(ISNUMBER(MATCH($A162,表單!$A$2:$A$301,0)),IF(TRIM(INDEX(表單!$D$2:$D$301,MATCH($A162,表單!$A$2:$A$301,0)))="","（分項工程層）",INDEX(表單!$D$2:$D$301,MATCH($A162,表單!$A$2:$A$301,0))),IFERROR(INDEX($N$2:$N$201,MATCH($A162,$L$2:$L$201,0)),"")))</f>
        <v/>
      </c>
      <c r="D162" s="15">
        <f>IF($A162="","",IF(ISNUMBER(MATCH($A162,表單!$A$2:$A$301,0)),"線上表單",IFERROR(INDEX($O$2:$O$201,MATCH($A162,$L$2:$L$201,0)),"")))</f>
        <v/>
      </c>
      <c r="E162" s="15">
        <f>IF($A162="","",IF(ISNUMBER(MATCH($A162,表單!$A$2:$A$301,0)),"本檔","系統"))</f>
        <v/>
      </c>
      <c r="H162">
        <f>IF(AND(表單!$C162="自主檢查表",表單!$A162&lt;&gt;"",COUNTIF($L$2:$L$201,表單!$A162)=0),COUNT($H$1:H161)+1,"")</f>
        <v/>
      </c>
      <c r="J162">
        <f>IF(161&lt;=COUNTA($L$2:$L$201),INDEX($L$2:$L$201,161),IFERROR(INDEX(表單!$A$2:$A$301,MATCH(161-COUNTA($L$2:$L$201),$H$2:$H$301,0)),""))</f>
        <v/>
      </c>
    </row>
    <row r="163">
      <c r="A163" s="15">
        <f>IF($J163="","",$J163)</f>
        <v/>
      </c>
      <c r="B163" s="15">
        <f>IF($A163="","",IF(ISNUMBER(MATCH($A163,表單!$A$2:$A$301,0)),INDEX(表單!$B$2:$B$301,MATCH($A163,表單!$A$2:$A$301,0)),IFERROR(INDEX($M$2:$M$201,MATCH($A163,$L$2:$L$201,0)),"")))</f>
        <v/>
      </c>
      <c r="C163" s="15">
        <f>IF($A163="","",IF(ISNUMBER(MATCH($A163,表單!$A$2:$A$301,0)),IF(TRIM(INDEX(表單!$D$2:$D$301,MATCH($A163,表單!$A$2:$A$301,0)))="","（分項工程層）",INDEX(表單!$D$2:$D$301,MATCH($A163,表單!$A$2:$A$301,0))),IFERROR(INDEX($N$2:$N$201,MATCH($A163,$L$2:$L$201,0)),"")))</f>
        <v/>
      </c>
      <c r="D163" s="15">
        <f>IF($A163="","",IF(ISNUMBER(MATCH($A163,表單!$A$2:$A$301,0)),"線上表單",IFERROR(INDEX($O$2:$O$201,MATCH($A163,$L$2:$L$201,0)),"")))</f>
        <v/>
      </c>
      <c r="E163" s="15">
        <f>IF($A163="","",IF(ISNUMBER(MATCH($A163,表單!$A$2:$A$301,0)),"本檔","系統"))</f>
        <v/>
      </c>
      <c r="H163">
        <f>IF(AND(表單!$C163="自主檢查表",表單!$A163&lt;&gt;"",COUNTIF($L$2:$L$201,表單!$A163)=0),COUNT($H$1:H162)+1,"")</f>
        <v/>
      </c>
      <c r="J163">
        <f>IF(162&lt;=COUNTA($L$2:$L$201),INDEX($L$2:$L$201,162),IFERROR(INDEX(表單!$A$2:$A$301,MATCH(162-COUNTA($L$2:$L$201),$H$2:$H$301,0)),""))</f>
        <v/>
      </c>
    </row>
    <row r="164">
      <c r="A164" s="15">
        <f>IF($J164="","",$J164)</f>
        <v/>
      </c>
      <c r="B164" s="15">
        <f>IF($A164="","",IF(ISNUMBER(MATCH($A164,表單!$A$2:$A$301,0)),INDEX(表單!$B$2:$B$301,MATCH($A164,表單!$A$2:$A$301,0)),IFERROR(INDEX($M$2:$M$201,MATCH($A164,$L$2:$L$201,0)),"")))</f>
        <v/>
      </c>
      <c r="C164" s="15">
        <f>IF($A164="","",IF(ISNUMBER(MATCH($A164,表單!$A$2:$A$301,0)),IF(TRIM(INDEX(表單!$D$2:$D$301,MATCH($A164,表單!$A$2:$A$301,0)))="","（分項工程層）",INDEX(表單!$D$2:$D$301,MATCH($A164,表單!$A$2:$A$301,0))),IFERROR(INDEX($N$2:$N$201,MATCH($A164,$L$2:$L$201,0)),"")))</f>
        <v/>
      </c>
      <c r="D164" s="15">
        <f>IF($A164="","",IF(ISNUMBER(MATCH($A164,表單!$A$2:$A$301,0)),"線上表單",IFERROR(INDEX($O$2:$O$201,MATCH($A164,$L$2:$L$201,0)),"")))</f>
        <v/>
      </c>
      <c r="E164" s="15">
        <f>IF($A164="","",IF(ISNUMBER(MATCH($A164,表單!$A$2:$A$301,0)),"本檔","系統"))</f>
        <v/>
      </c>
      <c r="H164">
        <f>IF(AND(表單!$C164="自主檢查表",表單!$A164&lt;&gt;"",COUNTIF($L$2:$L$201,表單!$A164)=0),COUNT($H$1:H163)+1,"")</f>
        <v/>
      </c>
      <c r="J164">
        <f>IF(163&lt;=COUNTA($L$2:$L$201),INDEX($L$2:$L$201,163),IFERROR(INDEX(表單!$A$2:$A$301,MATCH(163-COUNTA($L$2:$L$201),$H$2:$H$301,0)),""))</f>
        <v/>
      </c>
    </row>
    <row r="165">
      <c r="A165" s="15">
        <f>IF($J165="","",$J165)</f>
        <v/>
      </c>
      <c r="B165" s="15">
        <f>IF($A165="","",IF(ISNUMBER(MATCH($A165,表單!$A$2:$A$301,0)),INDEX(表單!$B$2:$B$301,MATCH($A165,表單!$A$2:$A$301,0)),IFERROR(INDEX($M$2:$M$201,MATCH($A165,$L$2:$L$201,0)),"")))</f>
        <v/>
      </c>
      <c r="C165" s="15">
        <f>IF($A165="","",IF(ISNUMBER(MATCH($A165,表單!$A$2:$A$301,0)),IF(TRIM(INDEX(表單!$D$2:$D$301,MATCH($A165,表單!$A$2:$A$301,0)))="","（分項工程層）",INDEX(表單!$D$2:$D$301,MATCH($A165,表單!$A$2:$A$301,0))),IFERROR(INDEX($N$2:$N$201,MATCH($A165,$L$2:$L$201,0)),"")))</f>
        <v/>
      </c>
      <c r="D165" s="15">
        <f>IF($A165="","",IF(ISNUMBER(MATCH($A165,表單!$A$2:$A$301,0)),"線上表單",IFERROR(INDEX($O$2:$O$201,MATCH($A165,$L$2:$L$201,0)),"")))</f>
        <v/>
      </c>
      <c r="E165" s="15">
        <f>IF($A165="","",IF(ISNUMBER(MATCH($A165,表單!$A$2:$A$301,0)),"本檔","系統"))</f>
        <v/>
      </c>
      <c r="H165">
        <f>IF(AND(表單!$C165="自主檢查表",表單!$A165&lt;&gt;"",COUNTIF($L$2:$L$201,表單!$A165)=0),COUNT($H$1:H164)+1,"")</f>
        <v/>
      </c>
      <c r="J165">
        <f>IF(164&lt;=COUNTA($L$2:$L$201),INDEX($L$2:$L$201,164),IFERROR(INDEX(表單!$A$2:$A$301,MATCH(164-COUNTA($L$2:$L$201),$H$2:$H$301,0)),""))</f>
        <v/>
      </c>
    </row>
    <row r="166">
      <c r="A166" s="15">
        <f>IF($J166="","",$J166)</f>
        <v/>
      </c>
      <c r="B166" s="15">
        <f>IF($A166="","",IF(ISNUMBER(MATCH($A166,表單!$A$2:$A$301,0)),INDEX(表單!$B$2:$B$301,MATCH($A166,表單!$A$2:$A$301,0)),IFERROR(INDEX($M$2:$M$201,MATCH($A166,$L$2:$L$201,0)),"")))</f>
        <v/>
      </c>
      <c r="C166" s="15">
        <f>IF($A166="","",IF(ISNUMBER(MATCH($A166,表單!$A$2:$A$301,0)),IF(TRIM(INDEX(表單!$D$2:$D$301,MATCH($A166,表單!$A$2:$A$301,0)))="","（分項工程層）",INDEX(表單!$D$2:$D$301,MATCH($A166,表單!$A$2:$A$301,0))),IFERROR(INDEX($N$2:$N$201,MATCH($A166,$L$2:$L$201,0)),"")))</f>
        <v/>
      </c>
      <c r="D166" s="15">
        <f>IF($A166="","",IF(ISNUMBER(MATCH($A166,表單!$A$2:$A$301,0)),"線上表單",IFERROR(INDEX($O$2:$O$201,MATCH($A166,$L$2:$L$201,0)),"")))</f>
        <v/>
      </c>
      <c r="E166" s="15">
        <f>IF($A166="","",IF(ISNUMBER(MATCH($A166,表單!$A$2:$A$301,0)),"本檔","系統"))</f>
        <v/>
      </c>
      <c r="H166">
        <f>IF(AND(表單!$C166="自主檢查表",表單!$A166&lt;&gt;"",COUNTIF($L$2:$L$201,表單!$A166)=0),COUNT($H$1:H165)+1,"")</f>
        <v/>
      </c>
      <c r="J166">
        <f>IF(165&lt;=COUNTA($L$2:$L$201),INDEX($L$2:$L$201,165),IFERROR(INDEX(表單!$A$2:$A$301,MATCH(165-COUNTA($L$2:$L$201),$H$2:$H$301,0)),""))</f>
        <v/>
      </c>
    </row>
    <row r="167">
      <c r="A167" s="15">
        <f>IF($J167="","",$J167)</f>
        <v/>
      </c>
      <c r="B167" s="15">
        <f>IF($A167="","",IF(ISNUMBER(MATCH($A167,表單!$A$2:$A$301,0)),INDEX(表單!$B$2:$B$301,MATCH($A167,表單!$A$2:$A$301,0)),IFERROR(INDEX($M$2:$M$201,MATCH($A167,$L$2:$L$201,0)),"")))</f>
        <v/>
      </c>
      <c r="C167" s="15">
        <f>IF($A167="","",IF(ISNUMBER(MATCH($A167,表單!$A$2:$A$301,0)),IF(TRIM(INDEX(表單!$D$2:$D$301,MATCH($A167,表單!$A$2:$A$301,0)))="","（分項工程層）",INDEX(表單!$D$2:$D$301,MATCH($A167,表單!$A$2:$A$301,0))),IFERROR(INDEX($N$2:$N$201,MATCH($A167,$L$2:$L$201,0)),"")))</f>
        <v/>
      </c>
      <c r="D167" s="15">
        <f>IF($A167="","",IF(ISNUMBER(MATCH($A167,表單!$A$2:$A$301,0)),"線上表單",IFERROR(INDEX($O$2:$O$201,MATCH($A167,$L$2:$L$201,0)),"")))</f>
        <v/>
      </c>
      <c r="E167" s="15">
        <f>IF($A167="","",IF(ISNUMBER(MATCH($A167,表單!$A$2:$A$301,0)),"本檔","系統"))</f>
        <v/>
      </c>
      <c r="H167">
        <f>IF(AND(表單!$C167="自主檢查表",表單!$A167&lt;&gt;"",COUNTIF($L$2:$L$201,表單!$A167)=0),COUNT($H$1:H166)+1,"")</f>
        <v/>
      </c>
      <c r="J167">
        <f>IF(166&lt;=COUNTA($L$2:$L$201),INDEX($L$2:$L$201,166),IFERROR(INDEX(表單!$A$2:$A$301,MATCH(166-COUNTA($L$2:$L$201),$H$2:$H$301,0)),""))</f>
        <v/>
      </c>
    </row>
    <row r="168">
      <c r="A168" s="15">
        <f>IF($J168="","",$J168)</f>
        <v/>
      </c>
      <c r="B168" s="15">
        <f>IF($A168="","",IF(ISNUMBER(MATCH($A168,表單!$A$2:$A$301,0)),INDEX(表單!$B$2:$B$301,MATCH($A168,表單!$A$2:$A$301,0)),IFERROR(INDEX($M$2:$M$201,MATCH($A168,$L$2:$L$201,0)),"")))</f>
        <v/>
      </c>
      <c r="C168" s="15">
        <f>IF($A168="","",IF(ISNUMBER(MATCH($A168,表單!$A$2:$A$301,0)),IF(TRIM(INDEX(表單!$D$2:$D$301,MATCH($A168,表單!$A$2:$A$301,0)))="","（分項工程層）",INDEX(表單!$D$2:$D$301,MATCH($A168,表單!$A$2:$A$301,0))),IFERROR(INDEX($N$2:$N$201,MATCH($A168,$L$2:$L$201,0)),"")))</f>
        <v/>
      </c>
      <c r="D168" s="15">
        <f>IF($A168="","",IF(ISNUMBER(MATCH($A168,表單!$A$2:$A$301,0)),"線上表單",IFERROR(INDEX($O$2:$O$201,MATCH($A168,$L$2:$L$201,0)),"")))</f>
        <v/>
      </c>
      <c r="E168" s="15">
        <f>IF($A168="","",IF(ISNUMBER(MATCH($A168,表單!$A$2:$A$301,0)),"本檔","系統"))</f>
        <v/>
      </c>
      <c r="H168">
        <f>IF(AND(表單!$C168="自主檢查表",表單!$A168&lt;&gt;"",COUNTIF($L$2:$L$201,表單!$A168)=0),COUNT($H$1:H167)+1,"")</f>
        <v/>
      </c>
      <c r="J168">
        <f>IF(167&lt;=COUNTA($L$2:$L$201),INDEX($L$2:$L$201,167),IFERROR(INDEX(表單!$A$2:$A$301,MATCH(167-COUNTA($L$2:$L$201),$H$2:$H$301,0)),""))</f>
        <v/>
      </c>
    </row>
    <row r="169">
      <c r="A169" s="15">
        <f>IF($J169="","",$J169)</f>
        <v/>
      </c>
      <c r="B169" s="15">
        <f>IF($A169="","",IF(ISNUMBER(MATCH($A169,表單!$A$2:$A$301,0)),INDEX(表單!$B$2:$B$301,MATCH($A169,表單!$A$2:$A$301,0)),IFERROR(INDEX($M$2:$M$201,MATCH($A169,$L$2:$L$201,0)),"")))</f>
        <v/>
      </c>
      <c r="C169" s="15">
        <f>IF($A169="","",IF(ISNUMBER(MATCH($A169,表單!$A$2:$A$301,0)),IF(TRIM(INDEX(表單!$D$2:$D$301,MATCH($A169,表單!$A$2:$A$301,0)))="","（分項工程層）",INDEX(表單!$D$2:$D$301,MATCH($A169,表單!$A$2:$A$301,0))),IFERROR(INDEX($N$2:$N$201,MATCH($A169,$L$2:$L$201,0)),"")))</f>
        <v/>
      </c>
      <c r="D169" s="15">
        <f>IF($A169="","",IF(ISNUMBER(MATCH($A169,表單!$A$2:$A$301,0)),"線上表單",IFERROR(INDEX($O$2:$O$201,MATCH($A169,$L$2:$L$201,0)),"")))</f>
        <v/>
      </c>
      <c r="E169" s="15">
        <f>IF($A169="","",IF(ISNUMBER(MATCH($A169,表單!$A$2:$A$301,0)),"本檔","系統"))</f>
        <v/>
      </c>
      <c r="H169">
        <f>IF(AND(表單!$C169="自主檢查表",表單!$A169&lt;&gt;"",COUNTIF($L$2:$L$201,表單!$A169)=0),COUNT($H$1:H168)+1,"")</f>
        <v/>
      </c>
      <c r="J169">
        <f>IF(168&lt;=COUNTA($L$2:$L$201),INDEX($L$2:$L$201,168),IFERROR(INDEX(表單!$A$2:$A$301,MATCH(168-COUNTA($L$2:$L$201),$H$2:$H$301,0)),""))</f>
        <v/>
      </c>
    </row>
    <row r="170">
      <c r="A170" s="15">
        <f>IF($J170="","",$J170)</f>
        <v/>
      </c>
      <c r="B170" s="15">
        <f>IF($A170="","",IF(ISNUMBER(MATCH($A170,表單!$A$2:$A$301,0)),INDEX(表單!$B$2:$B$301,MATCH($A170,表單!$A$2:$A$301,0)),IFERROR(INDEX($M$2:$M$201,MATCH($A170,$L$2:$L$201,0)),"")))</f>
        <v/>
      </c>
      <c r="C170" s="15">
        <f>IF($A170="","",IF(ISNUMBER(MATCH($A170,表單!$A$2:$A$301,0)),IF(TRIM(INDEX(表單!$D$2:$D$301,MATCH($A170,表單!$A$2:$A$301,0)))="","（分項工程層）",INDEX(表單!$D$2:$D$301,MATCH($A170,表單!$A$2:$A$301,0))),IFERROR(INDEX($N$2:$N$201,MATCH($A170,$L$2:$L$201,0)),"")))</f>
        <v/>
      </c>
      <c r="D170" s="15">
        <f>IF($A170="","",IF(ISNUMBER(MATCH($A170,表單!$A$2:$A$301,0)),"線上表單",IFERROR(INDEX($O$2:$O$201,MATCH($A170,$L$2:$L$201,0)),"")))</f>
        <v/>
      </c>
      <c r="E170" s="15">
        <f>IF($A170="","",IF(ISNUMBER(MATCH($A170,表單!$A$2:$A$301,0)),"本檔","系統"))</f>
        <v/>
      </c>
      <c r="H170">
        <f>IF(AND(表單!$C170="自主檢查表",表單!$A170&lt;&gt;"",COUNTIF($L$2:$L$201,表單!$A170)=0),COUNT($H$1:H169)+1,"")</f>
        <v/>
      </c>
      <c r="J170">
        <f>IF(169&lt;=COUNTA($L$2:$L$201),INDEX($L$2:$L$201,169),IFERROR(INDEX(表單!$A$2:$A$301,MATCH(169-COUNTA($L$2:$L$201),$H$2:$H$301,0)),""))</f>
        <v/>
      </c>
    </row>
    <row r="171">
      <c r="A171" s="15">
        <f>IF($J171="","",$J171)</f>
        <v/>
      </c>
      <c r="B171" s="15">
        <f>IF($A171="","",IF(ISNUMBER(MATCH($A171,表單!$A$2:$A$301,0)),INDEX(表單!$B$2:$B$301,MATCH($A171,表單!$A$2:$A$301,0)),IFERROR(INDEX($M$2:$M$201,MATCH($A171,$L$2:$L$201,0)),"")))</f>
        <v/>
      </c>
      <c r="C171" s="15">
        <f>IF($A171="","",IF(ISNUMBER(MATCH($A171,表單!$A$2:$A$301,0)),IF(TRIM(INDEX(表單!$D$2:$D$301,MATCH($A171,表單!$A$2:$A$301,0)))="","（分項工程層）",INDEX(表單!$D$2:$D$301,MATCH($A171,表單!$A$2:$A$301,0))),IFERROR(INDEX($N$2:$N$201,MATCH($A171,$L$2:$L$201,0)),"")))</f>
        <v/>
      </c>
      <c r="D171" s="15">
        <f>IF($A171="","",IF(ISNUMBER(MATCH($A171,表單!$A$2:$A$301,0)),"線上表單",IFERROR(INDEX($O$2:$O$201,MATCH($A171,$L$2:$L$201,0)),"")))</f>
        <v/>
      </c>
      <c r="E171" s="15">
        <f>IF($A171="","",IF(ISNUMBER(MATCH($A171,表單!$A$2:$A$301,0)),"本檔","系統"))</f>
        <v/>
      </c>
      <c r="H171">
        <f>IF(AND(表單!$C171="自主檢查表",表單!$A171&lt;&gt;"",COUNTIF($L$2:$L$201,表單!$A171)=0),COUNT($H$1:H170)+1,"")</f>
        <v/>
      </c>
      <c r="J171">
        <f>IF(170&lt;=COUNTA($L$2:$L$201),INDEX($L$2:$L$201,170),IFERROR(INDEX(表單!$A$2:$A$301,MATCH(170-COUNTA($L$2:$L$201),$H$2:$H$301,0)),""))</f>
        <v/>
      </c>
    </row>
    <row r="172">
      <c r="A172" s="15">
        <f>IF($J172="","",$J172)</f>
        <v/>
      </c>
      <c r="B172" s="15">
        <f>IF($A172="","",IF(ISNUMBER(MATCH($A172,表單!$A$2:$A$301,0)),INDEX(表單!$B$2:$B$301,MATCH($A172,表單!$A$2:$A$301,0)),IFERROR(INDEX($M$2:$M$201,MATCH($A172,$L$2:$L$201,0)),"")))</f>
        <v/>
      </c>
      <c r="C172" s="15">
        <f>IF($A172="","",IF(ISNUMBER(MATCH($A172,表單!$A$2:$A$301,0)),IF(TRIM(INDEX(表單!$D$2:$D$301,MATCH($A172,表單!$A$2:$A$301,0)))="","（分項工程層）",INDEX(表單!$D$2:$D$301,MATCH($A172,表單!$A$2:$A$301,0))),IFERROR(INDEX($N$2:$N$201,MATCH($A172,$L$2:$L$201,0)),"")))</f>
        <v/>
      </c>
      <c r="D172" s="15">
        <f>IF($A172="","",IF(ISNUMBER(MATCH($A172,表單!$A$2:$A$301,0)),"線上表單",IFERROR(INDEX($O$2:$O$201,MATCH($A172,$L$2:$L$201,0)),"")))</f>
        <v/>
      </c>
      <c r="E172" s="15">
        <f>IF($A172="","",IF(ISNUMBER(MATCH($A172,表單!$A$2:$A$301,0)),"本檔","系統"))</f>
        <v/>
      </c>
      <c r="H172">
        <f>IF(AND(表單!$C172="自主檢查表",表單!$A172&lt;&gt;"",COUNTIF($L$2:$L$201,表單!$A172)=0),COUNT($H$1:H171)+1,"")</f>
        <v/>
      </c>
      <c r="J172">
        <f>IF(171&lt;=COUNTA($L$2:$L$201),INDEX($L$2:$L$201,171),IFERROR(INDEX(表單!$A$2:$A$301,MATCH(171-COUNTA($L$2:$L$201),$H$2:$H$301,0)),""))</f>
        <v/>
      </c>
    </row>
    <row r="173">
      <c r="A173" s="15">
        <f>IF($J173="","",$J173)</f>
        <v/>
      </c>
      <c r="B173" s="15">
        <f>IF($A173="","",IF(ISNUMBER(MATCH($A173,表單!$A$2:$A$301,0)),INDEX(表單!$B$2:$B$301,MATCH($A173,表單!$A$2:$A$301,0)),IFERROR(INDEX($M$2:$M$201,MATCH($A173,$L$2:$L$201,0)),"")))</f>
        <v/>
      </c>
      <c r="C173" s="15">
        <f>IF($A173="","",IF(ISNUMBER(MATCH($A173,表單!$A$2:$A$301,0)),IF(TRIM(INDEX(表單!$D$2:$D$301,MATCH($A173,表單!$A$2:$A$301,0)))="","（分項工程層）",INDEX(表單!$D$2:$D$301,MATCH($A173,表單!$A$2:$A$301,0))),IFERROR(INDEX($N$2:$N$201,MATCH($A173,$L$2:$L$201,0)),"")))</f>
        <v/>
      </c>
      <c r="D173" s="15">
        <f>IF($A173="","",IF(ISNUMBER(MATCH($A173,表單!$A$2:$A$301,0)),"線上表單",IFERROR(INDEX($O$2:$O$201,MATCH($A173,$L$2:$L$201,0)),"")))</f>
        <v/>
      </c>
      <c r="E173" s="15">
        <f>IF($A173="","",IF(ISNUMBER(MATCH($A173,表單!$A$2:$A$301,0)),"本檔","系統"))</f>
        <v/>
      </c>
      <c r="H173">
        <f>IF(AND(表單!$C173="自主檢查表",表單!$A173&lt;&gt;"",COUNTIF($L$2:$L$201,表單!$A173)=0),COUNT($H$1:H172)+1,"")</f>
        <v/>
      </c>
      <c r="J173">
        <f>IF(172&lt;=COUNTA($L$2:$L$201),INDEX($L$2:$L$201,172),IFERROR(INDEX(表單!$A$2:$A$301,MATCH(172-COUNTA($L$2:$L$201),$H$2:$H$301,0)),""))</f>
        <v/>
      </c>
    </row>
    <row r="174">
      <c r="A174" s="15">
        <f>IF($J174="","",$J174)</f>
        <v/>
      </c>
      <c r="B174" s="15">
        <f>IF($A174="","",IF(ISNUMBER(MATCH($A174,表單!$A$2:$A$301,0)),INDEX(表單!$B$2:$B$301,MATCH($A174,表單!$A$2:$A$301,0)),IFERROR(INDEX($M$2:$M$201,MATCH($A174,$L$2:$L$201,0)),"")))</f>
        <v/>
      </c>
      <c r="C174" s="15">
        <f>IF($A174="","",IF(ISNUMBER(MATCH($A174,表單!$A$2:$A$301,0)),IF(TRIM(INDEX(表單!$D$2:$D$301,MATCH($A174,表單!$A$2:$A$301,0)))="","（分項工程層）",INDEX(表單!$D$2:$D$301,MATCH($A174,表單!$A$2:$A$301,0))),IFERROR(INDEX($N$2:$N$201,MATCH($A174,$L$2:$L$201,0)),"")))</f>
        <v/>
      </c>
      <c r="D174" s="15">
        <f>IF($A174="","",IF(ISNUMBER(MATCH($A174,表單!$A$2:$A$301,0)),"線上表單",IFERROR(INDEX($O$2:$O$201,MATCH($A174,$L$2:$L$201,0)),"")))</f>
        <v/>
      </c>
      <c r="E174" s="15">
        <f>IF($A174="","",IF(ISNUMBER(MATCH($A174,表單!$A$2:$A$301,0)),"本檔","系統"))</f>
        <v/>
      </c>
      <c r="H174">
        <f>IF(AND(表單!$C174="自主檢查表",表單!$A174&lt;&gt;"",COUNTIF($L$2:$L$201,表單!$A174)=0),COUNT($H$1:H173)+1,"")</f>
        <v/>
      </c>
      <c r="J174">
        <f>IF(173&lt;=COUNTA($L$2:$L$201),INDEX($L$2:$L$201,173),IFERROR(INDEX(表單!$A$2:$A$301,MATCH(173-COUNTA($L$2:$L$201),$H$2:$H$301,0)),""))</f>
        <v/>
      </c>
    </row>
    <row r="175">
      <c r="A175" s="15">
        <f>IF($J175="","",$J175)</f>
        <v/>
      </c>
      <c r="B175" s="15">
        <f>IF($A175="","",IF(ISNUMBER(MATCH($A175,表單!$A$2:$A$301,0)),INDEX(表單!$B$2:$B$301,MATCH($A175,表單!$A$2:$A$301,0)),IFERROR(INDEX($M$2:$M$201,MATCH($A175,$L$2:$L$201,0)),"")))</f>
        <v/>
      </c>
      <c r="C175" s="15">
        <f>IF($A175="","",IF(ISNUMBER(MATCH($A175,表單!$A$2:$A$301,0)),IF(TRIM(INDEX(表單!$D$2:$D$301,MATCH($A175,表單!$A$2:$A$301,0)))="","（分項工程層）",INDEX(表單!$D$2:$D$301,MATCH($A175,表單!$A$2:$A$301,0))),IFERROR(INDEX($N$2:$N$201,MATCH($A175,$L$2:$L$201,0)),"")))</f>
        <v/>
      </c>
      <c r="D175" s="15">
        <f>IF($A175="","",IF(ISNUMBER(MATCH($A175,表單!$A$2:$A$301,0)),"線上表單",IFERROR(INDEX($O$2:$O$201,MATCH($A175,$L$2:$L$201,0)),"")))</f>
        <v/>
      </c>
      <c r="E175" s="15">
        <f>IF($A175="","",IF(ISNUMBER(MATCH($A175,表單!$A$2:$A$301,0)),"本檔","系統"))</f>
        <v/>
      </c>
      <c r="H175">
        <f>IF(AND(表單!$C175="自主檢查表",表單!$A175&lt;&gt;"",COUNTIF($L$2:$L$201,表單!$A175)=0),COUNT($H$1:H174)+1,"")</f>
        <v/>
      </c>
      <c r="J175">
        <f>IF(174&lt;=COUNTA($L$2:$L$201),INDEX($L$2:$L$201,174),IFERROR(INDEX(表單!$A$2:$A$301,MATCH(174-COUNTA($L$2:$L$201),$H$2:$H$301,0)),""))</f>
        <v/>
      </c>
    </row>
    <row r="176">
      <c r="A176" s="15">
        <f>IF($J176="","",$J176)</f>
        <v/>
      </c>
      <c r="B176" s="15">
        <f>IF($A176="","",IF(ISNUMBER(MATCH($A176,表單!$A$2:$A$301,0)),INDEX(表單!$B$2:$B$301,MATCH($A176,表單!$A$2:$A$301,0)),IFERROR(INDEX($M$2:$M$201,MATCH($A176,$L$2:$L$201,0)),"")))</f>
        <v/>
      </c>
      <c r="C176" s="15">
        <f>IF($A176="","",IF(ISNUMBER(MATCH($A176,表單!$A$2:$A$301,0)),IF(TRIM(INDEX(表單!$D$2:$D$301,MATCH($A176,表單!$A$2:$A$301,0)))="","（分項工程層）",INDEX(表單!$D$2:$D$301,MATCH($A176,表單!$A$2:$A$301,0))),IFERROR(INDEX($N$2:$N$201,MATCH($A176,$L$2:$L$201,0)),"")))</f>
        <v/>
      </c>
      <c r="D176" s="15">
        <f>IF($A176="","",IF(ISNUMBER(MATCH($A176,表單!$A$2:$A$301,0)),"線上表單",IFERROR(INDEX($O$2:$O$201,MATCH($A176,$L$2:$L$201,0)),"")))</f>
        <v/>
      </c>
      <c r="E176" s="15">
        <f>IF($A176="","",IF(ISNUMBER(MATCH($A176,表單!$A$2:$A$301,0)),"本檔","系統"))</f>
        <v/>
      </c>
      <c r="H176">
        <f>IF(AND(表單!$C176="自主檢查表",表單!$A176&lt;&gt;"",COUNTIF($L$2:$L$201,表單!$A176)=0),COUNT($H$1:H175)+1,"")</f>
        <v/>
      </c>
      <c r="J176">
        <f>IF(175&lt;=COUNTA($L$2:$L$201),INDEX($L$2:$L$201,175),IFERROR(INDEX(表單!$A$2:$A$301,MATCH(175-COUNTA($L$2:$L$201),$H$2:$H$301,0)),""))</f>
        <v/>
      </c>
    </row>
    <row r="177">
      <c r="A177" s="15">
        <f>IF($J177="","",$J177)</f>
        <v/>
      </c>
      <c r="B177" s="15">
        <f>IF($A177="","",IF(ISNUMBER(MATCH($A177,表單!$A$2:$A$301,0)),INDEX(表單!$B$2:$B$301,MATCH($A177,表單!$A$2:$A$301,0)),IFERROR(INDEX($M$2:$M$201,MATCH($A177,$L$2:$L$201,0)),"")))</f>
        <v/>
      </c>
      <c r="C177" s="15">
        <f>IF($A177="","",IF(ISNUMBER(MATCH($A177,表單!$A$2:$A$301,0)),IF(TRIM(INDEX(表單!$D$2:$D$301,MATCH($A177,表單!$A$2:$A$301,0)))="","（分項工程層）",INDEX(表單!$D$2:$D$301,MATCH($A177,表單!$A$2:$A$301,0))),IFERROR(INDEX($N$2:$N$201,MATCH($A177,$L$2:$L$201,0)),"")))</f>
        <v/>
      </c>
      <c r="D177" s="15">
        <f>IF($A177="","",IF(ISNUMBER(MATCH($A177,表單!$A$2:$A$301,0)),"線上表單",IFERROR(INDEX($O$2:$O$201,MATCH($A177,$L$2:$L$201,0)),"")))</f>
        <v/>
      </c>
      <c r="E177" s="15">
        <f>IF($A177="","",IF(ISNUMBER(MATCH($A177,表單!$A$2:$A$301,0)),"本檔","系統"))</f>
        <v/>
      </c>
      <c r="H177">
        <f>IF(AND(表單!$C177="自主檢查表",表單!$A177&lt;&gt;"",COUNTIF($L$2:$L$201,表單!$A177)=0),COUNT($H$1:H176)+1,"")</f>
        <v/>
      </c>
      <c r="J177">
        <f>IF(176&lt;=COUNTA($L$2:$L$201),INDEX($L$2:$L$201,176),IFERROR(INDEX(表單!$A$2:$A$301,MATCH(176-COUNTA($L$2:$L$201),$H$2:$H$301,0)),""))</f>
        <v/>
      </c>
    </row>
    <row r="178">
      <c r="A178" s="15">
        <f>IF($J178="","",$J178)</f>
        <v/>
      </c>
      <c r="B178" s="15">
        <f>IF($A178="","",IF(ISNUMBER(MATCH($A178,表單!$A$2:$A$301,0)),INDEX(表單!$B$2:$B$301,MATCH($A178,表單!$A$2:$A$301,0)),IFERROR(INDEX($M$2:$M$201,MATCH($A178,$L$2:$L$201,0)),"")))</f>
        <v/>
      </c>
      <c r="C178" s="15">
        <f>IF($A178="","",IF(ISNUMBER(MATCH($A178,表單!$A$2:$A$301,0)),IF(TRIM(INDEX(表單!$D$2:$D$301,MATCH($A178,表單!$A$2:$A$301,0)))="","（分項工程層）",INDEX(表單!$D$2:$D$301,MATCH($A178,表單!$A$2:$A$301,0))),IFERROR(INDEX($N$2:$N$201,MATCH($A178,$L$2:$L$201,0)),"")))</f>
        <v/>
      </c>
      <c r="D178" s="15">
        <f>IF($A178="","",IF(ISNUMBER(MATCH($A178,表單!$A$2:$A$301,0)),"線上表單",IFERROR(INDEX($O$2:$O$201,MATCH($A178,$L$2:$L$201,0)),"")))</f>
        <v/>
      </c>
      <c r="E178" s="15">
        <f>IF($A178="","",IF(ISNUMBER(MATCH($A178,表單!$A$2:$A$301,0)),"本檔","系統"))</f>
        <v/>
      </c>
      <c r="H178">
        <f>IF(AND(表單!$C178="自主檢查表",表單!$A178&lt;&gt;"",COUNTIF($L$2:$L$201,表單!$A178)=0),COUNT($H$1:H177)+1,"")</f>
        <v/>
      </c>
      <c r="J178">
        <f>IF(177&lt;=COUNTA($L$2:$L$201),INDEX($L$2:$L$201,177),IFERROR(INDEX(表單!$A$2:$A$301,MATCH(177-COUNTA($L$2:$L$201),$H$2:$H$301,0)),""))</f>
        <v/>
      </c>
    </row>
    <row r="179">
      <c r="A179" s="15">
        <f>IF($J179="","",$J179)</f>
        <v/>
      </c>
      <c r="B179" s="15">
        <f>IF($A179="","",IF(ISNUMBER(MATCH($A179,表單!$A$2:$A$301,0)),INDEX(表單!$B$2:$B$301,MATCH($A179,表單!$A$2:$A$301,0)),IFERROR(INDEX($M$2:$M$201,MATCH($A179,$L$2:$L$201,0)),"")))</f>
        <v/>
      </c>
      <c r="C179" s="15">
        <f>IF($A179="","",IF(ISNUMBER(MATCH($A179,表單!$A$2:$A$301,0)),IF(TRIM(INDEX(表單!$D$2:$D$301,MATCH($A179,表單!$A$2:$A$301,0)))="","（分項工程層）",INDEX(表單!$D$2:$D$301,MATCH($A179,表單!$A$2:$A$301,0))),IFERROR(INDEX($N$2:$N$201,MATCH($A179,$L$2:$L$201,0)),"")))</f>
        <v/>
      </c>
      <c r="D179" s="15">
        <f>IF($A179="","",IF(ISNUMBER(MATCH($A179,表單!$A$2:$A$301,0)),"線上表單",IFERROR(INDEX($O$2:$O$201,MATCH($A179,$L$2:$L$201,0)),"")))</f>
        <v/>
      </c>
      <c r="E179" s="15">
        <f>IF($A179="","",IF(ISNUMBER(MATCH($A179,表單!$A$2:$A$301,0)),"本檔","系統"))</f>
        <v/>
      </c>
      <c r="H179">
        <f>IF(AND(表單!$C179="自主檢查表",表單!$A179&lt;&gt;"",COUNTIF($L$2:$L$201,表單!$A179)=0),COUNT($H$1:H178)+1,"")</f>
        <v/>
      </c>
      <c r="J179">
        <f>IF(178&lt;=COUNTA($L$2:$L$201),INDEX($L$2:$L$201,178),IFERROR(INDEX(表單!$A$2:$A$301,MATCH(178-COUNTA($L$2:$L$201),$H$2:$H$301,0)),""))</f>
        <v/>
      </c>
    </row>
    <row r="180">
      <c r="A180" s="15">
        <f>IF($J180="","",$J180)</f>
        <v/>
      </c>
      <c r="B180" s="15">
        <f>IF($A180="","",IF(ISNUMBER(MATCH($A180,表單!$A$2:$A$301,0)),INDEX(表單!$B$2:$B$301,MATCH($A180,表單!$A$2:$A$301,0)),IFERROR(INDEX($M$2:$M$201,MATCH($A180,$L$2:$L$201,0)),"")))</f>
        <v/>
      </c>
      <c r="C180" s="15">
        <f>IF($A180="","",IF(ISNUMBER(MATCH($A180,表單!$A$2:$A$301,0)),IF(TRIM(INDEX(表單!$D$2:$D$301,MATCH($A180,表單!$A$2:$A$301,0)))="","（分項工程層）",INDEX(表單!$D$2:$D$301,MATCH($A180,表單!$A$2:$A$301,0))),IFERROR(INDEX($N$2:$N$201,MATCH($A180,$L$2:$L$201,0)),"")))</f>
        <v/>
      </c>
      <c r="D180" s="15">
        <f>IF($A180="","",IF(ISNUMBER(MATCH($A180,表單!$A$2:$A$301,0)),"線上表單",IFERROR(INDEX($O$2:$O$201,MATCH($A180,$L$2:$L$201,0)),"")))</f>
        <v/>
      </c>
      <c r="E180" s="15">
        <f>IF($A180="","",IF(ISNUMBER(MATCH($A180,表單!$A$2:$A$301,0)),"本檔","系統"))</f>
        <v/>
      </c>
      <c r="H180">
        <f>IF(AND(表單!$C180="自主檢查表",表單!$A180&lt;&gt;"",COUNTIF($L$2:$L$201,表單!$A180)=0),COUNT($H$1:H179)+1,"")</f>
        <v/>
      </c>
      <c r="J180">
        <f>IF(179&lt;=COUNTA($L$2:$L$201),INDEX($L$2:$L$201,179),IFERROR(INDEX(表單!$A$2:$A$301,MATCH(179-COUNTA($L$2:$L$201),$H$2:$H$301,0)),""))</f>
        <v/>
      </c>
    </row>
    <row r="181">
      <c r="A181" s="15">
        <f>IF($J181="","",$J181)</f>
        <v/>
      </c>
      <c r="B181" s="15">
        <f>IF($A181="","",IF(ISNUMBER(MATCH($A181,表單!$A$2:$A$301,0)),INDEX(表單!$B$2:$B$301,MATCH($A181,表單!$A$2:$A$301,0)),IFERROR(INDEX($M$2:$M$201,MATCH($A181,$L$2:$L$201,0)),"")))</f>
        <v/>
      </c>
      <c r="C181" s="15">
        <f>IF($A181="","",IF(ISNUMBER(MATCH($A181,表單!$A$2:$A$301,0)),IF(TRIM(INDEX(表單!$D$2:$D$301,MATCH($A181,表單!$A$2:$A$301,0)))="","（分項工程層）",INDEX(表單!$D$2:$D$301,MATCH($A181,表單!$A$2:$A$301,0))),IFERROR(INDEX($N$2:$N$201,MATCH($A181,$L$2:$L$201,0)),"")))</f>
        <v/>
      </c>
      <c r="D181" s="15">
        <f>IF($A181="","",IF(ISNUMBER(MATCH($A181,表單!$A$2:$A$301,0)),"線上表單",IFERROR(INDEX($O$2:$O$201,MATCH($A181,$L$2:$L$201,0)),"")))</f>
        <v/>
      </c>
      <c r="E181" s="15">
        <f>IF($A181="","",IF(ISNUMBER(MATCH($A181,表單!$A$2:$A$301,0)),"本檔","系統"))</f>
        <v/>
      </c>
      <c r="H181">
        <f>IF(AND(表單!$C181="自主檢查表",表單!$A181&lt;&gt;"",COUNTIF($L$2:$L$201,表單!$A181)=0),COUNT($H$1:H180)+1,"")</f>
        <v/>
      </c>
      <c r="J181">
        <f>IF(180&lt;=COUNTA($L$2:$L$201),INDEX($L$2:$L$201,180),IFERROR(INDEX(表單!$A$2:$A$301,MATCH(180-COUNTA($L$2:$L$201),$H$2:$H$301,0)),""))</f>
        <v/>
      </c>
    </row>
    <row r="182">
      <c r="A182" s="15">
        <f>IF($J182="","",$J182)</f>
        <v/>
      </c>
      <c r="B182" s="15">
        <f>IF($A182="","",IF(ISNUMBER(MATCH($A182,表單!$A$2:$A$301,0)),INDEX(表單!$B$2:$B$301,MATCH($A182,表單!$A$2:$A$301,0)),IFERROR(INDEX($M$2:$M$201,MATCH($A182,$L$2:$L$201,0)),"")))</f>
        <v/>
      </c>
      <c r="C182" s="15">
        <f>IF($A182="","",IF(ISNUMBER(MATCH($A182,表單!$A$2:$A$301,0)),IF(TRIM(INDEX(表單!$D$2:$D$301,MATCH($A182,表單!$A$2:$A$301,0)))="","（分項工程層）",INDEX(表單!$D$2:$D$301,MATCH($A182,表單!$A$2:$A$301,0))),IFERROR(INDEX($N$2:$N$201,MATCH($A182,$L$2:$L$201,0)),"")))</f>
        <v/>
      </c>
      <c r="D182" s="15">
        <f>IF($A182="","",IF(ISNUMBER(MATCH($A182,表單!$A$2:$A$301,0)),"線上表單",IFERROR(INDEX($O$2:$O$201,MATCH($A182,$L$2:$L$201,0)),"")))</f>
        <v/>
      </c>
      <c r="E182" s="15">
        <f>IF($A182="","",IF(ISNUMBER(MATCH($A182,表單!$A$2:$A$301,0)),"本檔","系統"))</f>
        <v/>
      </c>
      <c r="H182">
        <f>IF(AND(表單!$C182="自主檢查表",表單!$A182&lt;&gt;"",COUNTIF($L$2:$L$201,表單!$A182)=0),COUNT($H$1:H181)+1,"")</f>
        <v/>
      </c>
      <c r="J182">
        <f>IF(181&lt;=COUNTA($L$2:$L$201),INDEX($L$2:$L$201,181),IFERROR(INDEX(表單!$A$2:$A$301,MATCH(181-COUNTA($L$2:$L$201),$H$2:$H$301,0)),""))</f>
        <v/>
      </c>
    </row>
    <row r="183">
      <c r="A183" s="15">
        <f>IF($J183="","",$J183)</f>
        <v/>
      </c>
      <c r="B183" s="15">
        <f>IF($A183="","",IF(ISNUMBER(MATCH($A183,表單!$A$2:$A$301,0)),INDEX(表單!$B$2:$B$301,MATCH($A183,表單!$A$2:$A$301,0)),IFERROR(INDEX($M$2:$M$201,MATCH($A183,$L$2:$L$201,0)),"")))</f>
        <v/>
      </c>
      <c r="C183" s="15">
        <f>IF($A183="","",IF(ISNUMBER(MATCH($A183,表單!$A$2:$A$301,0)),IF(TRIM(INDEX(表單!$D$2:$D$301,MATCH($A183,表單!$A$2:$A$301,0)))="","（分項工程層）",INDEX(表單!$D$2:$D$301,MATCH($A183,表單!$A$2:$A$301,0))),IFERROR(INDEX($N$2:$N$201,MATCH($A183,$L$2:$L$201,0)),"")))</f>
        <v/>
      </c>
      <c r="D183" s="15">
        <f>IF($A183="","",IF(ISNUMBER(MATCH($A183,表單!$A$2:$A$301,0)),"線上表單",IFERROR(INDEX($O$2:$O$201,MATCH($A183,$L$2:$L$201,0)),"")))</f>
        <v/>
      </c>
      <c r="E183" s="15">
        <f>IF($A183="","",IF(ISNUMBER(MATCH($A183,表單!$A$2:$A$301,0)),"本檔","系統"))</f>
        <v/>
      </c>
      <c r="H183">
        <f>IF(AND(表單!$C183="自主檢查表",表單!$A183&lt;&gt;"",COUNTIF($L$2:$L$201,表單!$A183)=0),COUNT($H$1:H182)+1,"")</f>
        <v/>
      </c>
      <c r="J183">
        <f>IF(182&lt;=COUNTA($L$2:$L$201),INDEX($L$2:$L$201,182),IFERROR(INDEX(表單!$A$2:$A$301,MATCH(182-COUNTA($L$2:$L$201),$H$2:$H$301,0)),""))</f>
        <v/>
      </c>
    </row>
    <row r="184">
      <c r="A184" s="15">
        <f>IF($J184="","",$J184)</f>
        <v/>
      </c>
      <c r="B184" s="15">
        <f>IF($A184="","",IF(ISNUMBER(MATCH($A184,表單!$A$2:$A$301,0)),INDEX(表單!$B$2:$B$301,MATCH($A184,表單!$A$2:$A$301,0)),IFERROR(INDEX($M$2:$M$201,MATCH($A184,$L$2:$L$201,0)),"")))</f>
        <v/>
      </c>
      <c r="C184" s="15">
        <f>IF($A184="","",IF(ISNUMBER(MATCH($A184,表單!$A$2:$A$301,0)),IF(TRIM(INDEX(表單!$D$2:$D$301,MATCH($A184,表單!$A$2:$A$301,0)))="","（分項工程層）",INDEX(表單!$D$2:$D$301,MATCH($A184,表單!$A$2:$A$301,0))),IFERROR(INDEX($N$2:$N$201,MATCH($A184,$L$2:$L$201,0)),"")))</f>
        <v/>
      </c>
      <c r="D184" s="15">
        <f>IF($A184="","",IF(ISNUMBER(MATCH($A184,表單!$A$2:$A$301,0)),"線上表單",IFERROR(INDEX($O$2:$O$201,MATCH($A184,$L$2:$L$201,0)),"")))</f>
        <v/>
      </c>
      <c r="E184" s="15">
        <f>IF($A184="","",IF(ISNUMBER(MATCH($A184,表單!$A$2:$A$301,0)),"本檔","系統"))</f>
        <v/>
      </c>
      <c r="H184">
        <f>IF(AND(表單!$C184="自主檢查表",表單!$A184&lt;&gt;"",COUNTIF($L$2:$L$201,表單!$A184)=0),COUNT($H$1:H183)+1,"")</f>
        <v/>
      </c>
      <c r="J184">
        <f>IF(183&lt;=COUNTA($L$2:$L$201),INDEX($L$2:$L$201,183),IFERROR(INDEX(表單!$A$2:$A$301,MATCH(183-COUNTA($L$2:$L$201),$H$2:$H$301,0)),""))</f>
        <v/>
      </c>
    </row>
    <row r="185">
      <c r="A185" s="15">
        <f>IF($J185="","",$J185)</f>
        <v/>
      </c>
      <c r="B185" s="15">
        <f>IF($A185="","",IF(ISNUMBER(MATCH($A185,表單!$A$2:$A$301,0)),INDEX(表單!$B$2:$B$301,MATCH($A185,表單!$A$2:$A$301,0)),IFERROR(INDEX($M$2:$M$201,MATCH($A185,$L$2:$L$201,0)),"")))</f>
        <v/>
      </c>
      <c r="C185" s="15">
        <f>IF($A185="","",IF(ISNUMBER(MATCH($A185,表單!$A$2:$A$301,0)),IF(TRIM(INDEX(表單!$D$2:$D$301,MATCH($A185,表單!$A$2:$A$301,0)))="","（分項工程層）",INDEX(表單!$D$2:$D$301,MATCH($A185,表單!$A$2:$A$301,0))),IFERROR(INDEX($N$2:$N$201,MATCH($A185,$L$2:$L$201,0)),"")))</f>
        <v/>
      </c>
      <c r="D185" s="15">
        <f>IF($A185="","",IF(ISNUMBER(MATCH($A185,表單!$A$2:$A$301,0)),"線上表單",IFERROR(INDEX($O$2:$O$201,MATCH($A185,$L$2:$L$201,0)),"")))</f>
        <v/>
      </c>
      <c r="E185" s="15">
        <f>IF($A185="","",IF(ISNUMBER(MATCH($A185,表單!$A$2:$A$301,0)),"本檔","系統"))</f>
        <v/>
      </c>
      <c r="H185">
        <f>IF(AND(表單!$C185="自主檢查表",表單!$A185&lt;&gt;"",COUNTIF($L$2:$L$201,表單!$A185)=0),COUNT($H$1:H184)+1,"")</f>
        <v/>
      </c>
      <c r="J185">
        <f>IF(184&lt;=COUNTA($L$2:$L$201),INDEX($L$2:$L$201,184),IFERROR(INDEX(表單!$A$2:$A$301,MATCH(184-COUNTA($L$2:$L$201),$H$2:$H$301,0)),""))</f>
        <v/>
      </c>
    </row>
    <row r="186">
      <c r="A186" s="15">
        <f>IF($J186="","",$J186)</f>
        <v/>
      </c>
      <c r="B186" s="15">
        <f>IF($A186="","",IF(ISNUMBER(MATCH($A186,表單!$A$2:$A$301,0)),INDEX(表單!$B$2:$B$301,MATCH($A186,表單!$A$2:$A$301,0)),IFERROR(INDEX($M$2:$M$201,MATCH($A186,$L$2:$L$201,0)),"")))</f>
        <v/>
      </c>
      <c r="C186" s="15">
        <f>IF($A186="","",IF(ISNUMBER(MATCH($A186,表單!$A$2:$A$301,0)),IF(TRIM(INDEX(表單!$D$2:$D$301,MATCH($A186,表單!$A$2:$A$301,0)))="","（分項工程層）",INDEX(表單!$D$2:$D$301,MATCH($A186,表單!$A$2:$A$301,0))),IFERROR(INDEX($N$2:$N$201,MATCH($A186,$L$2:$L$201,0)),"")))</f>
        <v/>
      </c>
      <c r="D186" s="15">
        <f>IF($A186="","",IF(ISNUMBER(MATCH($A186,表單!$A$2:$A$301,0)),"線上表單",IFERROR(INDEX($O$2:$O$201,MATCH($A186,$L$2:$L$201,0)),"")))</f>
        <v/>
      </c>
      <c r="E186" s="15">
        <f>IF($A186="","",IF(ISNUMBER(MATCH($A186,表單!$A$2:$A$301,0)),"本檔","系統"))</f>
        <v/>
      </c>
      <c r="H186">
        <f>IF(AND(表單!$C186="自主檢查表",表單!$A186&lt;&gt;"",COUNTIF($L$2:$L$201,表單!$A186)=0),COUNT($H$1:H185)+1,"")</f>
        <v/>
      </c>
      <c r="J186">
        <f>IF(185&lt;=COUNTA($L$2:$L$201),INDEX($L$2:$L$201,185),IFERROR(INDEX(表單!$A$2:$A$301,MATCH(185-COUNTA($L$2:$L$201),$H$2:$H$301,0)),""))</f>
        <v/>
      </c>
    </row>
    <row r="187">
      <c r="A187" s="15">
        <f>IF($J187="","",$J187)</f>
        <v/>
      </c>
      <c r="B187" s="15">
        <f>IF($A187="","",IF(ISNUMBER(MATCH($A187,表單!$A$2:$A$301,0)),INDEX(表單!$B$2:$B$301,MATCH($A187,表單!$A$2:$A$301,0)),IFERROR(INDEX($M$2:$M$201,MATCH($A187,$L$2:$L$201,0)),"")))</f>
        <v/>
      </c>
      <c r="C187" s="15">
        <f>IF($A187="","",IF(ISNUMBER(MATCH($A187,表單!$A$2:$A$301,0)),IF(TRIM(INDEX(表單!$D$2:$D$301,MATCH($A187,表單!$A$2:$A$301,0)))="","（分項工程層）",INDEX(表單!$D$2:$D$301,MATCH($A187,表單!$A$2:$A$301,0))),IFERROR(INDEX($N$2:$N$201,MATCH($A187,$L$2:$L$201,0)),"")))</f>
        <v/>
      </c>
      <c r="D187" s="15">
        <f>IF($A187="","",IF(ISNUMBER(MATCH($A187,表單!$A$2:$A$301,0)),"線上表單",IFERROR(INDEX($O$2:$O$201,MATCH($A187,$L$2:$L$201,0)),"")))</f>
        <v/>
      </c>
      <c r="E187" s="15">
        <f>IF($A187="","",IF(ISNUMBER(MATCH($A187,表單!$A$2:$A$301,0)),"本檔","系統"))</f>
        <v/>
      </c>
      <c r="H187">
        <f>IF(AND(表單!$C187="自主檢查表",表單!$A187&lt;&gt;"",COUNTIF($L$2:$L$201,表單!$A187)=0),COUNT($H$1:H186)+1,"")</f>
        <v/>
      </c>
      <c r="J187">
        <f>IF(186&lt;=COUNTA($L$2:$L$201),INDEX($L$2:$L$201,186),IFERROR(INDEX(表單!$A$2:$A$301,MATCH(186-COUNTA($L$2:$L$201),$H$2:$H$301,0)),""))</f>
        <v/>
      </c>
    </row>
    <row r="188">
      <c r="A188" s="15">
        <f>IF($J188="","",$J188)</f>
        <v/>
      </c>
      <c r="B188" s="15">
        <f>IF($A188="","",IF(ISNUMBER(MATCH($A188,表單!$A$2:$A$301,0)),INDEX(表單!$B$2:$B$301,MATCH($A188,表單!$A$2:$A$301,0)),IFERROR(INDEX($M$2:$M$201,MATCH($A188,$L$2:$L$201,0)),"")))</f>
        <v/>
      </c>
      <c r="C188" s="15">
        <f>IF($A188="","",IF(ISNUMBER(MATCH($A188,表單!$A$2:$A$301,0)),IF(TRIM(INDEX(表單!$D$2:$D$301,MATCH($A188,表單!$A$2:$A$301,0)))="","（分項工程層）",INDEX(表單!$D$2:$D$301,MATCH($A188,表單!$A$2:$A$301,0))),IFERROR(INDEX($N$2:$N$201,MATCH($A188,$L$2:$L$201,0)),"")))</f>
        <v/>
      </c>
      <c r="D188" s="15">
        <f>IF($A188="","",IF(ISNUMBER(MATCH($A188,表單!$A$2:$A$301,0)),"線上表單",IFERROR(INDEX($O$2:$O$201,MATCH($A188,$L$2:$L$201,0)),"")))</f>
        <v/>
      </c>
      <c r="E188" s="15">
        <f>IF($A188="","",IF(ISNUMBER(MATCH($A188,表單!$A$2:$A$301,0)),"本檔","系統"))</f>
        <v/>
      </c>
      <c r="H188">
        <f>IF(AND(表單!$C188="自主檢查表",表單!$A188&lt;&gt;"",COUNTIF($L$2:$L$201,表單!$A188)=0),COUNT($H$1:H187)+1,"")</f>
        <v/>
      </c>
      <c r="J188">
        <f>IF(187&lt;=COUNTA($L$2:$L$201),INDEX($L$2:$L$201,187),IFERROR(INDEX(表單!$A$2:$A$301,MATCH(187-COUNTA($L$2:$L$201),$H$2:$H$301,0)),""))</f>
        <v/>
      </c>
    </row>
    <row r="189">
      <c r="A189" s="15">
        <f>IF($J189="","",$J189)</f>
        <v/>
      </c>
      <c r="B189" s="15">
        <f>IF($A189="","",IF(ISNUMBER(MATCH($A189,表單!$A$2:$A$301,0)),INDEX(表單!$B$2:$B$301,MATCH($A189,表單!$A$2:$A$301,0)),IFERROR(INDEX($M$2:$M$201,MATCH($A189,$L$2:$L$201,0)),"")))</f>
        <v/>
      </c>
      <c r="C189" s="15">
        <f>IF($A189="","",IF(ISNUMBER(MATCH($A189,表單!$A$2:$A$301,0)),IF(TRIM(INDEX(表單!$D$2:$D$301,MATCH($A189,表單!$A$2:$A$301,0)))="","（分項工程層）",INDEX(表單!$D$2:$D$301,MATCH($A189,表單!$A$2:$A$301,0))),IFERROR(INDEX($N$2:$N$201,MATCH($A189,$L$2:$L$201,0)),"")))</f>
        <v/>
      </c>
      <c r="D189" s="15">
        <f>IF($A189="","",IF(ISNUMBER(MATCH($A189,表單!$A$2:$A$301,0)),"線上表單",IFERROR(INDEX($O$2:$O$201,MATCH($A189,$L$2:$L$201,0)),"")))</f>
        <v/>
      </c>
      <c r="E189" s="15">
        <f>IF($A189="","",IF(ISNUMBER(MATCH($A189,表單!$A$2:$A$301,0)),"本檔","系統"))</f>
        <v/>
      </c>
      <c r="H189">
        <f>IF(AND(表單!$C189="自主檢查表",表單!$A189&lt;&gt;"",COUNTIF($L$2:$L$201,表單!$A189)=0),COUNT($H$1:H188)+1,"")</f>
        <v/>
      </c>
      <c r="J189">
        <f>IF(188&lt;=COUNTA($L$2:$L$201),INDEX($L$2:$L$201,188),IFERROR(INDEX(表單!$A$2:$A$301,MATCH(188-COUNTA($L$2:$L$201),$H$2:$H$301,0)),""))</f>
        <v/>
      </c>
    </row>
    <row r="190">
      <c r="A190" s="15">
        <f>IF($J190="","",$J190)</f>
        <v/>
      </c>
      <c r="B190" s="15">
        <f>IF($A190="","",IF(ISNUMBER(MATCH($A190,表單!$A$2:$A$301,0)),INDEX(表單!$B$2:$B$301,MATCH($A190,表單!$A$2:$A$301,0)),IFERROR(INDEX($M$2:$M$201,MATCH($A190,$L$2:$L$201,0)),"")))</f>
        <v/>
      </c>
      <c r="C190" s="15">
        <f>IF($A190="","",IF(ISNUMBER(MATCH($A190,表單!$A$2:$A$301,0)),IF(TRIM(INDEX(表單!$D$2:$D$301,MATCH($A190,表單!$A$2:$A$301,0)))="","（分項工程層）",INDEX(表單!$D$2:$D$301,MATCH($A190,表單!$A$2:$A$301,0))),IFERROR(INDEX($N$2:$N$201,MATCH($A190,$L$2:$L$201,0)),"")))</f>
        <v/>
      </c>
      <c r="D190" s="15">
        <f>IF($A190="","",IF(ISNUMBER(MATCH($A190,表單!$A$2:$A$301,0)),"線上表單",IFERROR(INDEX($O$2:$O$201,MATCH($A190,$L$2:$L$201,0)),"")))</f>
        <v/>
      </c>
      <c r="E190" s="15">
        <f>IF($A190="","",IF(ISNUMBER(MATCH($A190,表單!$A$2:$A$301,0)),"本檔","系統"))</f>
        <v/>
      </c>
      <c r="H190">
        <f>IF(AND(表單!$C190="自主檢查表",表單!$A190&lt;&gt;"",COUNTIF($L$2:$L$201,表單!$A190)=0),COUNT($H$1:H189)+1,"")</f>
        <v/>
      </c>
      <c r="J190">
        <f>IF(189&lt;=COUNTA($L$2:$L$201),INDEX($L$2:$L$201,189),IFERROR(INDEX(表單!$A$2:$A$301,MATCH(189-COUNTA($L$2:$L$201),$H$2:$H$301,0)),""))</f>
        <v/>
      </c>
    </row>
    <row r="191">
      <c r="A191" s="15">
        <f>IF($J191="","",$J191)</f>
        <v/>
      </c>
      <c r="B191" s="15">
        <f>IF($A191="","",IF(ISNUMBER(MATCH($A191,表單!$A$2:$A$301,0)),INDEX(表單!$B$2:$B$301,MATCH($A191,表單!$A$2:$A$301,0)),IFERROR(INDEX($M$2:$M$201,MATCH($A191,$L$2:$L$201,0)),"")))</f>
        <v/>
      </c>
      <c r="C191" s="15">
        <f>IF($A191="","",IF(ISNUMBER(MATCH($A191,表單!$A$2:$A$301,0)),IF(TRIM(INDEX(表單!$D$2:$D$301,MATCH($A191,表單!$A$2:$A$301,0)))="","（分項工程層）",INDEX(表單!$D$2:$D$301,MATCH($A191,表單!$A$2:$A$301,0))),IFERROR(INDEX($N$2:$N$201,MATCH($A191,$L$2:$L$201,0)),"")))</f>
        <v/>
      </c>
      <c r="D191" s="15">
        <f>IF($A191="","",IF(ISNUMBER(MATCH($A191,表單!$A$2:$A$301,0)),"線上表單",IFERROR(INDEX($O$2:$O$201,MATCH($A191,$L$2:$L$201,0)),"")))</f>
        <v/>
      </c>
      <c r="E191" s="15">
        <f>IF($A191="","",IF(ISNUMBER(MATCH($A191,表單!$A$2:$A$301,0)),"本檔","系統"))</f>
        <v/>
      </c>
      <c r="H191">
        <f>IF(AND(表單!$C191="自主檢查表",表單!$A191&lt;&gt;"",COUNTIF($L$2:$L$201,表單!$A191)=0),COUNT($H$1:H190)+1,"")</f>
        <v/>
      </c>
      <c r="J191">
        <f>IF(190&lt;=COUNTA($L$2:$L$201),INDEX($L$2:$L$201,190),IFERROR(INDEX(表單!$A$2:$A$301,MATCH(190-COUNTA($L$2:$L$201),$H$2:$H$301,0)),""))</f>
        <v/>
      </c>
    </row>
    <row r="192">
      <c r="A192" s="15">
        <f>IF($J192="","",$J192)</f>
        <v/>
      </c>
      <c r="B192" s="15">
        <f>IF($A192="","",IF(ISNUMBER(MATCH($A192,表單!$A$2:$A$301,0)),INDEX(表單!$B$2:$B$301,MATCH($A192,表單!$A$2:$A$301,0)),IFERROR(INDEX($M$2:$M$201,MATCH($A192,$L$2:$L$201,0)),"")))</f>
        <v/>
      </c>
      <c r="C192" s="15">
        <f>IF($A192="","",IF(ISNUMBER(MATCH($A192,表單!$A$2:$A$301,0)),IF(TRIM(INDEX(表單!$D$2:$D$301,MATCH($A192,表單!$A$2:$A$301,0)))="","（分項工程層）",INDEX(表單!$D$2:$D$301,MATCH($A192,表單!$A$2:$A$301,0))),IFERROR(INDEX($N$2:$N$201,MATCH($A192,$L$2:$L$201,0)),"")))</f>
        <v/>
      </c>
      <c r="D192" s="15">
        <f>IF($A192="","",IF(ISNUMBER(MATCH($A192,表單!$A$2:$A$301,0)),"線上表單",IFERROR(INDEX($O$2:$O$201,MATCH($A192,$L$2:$L$201,0)),"")))</f>
        <v/>
      </c>
      <c r="E192" s="15">
        <f>IF($A192="","",IF(ISNUMBER(MATCH($A192,表單!$A$2:$A$301,0)),"本檔","系統"))</f>
        <v/>
      </c>
      <c r="H192">
        <f>IF(AND(表單!$C192="自主檢查表",表單!$A192&lt;&gt;"",COUNTIF($L$2:$L$201,表單!$A192)=0),COUNT($H$1:H191)+1,"")</f>
        <v/>
      </c>
      <c r="J192">
        <f>IF(191&lt;=COUNTA($L$2:$L$201),INDEX($L$2:$L$201,191),IFERROR(INDEX(表單!$A$2:$A$301,MATCH(191-COUNTA($L$2:$L$201),$H$2:$H$301,0)),""))</f>
        <v/>
      </c>
    </row>
    <row r="193">
      <c r="A193" s="15">
        <f>IF($J193="","",$J193)</f>
        <v/>
      </c>
      <c r="B193" s="15">
        <f>IF($A193="","",IF(ISNUMBER(MATCH($A193,表單!$A$2:$A$301,0)),INDEX(表單!$B$2:$B$301,MATCH($A193,表單!$A$2:$A$301,0)),IFERROR(INDEX($M$2:$M$201,MATCH($A193,$L$2:$L$201,0)),"")))</f>
        <v/>
      </c>
      <c r="C193" s="15">
        <f>IF($A193="","",IF(ISNUMBER(MATCH($A193,表單!$A$2:$A$301,0)),IF(TRIM(INDEX(表單!$D$2:$D$301,MATCH($A193,表單!$A$2:$A$301,0)))="","（分項工程層）",INDEX(表單!$D$2:$D$301,MATCH($A193,表單!$A$2:$A$301,0))),IFERROR(INDEX($N$2:$N$201,MATCH($A193,$L$2:$L$201,0)),"")))</f>
        <v/>
      </c>
      <c r="D193" s="15">
        <f>IF($A193="","",IF(ISNUMBER(MATCH($A193,表單!$A$2:$A$301,0)),"線上表單",IFERROR(INDEX($O$2:$O$201,MATCH($A193,$L$2:$L$201,0)),"")))</f>
        <v/>
      </c>
      <c r="E193" s="15">
        <f>IF($A193="","",IF(ISNUMBER(MATCH($A193,表單!$A$2:$A$301,0)),"本檔","系統"))</f>
        <v/>
      </c>
      <c r="H193">
        <f>IF(AND(表單!$C193="自主檢查表",表單!$A193&lt;&gt;"",COUNTIF($L$2:$L$201,表單!$A193)=0),COUNT($H$1:H192)+1,"")</f>
        <v/>
      </c>
      <c r="J193">
        <f>IF(192&lt;=COUNTA($L$2:$L$201),INDEX($L$2:$L$201,192),IFERROR(INDEX(表單!$A$2:$A$301,MATCH(192-COUNTA($L$2:$L$201),$H$2:$H$301,0)),""))</f>
        <v/>
      </c>
    </row>
    <row r="194">
      <c r="A194" s="15">
        <f>IF($J194="","",$J194)</f>
        <v/>
      </c>
      <c r="B194" s="15">
        <f>IF($A194="","",IF(ISNUMBER(MATCH($A194,表單!$A$2:$A$301,0)),INDEX(表單!$B$2:$B$301,MATCH($A194,表單!$A$2:$A$301,0)),IFERROR(INDEX($M$2:$M$201,MATCH($A194,$L$2:$L$201,0)),"")))</f>
        <v/>
      </c>
      <c r="C194" s="15">
        <f>IF($A194="","",IF(ISNUMBER(MATCH($A194,表單!$A$2:$A$301,0)),IF(TRIM(INDEX(表單!$D$2:$D$301,MATCH($A194,表單!$A$2:$A$301,0)))="","（分項工程層）",INDEX(表單!$D$2:$D$301,MATCH($A194,表單!$A$2:$A$301,0))),IFERROR(INDEX($N$2:$N$201,MATCH($A194,$L$2:$L$201,0)),"")))</f>
        <v/>
      </c>
      <c r="D194" s="15">
        <f>IF($A194="","",IF(ISNUMBER(MATCH($A194,表單!$A$2:$A$301,0)),"線上表單",IFERROR(INDEX($O$2:$O$201,MATCH($A194,$L$2:$L$201,0)),"")))</f>
        <v/>
      </c>
      <c r="E194" s="15">
        <f>IF($A194="","",IF(ISNUMBER(MATCH($A194,表單!$A$2:$A$301,0)),"本檔","系統"))</f>
        <v/>
      </c>
      <c r="H194">
        <f>IF(AND(表單!$C194="自主檢查表",表單!$A194&lt;&gt;"",COUNTIF($L$2:$L$201,表單!$A194)=0),COUNT($H$1:H193)+1,"")</f>
        <v/>
      </c>
      <c r="J194">
        <f>IF(193&lt;=COUNTA($L$2:$L$201),INDEX($L$2:$L$201,193),IFERROR(INDEX(表單!$A$2:$A$301,MATCH(193-COUNTA($L$2:$L$201),$H$2:$H$301,0)),""))</f>
        <v/>
      </c>
    </row>
    <row r="195">
      <c r="A195" s="15">
        <f>IF($J195="","",$J195)</f>
        <v/>
      </c>
      <c r="B195" s="15">
        <f>IF($A195="","",IF(ISNUMBER(MATCH($A195,表單!$A$2:$A$301,0)),INDEX(表單!$B$2:$B$301,MATCH($A195,表單!$A$2:$A$301,0)),IFERROR(INDEX($M$2:$M$201,MATCH($A195,$L$2:$L$201,0)),"")))</f>
        <v/>
      </c>
      <c r="C195" s="15">
        <f>IF($A195="","",IF(ISNUMBER(MATCH($A195,表單!$A$2:$A$301,0)),IF(TRIM(INDEX(表單!$D$2:$D$301,MATCH($A195,表單!$A$2:$A$301,0)))="","（分項工程層）",INDEX(表單!$D$2:$D$301,MATCH($A195,表單!$A$2:$A$301,0))),IFERROR(INDEX($N$2:$N$201,MATCH($A195,$L$2:$L$201,0)),"")))</f>
        <v/>
      </c>
      <c r="D195" s="15">
        <f>IF($A195="","",IF(ISNUMBER(MATCH($A195,表單!$A$2:$A$301,0)),"線上表單",IFERROR(INDEX($O$2:$O$201,MATCH($A195,$L$2:$L$201,0)),"")))</f>
        <v/>
      </c>
      <c r="E195" s="15">
        <f>IF($A195="","",IF(ISNUMBER(MATCH($A195,表單!$A$2:$A$301,0)),"本檔","系統"))</f>
        <v/>
      </c>
      <c r="H195">
        <f>IF(AND(表單!$C195="自主檢查表",表單!$A195&lt;&gt;"",COUNTIF($L$2:$L$201,表單!$A195)=0),COUNT($H$1:H194)+1,"")</f>
        <v/>
      </c>
      <c r="J195">
        <f>IF(194&lt;=COUNTA($L$2:$L$201),INDEX($L$2:$L$201,194),IFERROR(INDEX(表單!$A$2:$A$301,MATCH(194-COUNTA($L$2:$L$201),$H$2:$H$301,0)),""))</f>
        <v/>
      </c>
    </row>
    <row r="196">
      <c r="A196" s="15">
        <f>IF($J196="","",$J196)</f>
        <v/>
      </c>
      <c r="B196" s="15">
        <f>IF($A196="","",IF(ISNUMBER(MATCH($A196,表單!$A$2:$A$301,0)),INDEX(表單!$B$2:$B$301,MATCH($A196,表單!$A$2:$A$301,0)),IFERROR(INDEX($M$2:$M$201,MATCH($A196,$L$2:$L$201,0)),"")))</f>
        <v/>
      </c>
      <c r="C196" s="15">
        <f>IF($A196="","",IF(ISNUMBER(MATCH($A196,表單!$A$2:$A$301,0)),IF(TRIM(INDEX(表單!$D$2:$D$301,MATCH($A196,表單!$A$2:$A$301,0)))="","（分項工程層）",INDEX(表單!$D$2:$D$301,MATCH($A196,表單!$A$2:$A$301,0))),IFERROR(INDEX($N$2:$N$201,MATCH($A196,$L$2:$L$201,0)),"")))</f>
        <v/>
      </c>
      <c r="D196" s="15">
        <f>IF($A196="","",IF(ISNUMBER(MATCH($A196,表單!$A$2:$A$301,0)),"線上表單",IFERROR(INDEX($O$2:$O$201,MATCH($A196,$L$2:$L$201,0)),"")))</f>
        <v/>
      </c>
      <c r="E196" s="15">
        <f>IF($A196="","",IF(ISNUMBER(MATCH($A196,表單!$A$2:$A$301,0)),"本檔","系統"))</f>
        <v/>
      </c>
      <c r="H196">
        <f>IF(AND(表單!$C196="自主檢查表",表單!$A196&lt;&gt;"",COUNTIF($L$2:$L$201,表單!$A196)=0),COUNT($H$1:H195)+1,"")</f>
        <v/>
      </c>
      <c r="J196">
        <f>IF(195&lt;=COUNTA($L$2:$L$201),INDEX($L$2:$L$201,195),IFERROR(INDEX(表單!$A$2:$A$301,MATCH(195-COUNTA($L$2:$L$201),$H$2:$H$301,0)),""))</f>
        <v/>
      </c>
    </row>
    <row r="197">
      <c r="A197" s="15">
        <f>IF($J197="","",$J197)</f>
        <v/>
      </c>
      <c r="B197" s="15">
        <f>IF($A197="","",IF(ISNUMBER(MATCH($A197,表單!$A$2:$A$301,0)),INDEX(表單!$B$2:$B$301,MATCH($A197,表單!$A$2:$A$301,0)),IFERROR(INDEX($M$2:$M$201,MATCH($A197,$L$2:$L$201,0)),"")))</f>
        <v/>
      </c>
      <c r="C197" s="15">
        <f>IF($A197="","",IF(ISNUMBER(MATCH($A197,表單!$A$2:$A$301,0)),IF(TRIM(INDEX(表單!$D$2:$D$301,MATCH($A197,表單!$A$2:$A$301,0)))="","（分項工程層）",INDEX(表單!$D$2:$D$301,MATCH($A197,表單!$A$2:$A$301,0))),IFERROR(INDEX($N$2:$N$201,MATCH($A197,$L$2:$L$201,0)),"")))</f>
        <v/>
      </c>
      <c r="D197" s="15">
        <f>IF($A197="","",IF(ISNUMBER(MATCH($A197,表單!$A$2:$A$301,0)),"線上表單",IFERROR(INDEX($O$2:$O$201,MATCH($A197,$L$2:$L$201,0)),"")))</f>
        <v/>
      </c>
      <c r="E197" s="15">
        <f>IF($A197="","",IF(ISNUMBER(MATCH($A197,表單!$A$2:$A$301,0)),"本檔","系統"))</f>
        <v/>
      </c>
      <c r="H197">
        <f>IF(AND(表單!$C197="自主檢查表",表單!$A197&lt;&gt;"",COUNTIF($L$2:$L$201,表單!$A197)=0),COUNT($H$1:H196)+1,"")</f>
        <v/>
      </c>
      <c r="J197">
        <f>IF(196&lt;=COUNTA($L$2:$L$201),INDEX($L$2:$L$201,196),IFERROR(INDEX(表單!$A$2:$A$301,MATCH(196-COUNTA($L$2:$L$201),$H$2:$H$301,0)),""))</f>
        <v/>
      </c>
    </row>
    <row r="198">
      <c r="A198" s="15">
        <f>IF($J198="","",$J198)</f>
        <v/>
      </c>
      <c r="B198" s="15">
        <f>IF($A198="","",IF(ISNUMBER(MATCH($A198,表單!$A$2:$A$301,0)),INDEX(表單!$B$2:$B$301,MATCH($A198,表單!$A$2:$A$301,0)),IFERROR(INDEX($M$2:$M$201,MATCH($A198,$L$2:$L$201,0)),"")))</f>
        <v/>
      </c>
      <c r="C198" s="15">
        <f>IF($A198="","",IF(ISNUMBER(MATCH($A198,表單!$A$2:$A$301,0)),IF(TRIM(INDEX(表單!$D$2:$D$301,MATCH($A198,表單!$A$2:$A$301,0)))="","（分項工程層）",INDEX(表單!$D$2:$D$301,MATCH($A198,表單!$A$2:$A$301,0))),IFERROR(INDEX($N$2:$N$201,MATCH($A198,$L$2:$L$201,0)),"")))</f>
        <v/>
      </c>
      <c r="D198" s="15">
        <f>IF($A198="","",IF(ISNUMBER(MATCH($A198,表單!$A$2:$A$301,0)),"線上表單",IFERROR(INDEX($O$2:$O$201,MATCH($A198,$L$2:$L$201,0)),"")))</f>
        <v/>
      </c>
      <c r="E198" s="15">
        <f>IF($A198="","",IF(ISNUMBER(MATCH($A198,表單!$A$2:$A$301,0)),"本檔","系統"))</f>
        <v/>
      </c>
      <c r="H198">
        <f>IF(AND(表單!$C198="自主檢查表",表單!$A198&lt;&gt;"",COUNTIF($L$2:$L$201,表單!$A198)=0),COUNT($H$1:H197)+1,"")</f>
        <v/>
      </c>
      <c r="J198">
        <f>IF(197&lt;=COUNTA($L$2:$L$201),INDEX($L$2:$L$201,197),IFERROR(INDEX(表單!$A$2:$A$301,MATCH(197-COUNTA($L$2:$L$201),$H$2:$H$301,0)),""))</f>
        <v/>
      </c>
    </row>
    <row r="199">
      <c r="A199" s="15">
        <f>IF($J199="","",$J199)</f>
        <v/>
      </c>
      <c r="B199" s="15">
        <f>IF($A199="","",IF(ISNUMBER(MATCH($A199,表單!$A$2:$A$301,0)),INDEX(表單!$B$2:$B$301,MATCH($A199,表單!$A$2:$A$301,0)),IFERROR(INDEX($M$2:$M$201,MATCH($A199,$L$2:$L$201,0)),"")))</f>
        <v/>
      </c>
      <c r="C199" s="15">
        <f>IF($A199="","",IF(ISNUMBER(MATCH($A199,表單!$A$2:$A$301,0)),IF(TRIM(INDEX(表單!$D$2:$D$301,MATCH($A199,表單!$A$2:$A$301,0)))="","（分項工程層）",INDEX(表單!$D$2:$D$301,MATCH($A199,表單!$A$2:$A$301,0))),IFERROR(INDEX($N$2:$N$201,MATCH($A199,$L$2:$L$201,0)),"")))</f>
        <v/>
      </c>
      <c r="D199" s="15">
        <f>IF($A199="","",IF(ISNUMBER(MATCH($A199,表單!$A$2:$A$301,0)),"線上表單",IFERROR(INDEX($O$2:$O$201,MATCH($A199,$L$2:$L$201,0)),"")))</f>
        <v/>
      </c>
      <c r="E199" s="15">
        <f>IF($A199="","",IF(ISNUMBER(MATCH($A199,表單!$A$2:$A$301,0)),"本檔","系統"))</f>
        <v/>
      </c>
      <c r="H199">
        <f>IF(AND(表單!$C199="自主檢查表",表單!$A199&lt;&gt;"",COUNTIF($L$2:$L$201,表單!$A199)=0),COUNT($H$1:H198)+1,"")</f>
        <v/>
      </c>
      <c r="J199">
        <f>IF(198&lt;=COUNTA($L$2:$L$201),INDEX($L$2:$L$201,198),IFERROR(INDEX(表單!$A$2:$A$301,MATCH(198-COUNTA($L$2:$L$201),$H$2:$H$301,0)),""))</f>
        <v/>
      </c>
    </row>
    <row r="200">
      <c r="A200" s="15">
        <f>IF($J200="","",$J200)</f>
        <v/>
      </c>
      <c r="B200" s="15">
        <f>IF($A200="","",IF(ISNUMBER(MATCH($A200,表單!$A$2:$A$301,0)),INDEX(表單!$B$2:$B$301,MATCH($A200,表單!$A$2:$A$301,0)),IFERROR(INDEX($M$2:$M$201,MATCH($A200,$L$2:$L$201,0)),"")))</f>
        <v/>
      </c>
      <c r="C200" s="15">
        <f>IF($A200="","",IF(ISNUMBER(MATCH($A200,表單!$A$2:$A$301,0)),IF(TRIM(INDEX(表單!$D$2:$D$301,MATCH($A200,表單!$A$2:$A$301,0)))="","（分項工程層）",INDEX(表單!$D$2:$D$301,MATCH($A200,表單!$A$2:$A$301,0))),IFERROR(INDEX($N$2:$N$201,MATCH($A200,$L$2:$L$201,0)),"")))</f>
        <v/>
      </c>
      <c r="D200" s="15">
        <f>IF($A200="","",IF(ISNUMBER(MATCH($A200,表單!$A$2:$A$301,0)),"線上表單",IFERROR(INDEX($O$2:$O$201,MATCH($A200,$L$2:$L$201,0)),"")))</f>
        <v/>
      </c>
      <c r="E200" s="15">
        <f>IF($A200="","",IF(ISNUMBER(MATCH($A200,表單!$A$2:$A$301,0)),"本檔","系統"))</f>
        <v/>
      </c>
      <c r="H200">
        <f>IF(AND(表單!$C200="自主檢查表",表單!$A200&lt;&gt;"",COUNTIF($L$2:$L$201,表單!$A200)=0),COUNT($H$1:H199)+1,"")</f>
        <v/>
      </c>
      <c r="J200">
        <f>IF(199&lt;=COUNTA($L$2:$L$201),INDEX($L$2:$L$201,199),IFERROR(INDEX(表單!$A$2:$A$301,MATCH(199-COUNTA($L$2:$L$201),$H$2:$H$301,0)),""))</f>
        <v/>
      </c>
    </row>
    <row r="201">
      <c r="A201" s="15">
        <f>IF($J201="","",$J201)</f>
        <v/>
      </c>
      <c r="B201" s="15">
        <f>IF($A201="","",IF(ISNUMBER(MATCH($A201,表單!$A$2:$A$301,0)),INDEX(表單!$B$2:$B$301,MATCH($A201,表單!$A$2:$A$301,0)),IFERROR(INDEX($M$2:$M$201,MATCH($A201,$L$2:$L$201,0)),"")))</f>
        <v/>
      </c>
      <c r="C201" s="15">
        <f>IF($A201="","",IF(ISNUMBER(MATCH($A201,表單!$A$2:$A$301,0)),IF(TRIM(INDEX(表單!$D$2:$D$301,MATCH($A201,表單!$A$2:$A$301,0)))="","（分項工程層）",INDEX(表單!$D$2:$D$301,MATCH($A201,表單!$A$2:$A$301,0))),IFERROR(INDEX($N$2:$N$201,MATCH($A201,$L$2:$L$201,0)),"")))</f>
        <v/>
      </c>
      <c r="D201" s="15">
        <f>IF($A201="","",IF(ISNUMBER(MATCH($A201,表單!$A$2:$A$301,0)),"線上表單",IFERROR(INDEX($O$2:$O$201,MATCH($A201,$L$2:$L$201,0)),"")))</f>
        <v/>
      </c>
      <c r="E201" s="15">
        <f>IF($A201="","",IF(ISNUMBER(MATCH($A201,表單!$A$2:$A$301,0)),"本檔","系統"))</f>
        <v/>
      </c>
      <c r="H201">
        <f>IF(AND(表單!$C201="自主檢查表",表單!$A201&lt;&gt;"",COUNTIF($L$2:$L$201,表單!$A201)=0),COUNT($H$1:H200)+1,"")</f>
        <v/>
      </c>
      <c r="J201">
        <f>IF(200&lt;=COUNTA($L$2:$L$201),INDEX($L$2:$L$201,200),IFERROR(INDEX(表單!$A$2:$A$301,MATCH(200-COUNTA($L$2:$L$201),$H$2:$H$301,0)),""))</f>
        <v/>
      </c>
    </row>
    <row r="202">
      <c r="A202" s="15">
        <f>IF($J202="","",$J202)</f>
        <v/>
      </c>
      <c r="B202" s="15">
        <f>IF($A202="","",IF(ISNUMBER(MATCH($A202,表單!$A$2:$A$301,0)),INDEX(表單!$B$2:$B$301,MATCH($A202,表單!$A$2:$A$301,0)),IFERROR(INDEX($M$2:$M$201,MATCH($A202,$L$2:$L$201,0)),"")))</f>
        <v/>
      </c>
      <c r="C202" s="15">
        <f>IF($A202="","",IF(ISNUMBER(MATCH($A202,表單!$A$2:$A$301,0)),IF(TRIM(INDEX(表單!$D$2:$D$301,MATCH($A202,表單!$A$2:$A$301,0)))="","（分項工程層）",INDEX(表單!$D$2:$D$301,MATCH($A202,表單!$A$2:$A$301,0))),IFERROR(INDEX($N$2:$N$201,MATCH($A202,$L$2:$L$201,0)),"")))</f>
        <v/>
      </c>
      <c r="D202" s="15">
        <f>IF($A202="","",IF(ISNUMBER(MATCH($A202,表單!$A$2:$A$301,0)),"線上表單",IFERROR(INDEX($O$2:$O$201,MATCH($A202,$L$2:$L$201,0)),"")))</f>
        <v/>
      </c>
      <c r="E202" s="15">
        <f>IF($A202="","",IF(ISNUMBER(MATCH($A202,表單!$A$2:$A$301,0)),"本檔","系統"))</f>
        <v/>
      </c>
      <c r="H202">
        <f>IF(AND(表單!$C202="自主檢查表",表單!$A202&lt;&gt;"",COUNTIF($L$2:$L$201,表單!$A202)=0),COUNT($H$1:H201)+1,"")</f>
        <v/>
      </c>
      <c r="J202">
        <f>IF(201&lt;=COUNTA($L$2:$L$201),INDEX($L$2:$L$201,201),IFERROR(INDEX(表單!$A$2:$A$301,MATCH(201-COUNTA($L$2:$L$201),$H$2:$H$301,0)),""))</f>
        <v/>
      </c>
    </row>
    <row r="203">
      <c r="A203" s="15">
        <f>IF($J203="","",$J203)</f>
        <v/>
      </c>
      <c r="B203" s="15">
        <f>IF($A203="","",IF(ISNUMBER(MATCH($A203,表單!$A$2:$A$301,0)),INDEX(表單!$B$2:$B$301,MATCH($A203,表單!$A$2:$A$301,0)),IFERROR(INDEX($M$2:$M$201,MATCH($A203,$L$2:$L$201,0)),"")))</f>
        <v/>
      </c>
      <c r="C203" s="15">
        <f>IF($A203="","",IF(ISNUMBER(MATCH($A203,表單!$A$2:$A$301,0)),IF(TRIM(INDEX(表單!$D$2:$D$301,MATCH($A203,表單!$A$2:$A$301,0)))="","（分項工程層）",INDEX(表單!$D$2:$D$301,MATCH($A203,表單!$A$2:$A$301,0))),IFERROR(INDEX($N$2:$N$201,MATCH($A203,$L$2:$L$201,0)),"")))</f>
        <v/>
      </c>
      <c r="D203" s="15">
        <f>IF($A203="","",IF(ISNUMBER(MATCH($A203,表單!$A$2:$A$301,0)),"線上表單",IFERROR(INDEX($O$2:$O$201,MATCH($A203,$L$2:$L$201,0)),"")))</f>
        <v/>
      </c>
      <c r="E203" s="15">
        <f>IF($A203="","",IF(ISNUMBER(MATCH($A203,表單!$A$2:$A$301,0)),"本檔","系統"))</f>
        <v/>
      </c>
      <c r="H203">
        <f>IF(AND(表單!$C203="自主檢查表",表單!$A203&lt;&gt;"",COUNTIF($L$2:$L$201,表單!$A203)=0),COUNT($H$1:H202)+1,"")</f>
        <v/>
      </c>
      <c r="J203">
        <f>IF(202&lt;=COUNTA($L$2:$L$201),INDEX($L$2:$L$201,202),IFERROR(INDEX(表單!$A$2:$A$301,MATCH(202-COUNTA($L$2:$L$201),$H$2:$H$301,0)),""))</f>
        <v/>
      </c>
    </row>
    <row r="204">
      <c r="A204" s="15">
        <f>IF($J204="","",$J204)</f>
        <v/>
      </c>
      <c r="B204" s="15">
        <f>IF($A204="","",IF(ISNUMBER(MATCH($A204,表單!$A$2:$A$301,0)),INDEX(表單!$B$2:$B$301,MATCH($A204,表單!$A$2:$A$301,0)),IFERROR(INDEX($M$2:$M$201,MATCH($A204,$L$2:$L$201,0)),"")))</f>
        <v/>
      </c>
      <c r="C204" s="15">
        <f>IF($A204="","",IF(ISNUMBER(MATCH($A204,表單!$A$2:$A$301,0)),IF(TRIM(INDEX(表單!$D$2:$D$301,MATCH($A204,表單!$A$2:$A$301,0)))="","（分項工程層）",INDEX(表單!$D$2:$D$301,MATCH($A204,表單!$A$2:$A$301,0))),IFERROR(INDEX($N$2:$N$201,MATCH($A204,$L$2:$L$201,0)),"")))</f>
        <v/>
      </c>
      <c r="D204" s="15">
        <f>IF($A204="","",IF(ISNUMBER(MATCH($A204,表單!$A$2:$A$301,0)),"線上表單",IFERROR(INDEX($O$2:$O$201,MATCH($A204,$L$2:$L$201,0)),"")))</f>
        <v/>
      </c>
      <c r="E204" s="15">
        <f>IF($A204="","",IF(ISNUMBER(MATCH($A204,表單!$A$2:$A$301,0)),"本檔","系統"))</f>
        <v/>
      </c>
      <c r="H204">
        <f>IF(AND(表單!$C204="自主檢查表",表單!$A204&lt;&gt;"",COUNTIF($L$2:$L$201,表單!$A204)=0),COUNT($H$1:H203)+1,"")</f>
        <v/>
      </c>
      <c r="J204">
        <f>IF(203&lt;=COUNTA($L$2:$L$201),INDEX($L$2:$L$201,203),IFERROR(INDEX(表單!$A$2:$A$301,MATCH(203-COUNTA($L$2:$L$201),$H$2:$H$301,0)),""))</f>
        <v/>
      </c>
    </row>
    <row r="205">
      <c r="A205" s="15">
        <f>IF($J205="","",$J205)</f>
        <v/>
      </c>
      <c r="B205" s="15">
        <f>IF($A205="","",IF(ISNUMBER(MATCH($A205,表單!$A$2:$A$301,0)),INDEX(表單!$B$2:$B$301,MATCH($A205,表單!$A$2:$A$301,0)),IFERROR(INDEX($M$2:$M$201,MATCH($A205,$L$2:$L$201,0)),"")))</f>
        <v/>
      </c>
      <c r="C205" s="15">
        <f>IF($A205="","",IF(ISNUMBER(MATCH($A205,表單!$A$2:$A$301,0)),IF(TRIM(INDEX(表單!$D$2:$D$301,MATCH($A205,表單!$A$2:$A$301,0)))="","（分項工程層）",INDEX(表單!$D$2:$D$301,MATCH($A205,表單!$A$2:$A$301,0))),IFERROR(INDEX($N$2:$N$201,MATCH($A205,$L$2:$L$201,0)),"")))</f>
        <v/>
      </c>
      <c r="D205" s="15">
        <f>IF($A205="","",IF(ISNUMBER(MATCH($A205,表單!$A$2:$A$301,0)),"線上表單",IFERROR(INDEX($O$2:$O$201,MATCH($A205,$L$2:$L$201,0)),"")))</f>
        <v/>
      </c>
      <c r="E205" s="15">
        <f>IF($A205="","",IF(ISNUMBER(MATCH($A205,表單!$A$2:$A$301,0)),"本檔","系統"))</f>
        <v/>
      </c>
      <c r="H205">
        <f>IF(AND(表單!$C205="自主檢查表",表單!$A205&lt;&gt;"",COUNTIF($L$2:$L$201,表單!$A205)=0),COUNT($H$1:H204)+1,"")</f>
        <v/>
      </c>
      <c r="J205">
        <f>IF(204&lt;=COUNTA($L$2:$L$201),INDEX($L$2:$L$201,204),IFERROR(INDEX(表單!$A$2:$A$301,MATCH(204-COUNTA($L$2:$L$201),$H$2:$H$301,0)),""))</f>
        <v/>
      </c>
    </row>
    <row r="206">
      <c r="A206" s="15">
        <f>IF($J206="","",$J206)</f>
        <v/>
      </c>
      <c r="B206" s="15">
        <f>IF($A206="","",IF(ISNUMBER(MATCH($A206,表單!$A$2:$A$301,0)),INDEX(表單!$B$2:$B$301,MATCH($A206,表單!$A$2:$A$301,0)),IFERROR(INDEX($M$2:$M$201,MATCH($A206,$L$2:$L$201,0)),"")))</f>
        <v/>
      </c>
      <c r="C206" s="15">
        <f>IF($A206="","",IF(ISNUMBER(MATCH($A206,表單!$A$2:$A$301,0)),IF(TRIM(INDEX(表單!$D$2:$D$301,MATCH($A206,表單!$A$2:$A$301,0)))="","（分項工程層）",INDEX(表單!$D$2:$D$301,MATCH($A206,表單!$A$2:$A$301,0))),IFERROR(INDEX($N$2:$N$201,MATCH($A206,$L$2:$L$201,0)),"")))</f>
        <v/>
      </c>
      <c r="D206" s="15">
        <f>IF($A206="","",IF(ISNUMBER(MATCH($A206,表單!$A$2:$A$301,0)),"線上表單",IFERROR(INDEX($O$2:$O$201,MATCH($A206,$L$2:$L$201,0)),"")))</f>
        <v/>
      </c>
      <c r="E206" s="15">
        <f>IF($A206="","",IF(ISNUMBER(MATCH($A206,表單!$A$2:$A$301,0)),"本檔","系統"))</f>
        <v/>
      </c>
      <c r="H206">
        <f>IF(AND(表單!$C206="自主檢查表",表單!$A206&lt;&gt;"",COUNTIF($L$2:$L$201,表單!$A206)=0),COUNT($H$1:H205)+1,"")</f>
        <v/>
      </c>
      <c r="J206">
        <f>IF(205&lt;=COUNTA($L$2:$L$201),INDEX($L$2:$L$201,205),IFERROR(INDEX(表單!$A$2:$A$301,MATCH(205-COUNTA($L$2:$L$201),$H$2:$H$301,0)),""))</f>
        <v/>
      </c>
    </row>
    <row r="207">
      <c r="A207" s="15">
        <f>IF($J207="","",$J207)</f>
        <v/>
      </c>
      <c r="B207" s="15">
        <f>IF($A207="","",IF(ISNUMBER(MATCH($A207,表單!$A$2:$A$301,0)),INDEX(表單!$B$2:$B$301,MATCH($A207,表單!$A$2:$A$301,0)),IFERROR(INDEX($M$2:$M$201,MATCH($A207,$L$2:$L$201,0)),"")))</f>
        <v/>
      </c>
      <c r="C207" s="15">
        <f>IF($A207="","",IF(ISNUMBER(MATCH($A207,表單!$A$2:$A$301,0)),IF(TRIM(INDEX(表單!$D$2:$D$301,MATCH($A207,表單!$A$2:$A$301,0)))="","（分項工程層）",INDEX(表單!$D$2:$D$301,MATCH($A207,表單!$A$2:$A$301,0))),IFERROR(INDEX($N$2:$N$201,MATCH($A207,$L$2:$L$201,0)),"")))</f>
        <v/>
      </c>
      <c r="D207" s="15">
        <f>IF($A207="","",IF(ISNUMBER(MATCH($A207,表單!$A$2:$A$301,0)),"線上表單",IFERROR(INDEX($O$2:$O$201,MATCH($A207,$L$2:$L$201,0)),"")))</f>
        <v/>
      </c>
      <c r="E207" s="15">
        <f>IF($A207="","",IF(ISNUMBER(MATCH($A207,表單!$A$2:$A$301,0)),"本檔","系統"))</f>
        <v/>
      </c>
      <c r="H207">
        <f>IF(AND(表單!$C207="自主檢查表",表單!$A207&lt;&gt;"",COUNTIF($L$2:$L$201,表單!$A207)=0),COUNT($H$1:H206)+1,"")</f>
        <v/>
      </c>
      <c r="J207">
        <f>IF(206&lt;=COUNTA($L$2:$L$201),INDEX($L$2:$L$201,206),IFERROR(INDEX(表單!$A$2:$A$301,MATCH(206-COUNTA($L$2:$L$201),$H$2:$H$301,0)),""))</f>
        <v/>
      </c>
    </row>
    <row r="208">
      <c r="A208" s="15">
        <f>IF($J208="","",$J208)</f>
        <v/>
      </c>
      <c r="B208" s="15">
        <f>IF($A208="","",IF(ISNUMBER(MATCH($A208,表單!$A$2:$A$301,0)),INDEX(表單!$B$2:$B$301,MATCH($A208,表單!$A$2:$A$301,0)),IFERROR(INDEX($M$2:$M$201,MATCH($A208,$L$2:$L$201,0)),"")))</f>
        <v/>
      </c>
      <c r="C208" s="15">
        <f>IF($A208="","",IF(ISNUMBER(MATCH($A208,表單!$A$2:$A$301,0)),IF(TRIM(INDEX(表單!$D$2:$D$301,MATCH($A208,表單!$A$2:$A$301,0)))="","（分項工程層）",INDEX(表單!$D$2:$D$301,MATCH($A208,表單!$A$2:$A$301,0))),IFERROR(INDEX($N$2:$N$201,MATCH($A208,$L$2:$L$201,0)),"")))</f>
        <v/>
      </c>
      <c r="D208" s="15">
        <f>IF($A208="","",IF(ISNUMBER(MATCH($A208,表單!$A$2:$A$301,0)),"線上表單",IFERROR(INDEX($O$2:$O$201,MATCH($A208,$L$2:$L$201,0)),"")))</f>
        <v/>
      </c>
      <c r="E208" s="15">
        <f>IF($A208="","",IF(ISNUMBER(MATCH($A208,表單!$A$2:$A$301,0)),"本檔","系統"))</f>
        <v/>
      </c>
      <c r="H208">
        <f>IF(AND(表單!$C208="自主檢查表",表單!$A208&lt;&gt;"",COUNTIF($L$2:$L$201,表單!$A208)=0),COUNT($H$1:H207)+1,"")</f>
        <v/>
      </c>
      <c r="J208">
        <f>IF(207&lt;=COUNTA($L$2:$L$201),INDEX($L$2:$L$201,207),IFERROR(INDEX(表單!$A$2:$A$301,MATCH(207-COUNTA($L$2:$L$201),$H$2:$H$301,0)),""))</f>
        <v/>
      </c>
    </row>
    <row r="209">
      <c r="A209" s="15">
        <f>IF($J209="","",$J209)</f>
        <v/>
      </c>
      <c r="B209" s="15">
        <f>IF($A209="","",IF(ISNUMBER(MATCH($A209,表單!$A$2:$A$301,0)),INDEX(表單!$B$2:$B$301,MATCH($A209,表單!$A$2:$A$301,0)),IFERROR(INDEX($M$2:$M$201,MATCH($A209,$L$2:$L$201,0)),"")))</f>
        <v/>
      </c>
      <c r="C209" s="15">
        <f>IF($A209="","",IF(ISNUMBER(MATCH($A209,表單!$A$2:$A$301,0)),IF(TRIM(INDEX(表單!$D$2:$D$301,MATCH($A209,表單!$A$2:$A$301,0)))="","（分項工程層）",INDEX(表單!$D$2:$D$301,MATCH($A209,表單!$A$2:$A$301,0))),IFERROR(INDEX($N$2:$N$201,MATCH($A209,$L$2:$L$201,0)),"")))</f>
        <v/>
      </c>
      <c r="D209" s="15">
        <f>IF($A209="","",IF(ISNUMBER(MATCH($A209,表單!$A$2:$A$301,0)),"線上表單",IFERROR(INDEX($O$2:$O$201,MATCH($A209,$L$2:$L$201,0)),"")))</f>
        <v/>
      </c>
      <c r="E209" s="15">
        <f>IF($A209="","",IF(ISNUMBER(MATCH($A209,表單!$A$2:$A$301,0)),"本檔","系統"))</f>
        <v/>
      </c>
      <c r="H209">
        <f>IF(AND(表單!$C209="自主檢查表",表單!$A209&lt;&gt;"",COUNTIF($L$2:$L$201,表單!$A209)=0),COUNT($H$1:H208)+1,"")</f>
        <v/>
      </c>
      <c r="J209">
        <f>IF(208&lt;=COUNTA($L$2:$L$201),INDEX($L$2:$L$201,208),IFERROR(INDEX(表單!$A$2:$A$301,MATCH(208-COUNTA($L$2:$L$201),$H$2:$H$301,0)),""))</f>
        <v/>
      </c>
    </row>
    <row r="210">
      <c r="A210" s="15">
        <f>IF($J210="","",$J210)</f>
        <v/>
      </c>
      <c r="B210" s="15">
        <f>IF($A210="","",IF(ISNUMBER(MATCH($A210,表單!$A$2:$A$301,0)),INDEX(表單!$B$2:$B$301,MATCH($A210,表單!$A$2:$A$301,0)),IFERROR(INDEX($M$2:$M$201,MATCH($A210,$L$2:$L$201,0)),"")))</f>
        <v/>
      </c>
      <c r="C210" s="15">
        <f>IF($A210="","",IF(ISNUMBER(MATCH($A210,表單!$A$2:$A$301,0)),IF(TRIM(INDEX(表單!$D$2:$D$301,MATCH($A210,表單!$A$2:$A$301,0)))="","（分項工程層）",INDEX(表單!$D$2:$D$301,MATCH($A210,表單!$A$2:$A$301,0))),IFERROR(INDEX($N$2:$N$201,MATCH($A210,$L$2:$L$201,0)),"")))</f>
        <v/>
      </c>
      <c r="D210" s="15">
        <f>IF($A210="","",IF(ISNUMBER(MATCH($A210,表單!$A$2:$A$301,0)),"線上表單",IFERROR(INDEX($O$2:$O$201,MATCH($A210,$L$2:$L$201,0)),"")))</f>
        <v/>
      </c>
      <c r="E210" s="15">
        <f>IF($A210="","",IF(ISNUMBER(MATCH($A210,表單!$A$2:$A$301,0)),"本檔","系統"))</f>
        <v/>
      </c>
      <c r="H210">
        <f>IF(AND(表單!$C210="自主檢查表",表單!$A210&lt;&gt;"",COUNTIF($L$2:$L$201,表單!$A210)=0),COUNT($H$1:H209)+1,"")</f>
        <v/>
      </c>
      <c r="J210">
        <f>IF(209&lt;=COUNTA($L$2:$L$201),INDEX($L$2:$L$201,209),IFERROR(INDEX(表單!$A$2:$A$301,MATCH(209-COUNTA($L$2:$L$201),$H$2:$H$301,0)),""))</f>
        <v/>
      </c>
    </row>
    <row r="211">
      <c r="A211" s="15">
        <f>IF($J211="","",$J211)</f>
        <v/>
      </c>
      <c r="B211" s="15">
        <f>IF($A211="","",IF(ISNUMBER(MATCH($A211,表單!$A$2:$A$301,0)),INDEX(表單!$B$2:$B$301,MATCH($A211,表單!$A$2:$A$301,0)),IFERROR(INDEX($M$2:$M$201,MATCH($A211,$L$2:$L$201,0)),"")))</f>
        <v/>
      </c>
      <c r="C211" s="15">
        <f>IF($A211="","",IF(ISNUMBER(MATCH($A211,表單!$A$2:$A$301,0)),IF(TRIM(INDEX(表單!$D$2:$D$301,MATCH($A211,表單!$A$2:$A$301,0)))="","（分項工程層）",INDEX(表單!$D$2:$D$301,MATCH($A211,表單!$A$2:$A$301,0))),IFERROR(INDEX($N$2:$N$201,MATCH($A211,$L$2:$L$201,0)),"")))</f>
        <v/>
      </c>
      <c r="D211" s="15">
        <f>IF($A211="","",IF(ISNUMBER(MATCH($A211,表單!$A$2:$A$301,0)),"線上表單",IFERROR(INDEX($O$2:$O$201,MATCH($A211,$L$2:$L$201,0)),"")))</f>
        <v/>
      </c>
      <c r="E211" s="15">
        <f>IF($A211="","",IF(ISNUMBER(MATCH($A211,表單!$A$2:$A$301,0)),"本檔","系統"))</f>
        <v/>
      </c>
      <c r="H211">
        <f>IF(AND(表單!$C211="自主檢查表",表單!$A211&lt;&gt;"",COUNTIF($L$2:$L$201,表單!$A211)=0),COUNT($H$1:H210)+1,"")</f>
        <v/>
      </c>
      <c r="J211">
        <f>IF(210&lt;=COUNTA($L$2:$L$201),INDEX($L$2:$L$201,210),IFERROR(INDEX(表單!$A$2:$A$301,MATCH(210-COUNTA($L$2:$L$201),$H$2:$H$301,0)),""))</f>
        <v/>
      </c>
    </row>
    <row r="212">
      <c r="A212" s="15">
        <f>IF($J212="","",$J212)</f>
        <v/>
      </c>
      <c r="B212" s="15">
        <f>IF($A212="","",IF(ISNUMBER(MATCH($A212,表單!$A$2:$A$301,0)),INDEX(表單!$B$2:$B$301,MATCH($A212,表單!$A$2:$A$301,0)),IFERROR(INDEX($M$2:$M$201,MATCH($A212,$L$2:$L$201,0)),"")))</f>
        <v/>
      </c>
      <c r="C212" s="15">
        <f>IF($A212="","",IF(ISNUMBER(MATCH($A212,表單!$A$2:$A$301,0)),IF(TRIM(INDEX(表單!$D$2:$D$301,MATCH($A212,表單!$A$2:$A$301,0)))="","（分項工程層）",INDEX(表單!$D$2:$D$301,MATCH($A212,表單!$A$2:$A$301,0))),IFERROR(INDEX($N$2:$N$201,MATCH($A212,$L$2:$L$201,0)),"")))</f>
        <v/>
      </c>
      <c r="D212" s="15">
        <f>IF($A212="","",IF(ISNUMBER(MATCH($A212,表單!$A$2:$A$301,0)),"線上表單",IFERROR(INDEX($O$2:$O$201,MATCH($A212,$L$2:$L$201,0)),"")))</f>
        <v/>
      </c>
      <c r="E212" s="15">
        <f>IF($A212="","",IF(ISNUMBER(MATCH($A212,表單!$A$2:$A$301,0)),"本檔","系統"))</f>
        <v/>
      </c>
      <c r="H212">
        <f>IF(AND(表單!$C212="自主檢查表",表單!$A212&lt;&gt;"",COUNTIF($L$2:$L$201,表單!$A212)=0),COUNT($H$1:H211)+1,"")</f>
        <v/>
      </c>
      <c r="J212">
        <f>IF(211&lt;=COUNTA($L$2:$L$201),INDEX($L$2:$L$201,211),IFERROR(INDEX(表單!$A$2:$A$301,MATCH(211-COUNTA($L$2:$L$201),$H$2:$H$301,0)),""))</f>
        <v/>
      </c>
    </row>
    <row r="213">
      <c r="A213" s="15">
        <f>IF($J213="","",$J213)</f>
        <v/>
      </c>
      <c r="B213" s="15">
        <f>IF($A213="","",IF(ISNUMBER(MATCH($A213,表單!$A$2:$A$301,0)),INDEX(表單!$B$2:$B$301,MATCH($A213,表單!$A$2:$A$301,0)),IFERROR(INDEX($M$2:$M$201,MATCH($A213,$L$2:$L$201,0)),"")))</f>
        <v/>
      </c>
      <c r="C213" s="15">
        <f>IF($A213="","",IF(ISNUMBER(MATCH($A213,表單!$A$2:$A$301,0)),IF(TRIM(INDEX(表單!$D$2:$D$301,MATCH($A213,表單!$A$2:$A$301,0)))="","（分項工程層）",INDEX(表單!$D$2:$D$301,MATCH($A213,表單!$A$2:$A$301,0))),IFERROR(INDEX($N$2:$N$201,MATCH($A213,$L$2:$L$201,0)),"")))</f>
        <v/>
      </c>
      <c r="D213" s="15">
        <f>IF($A213="","",IF(ISNUMBER(MATCH($A213,表單!$A$2:$A$301,0)),"線上表單",IFERROR(INDEX($O$2:$O$201,MATCH($A213,$L$2:$L$201,0)),"")))</f>
        <v/>
      </c>
      <c r="E213" s="15">
        <f>IF($A213="","",IF(ISNUMBER(MATCH($A213,表單!$A$2:$A$301,0)),"本檔","系統"))</f>
        <v/>
      </c>
      <c r="H213">
        <f>IF(AND(表單!$C213="自主檢查表",表單!$A213&lt;&gt;"",COUNTIF($L$2:$L$201,表單!$A213)=0),COUNT($H$1:H212)+1,"")</f>
        <v/>
      </c>
      <c r="J213">
        <f>IF(212&lt;=COUNTA($L$2:$L$201),INDEX($L$2:$L$201,212),IFERROR(INDEX(表單!$A$2:$A$301,MATCH(212-COUNTA($L$2:$L$201),$H$2:$H$301,0)),""))</f>
        <v/>
      </c>
    </row>
    <row r="214">
      <c r="A214" s="15">
        <f>IF($J214="","",$J214)</f>
        <v/>
      </c>
      <c r="B214" s="15">
        <f>IF($A214="","",IF(ISNUMBER(MATCH($A214,表單!$A$2:$A$301,0)),INDEX(表單!$B$2:$B$301,MATCH($A214,表單!$A$2:$A$301,0)),IFERROR(INDEX($M$2:$M$201,MATCH($A214,$L$2:$L$201,0)),"")))</f>
        <v/>
      </c>
      <c r="C214" s="15">
        <f>IF($A214="","",IF(ISNUMBER(MATCH($A214,表單!$A$2:$A$301,0)),IF(TRIM(INDEX(表單!$D$2:$D$301,MATCH($A214,表單!$A$2:$A$301,0)))="","（分項工程層）",INDEX(表單!$D$2:$D$301,MATCH($A214,表單!$A$2:$A$301,0))),IFERROR(INDEX($N$2:$N$201,MATCH($A214,$L$2:$L$201,0)),"")))</f>
        <v/>
      </c>
      <c r="D214" s="15">
        <f>IF($A214="","",IF(ISNUMBER(MATCH($A214,表單!$A$2:$A$301,0)),"線上表單",IFERROR(INDEX($O$2:$O$201,MATCH($A214,$L$2:$L$201,0)),"")))</f>
        <v/>
      </c>
      <c r="E214" s="15">
        <f>IF($A214="","",IF(ISNUMBER(MATCH($A214,表單!$A$2:$A$301,0)),"本檔","系統"))</f>
        <v/>
      </c>
      <c r="H214">
        <f>IF(AND(表單!$C214="自主檢查表",表單!$A214&lt;&gt;"",COUNTIF($L$2:$L$201,表單!$A214)=0),COUNT($H$1:H213)+1,"")</f>
        <v/>
      </c>
      <c r="J214">
        <f>IF(213&lt;=COUNTA($L$2:$L$201),INDEX($L$2:$L$201,213),IFERROR(INDEX(表單!$A$2:$A$301,MATCH(213-COUNTA($L$2:$L$201),$H$2:$H$301,0)),""))</f>
        <v/>
      </c>
    </row>
    <row r="215">
      <c r="A215" s="15">
        <f>IF($J215="","",$J215)</f>
        <v/>
      </c>
      <c r="B215" s="15">
        <f>IF($A215="","",IF(ISNUMBER(MATCH($A215,表單!$A$2:$A$301,0)),INDEX(表單!$B$2:$B$301,MATCH($A215,表單!$A$2:$A$301,0)),IFERROR(INDEX($M$2:$M$201,MATCH($A215,$L$2:$L$201,0)),"")))</f>
        <v/>
      </c>
      <c r="C215" s="15">
        <f>IF($A215="","",IF(ISNUMBER(MATCH($A215,表單!$A$2:$A$301,0)),IF(TRIM(INDEX(表單!$D$2:$D$301,MATCH($A215,表單!$A$2:$A$301,0)))="","（分項工程層）",INDEX(表單!$D$2:$D$301,MATCH($A215,表單!$A$2:$A$301,0))),IFERROR(INDEX($N$2:$N$201,MATCH($A215,$L$2:$L$201,0)),"")))</f>
        <v/>
      </c>
      <c r="D215" s="15">
        <f>IF($A215="","",IF(ISNUMBER(MATCH($A215,表單!$A$2:$A$301,0)),"線上表單",IFERROR(INDEX($O$2:$O$201,MATCH($A215,$L$2:$L$201,0)),"")))</f>
        <v/>
      </c>
      <c r="E215" s="15">
        <f>IF($A215="","",IF(ISNUMBER(MATCH($A215,表單!$A$2:$A$301,0)),"本檔","系統"))</f>
        <v/>
      </c>
      <c r="H215">
        <f>IF(AND(表單!$C215="自主檢查表",表單!$A215&lt;&gt;"",COUNTIF($L$2:$L$201,表單!$A215)=0),COUNT($H$1:H214)+1,"")</f>
        <v/>
      </c>
      <c r="J215">
        <f>IF(214&lt;=COUNTA($L$2:$L$201),INDEX($L$2:$L$201,214),IFERROR(INDEX(表單!$A$2:$A$301,MATCH(214-COUNTA($L$2:$L$201),$H$2:$H$301,0)),""))</f>
        <v/>
      </c>
    </row>
    <row r="216">
      <c r="A216" s="15">
        <f>IF($J216="","",$J216)</f>
        <v/>
      </c>
      <c r="B216" s="15">
        <f>IF($A216="","",IF(ISNUMBER(MATCH($A216,表單!$A$2:$A$301,0)),INDEX(表單!$B$2:$B$301,MATCH($A216,表單!$A$2:$A$301,0)),IFERROR(INDEX($M$2:$M$201,MATCH($A216,$L$2:$L$201,0)),"")))</f>
        <v/>
      </c>
      <c r="C216" s="15">
        <f>IF($A216="","",IF(ISNUMBER(MATCH($A216,表單!$A$2:$A$301,0)),IF(TRIM(INDEX(表單!$D$2:$D$301,MATCH($A216,表單!$A$2:$A$301,0)))="","（分項工程層）",INDEX(表單!$D$2:$D$301,MATCH($A216,表單!$A$2:$A$301,0))),IFERROR(INDEX($N$2:$N$201,MATCH($A216,$L$2:$L$201,0)),"")))</f>
        <v/>
      </c>
      <c r="D216" s="15">
        <f>IF($A216="","",IF(ISNUMBER(MATCH($A216,表單!$A$2:$A$301,0)),"線上表單",IFERROR(INDEX($O$2:$O$201,MATCH($A216,$L$2:$L$201,0)),"")))</f>
        <v/>
      </c>
      <c r="E216" s="15">
        <f>IF($A216="","",IF(ISNUMBER(MATCH($A216,表單!$A$2:$A$301,0)),"本檔","系統"))</f>
        <v/>
      </c>
      <c r="H216">
        <f>IF(AND(表單!$C216="自主檢查表",表單!$A216&lt;&gt;"",COUNTIF($L$2:$L$201,表單!$A216)=0),COUNT($H$1:H215)+1,"")</f>
        <v/>
      </c>
      <c r="J216">
        <f>IF(215&lt;=COUNTA($L$2:$L$201),INDEX($L$2:$L$201,215),IFERROR(INDEX(表單!$A$2:$A$301,MATCH(215-COUNTA($L$2:$L$201),$H$2:$H$301,0)),""))</f>
        <v/>
      </c>
    </row>
    <row r="217">
      <c r="A217" s="15">
        <f>IF($J217="","",$J217)</f>
        <v/>
      </c>
      <c r="B217" s="15">
        <f>IF($A217="","",IF(ISNUMBER(MATCH($A217,表單!$A$2:$A$301,0)),INDEX(表單!$B$2:$B$301,MATCH($A217,表單!$A$2:$A$301,0)),IFERROR(INDEX($M$2:$M$201,MATCH($A217,$L$2:$L$201,0)),"")))</f>
        <v/>
      </c>
      <c r="C217" s="15">
        <f>IF($A217="","",IF(ISNUMBER(MATCH($A217,表單!$A$2:$A$301,0)),IF(TRIM(INDEX(表單!$D$2:$D$301,MATCH($A217,表單!$A$2:$A$301,0)))="","（分項工程層）",INDEX(表單!$D$2:$D$301,MATCH($A217,表單!$A$2:$A$301,0))),IFERROR(INDEX($N$2:$N$201,MATCH($A217,$L$2:$L$201,0)),"")))</f>
        <v/>
      </c>
      <c r="D217" s="15">
        <f>IF($A217="","",IF(ISNUMBER(MATCH($A217,表單!$A$2:$A$301,0)),"線上表單",IFERROR(INDEX($O$2:$O$201,MATCH($A217,$L$2:$L$201,0)),"")))</f>
        <v/>
      </c>
      <c r="E217" s="15">
        <f>IF($A217="","",IF(ISNUMBER(MATCH($A217,表單!$A$2:$A$301,0)),"本檔","系統"))</f>
        <v/>
      </c>
      <c r="H217">
        <f>IF(AND(表單!$C217="自主檢查表",表單!$A217&lt;&gt;"",COUNTIF($L$2:$L$201,表單!$A217)=0),COUNT($H$1:H216)+1,"")</f>
        <v/>
      </c>
      <c r="J217">
        <f>IF(216&lt;=COUNTA($L$2:$L$201),INDEX($L$2:$L$201,216),IFERROR(INDEX(表單!$A$2:$A$301,MATCH(216-COUNTA($L$2:$L$201),$H$2:$H$301,0)),""))</f>
        <v/>
      </c>
    </row>
    <row r="218">
      <c r="A218" s="15">
        <f>IF($J218="","",$J218)</f>
        <v/>
      </c>
      <c r="B218" s="15">
        <f>IF($A218="","",IF(ISNUMBER(MATCH($A218,表單!$A$2:$A$301,0)),INDEX(表單!$B$2:$B$301,MATCH($A218,表單!$A$2:$A$301,0)),IFERROR(INDEX($M$2:$M$201,MATCH($A218,$L$2:$L$201,0)),"")))</f>
        <v/>
      </c>
      <c r="C218" s="15">
        <f>IF($A218="","",IF(ISNUMBER(MATCH($A218,表單!$A$2:$A$301,0)),IF(TRIM(INDEX(表單!$D$2:$D$301,MATCH($A218,表單!$A$2:$A$301,0)))="","（分項工程層）",INDEX(表單!$D$2:$D$301,MATCH($A218,表單!$A$2:$A$301,0))),IFERROR(INDEX($N$2:$N$201,MATCH($A218,$L$2:$L$201,0)),"")))</f>
        <v/>
      </c>
      <c r="D218" s="15">
        <f>IF($A218="","",IF(ISNUMBER(MATCH($A218,表單!$A$2:$A$301,0)),"線上表單",IFERROR(INDEX($O$2:$O$201,MATCH($A218,$L$2:$L$201,0)),"")))</f>
        <v/>
      </c>
      <c r="E218" s="15">
        <f>IF($A218="","",IF(ISNUMBER(MATCH($A218,表單!$A$2:$A$301,0)),"本檔","系統"))</f>
        <v/>
      </c>
      <c r="H218">
        <f>IF(AND(表單!$C218="自主檢查表",表單!$A218&lt;&gt;"",COUNTIF($L$2:$L$201,表單!$A218)=0),COUNT($H$1:H217)+1,"")</f>
        <v/>
      </c>
      <c r="J218">
        <f>IF(217&lt;=COUNTA($L$2:$L$201),INDEX($L$2:$L$201,217),IFERROR(INDEX(表單!$A$2:$A$301,MATCH(217-COUNTA($L$2:$L$201),$H$2:$H$301,0)),""))</f>
        <v/>
      </c>
    </row>
    <row r="219">
      <c r="A219" s="15">
        <f>IF($J219="","",$J219)</f>
        <v/>
      </c>
      <c r="B219" s="15">
        <f>IF($A219="","",IF(ISNUMBER(MATCH($A219,表單!$A$2:$A$301,0)),INDEX(表單!$B$2:$B$301,MATCH($A219,表單!$A$2:$A$301,0)),IFERROR(INDEX($M$2:$M$201,MATCH($A219,$L$2:$L$201,0)),"")))</f>
        <v/>
      </c>
      <c r="C219" s="15">
        <f>IF($A219="","",IF(ISNUMBER(MATCH($A219,表單!$A$2:$A$301,0)),IF(TRIM(INDEX(表單!$D$2:$D$301,MATCH($A219,表單!$A$2:$A$301,0)))="","（分項工程層）",INDEX(表單!$D$2:$D$301,MATCH($A219,表單!$A$2:$A$301,0))),IFERROR(INDEX($N$2:$N$201,MATCH($A219,$L$2:$L$201,0)),"")))</f>
        <v/>
      </c>
      <c r="D219" s="15">
        <f>IF($A219="","",IF(ISNUMBER(MATCH($A219,表單!$A$2:$A$301,0)),"線上表單",IFERROR(INDEX($O$2:$O$201,MATCH($A219,$L$2:$L$201,0)),"")))</f>
        <v/>
      </c>
      <c r="E219" s="15">
        <f>IF($A219="","",IF(ISNUMBER(MATCH($A219,表單!$A$2:$A$301,0)),"本檔","系統"))</f>
        <v/>
      </c>
      <c r="H219">
        <f>IF(AND(表單!$C219="自主檢查表",表單!$A219&lt;&gt;"",COUNTIF($L$2:$L$201,表單!$A219)=0),COUNT($H$1:H218)+1,"")</f>
        <v/>
      </c>
      <c r="J219">
        <f>IF(218&lt;=COUNTA($L$2:$L$201),INDEX($L$2:$L$201,218),IFERROR(INDEX(表單!$A$2:$A$301,MATCH(218-COUNTA($L$2:$L$201),$H$2:$H$301,0)),""))</f>
        <v/>
      </c>
    </row>
    <row r="220">
      <c r="A220" s="15">
        <f>IF($J220="","",$J220)</f>
        <v/>
      </c>
      <c r="B220" s="15">
        <f>IF($A220="","",IF(ISNUMBER(MATCH($A220,表單!$A$2:$A$301,0)),INDEX(表單!$B$2:$B$301,MATCH($A220,表單!$A$2:$A$301,0)),IFERROR(INDEX($M$2:$M$201,MATCH($A220,$L$2:$L$201,0)),"")))</f>
        <v/>
      </c>
      <c r="C220" s="15">
        <f>IF($A220="","",IF(ISNUMBER(MATCH($A220,表單!$A$2:$A$301,0)),IF(TRIM(INDEX(表單!$D$2:$D$301,MATCH($A220,表單!$A$2:$A$301,0)))="","（分項工程層）",INDEX(表單!$D$2:$D$301,MATCH($A220,表單!$A$2:$A$301,0))),IFERROR(INDEX($N$2:$N$201,MATCH($A220,$L$2:$L$201,0)),"")))</f>
        <v/>
      </c>
      <c r="D220" s="15">
        <f>IF($A220="","",IF(ISNUMBER(MATCH($A220,表單!$A$2:$A$301,0)),"線上表單",IFERROR(INDEX($O$2:$O$201,MATCH($A220,$L$2:$L$201,0)),"")))</f>
        <v/>
      </c>
      <c r="E220" s="15">
        <f>IF($A220="","",IF(ISNUMBER(MATCH($A220,表單!$A$2:$A$301,0)),"本檔","系統"))</f>
        <v/>
      </c>
      <c r="H220">
        <f>IF(AND(表單!$C220="自主檢查表",表單!$A220&lt;&gt;"",COUNTIF($L$2:$L$201,表單!$A220)=0),COUNT($H$1:H219)+1,"")</f>
        <v/>
      </c>
      <c r="J220">
        <f>IF(219&lt;=COUNTA($L$2:$L$201),INDEX($L$2:$L$201,219),IFERROR(INDEX(表單!$A$2:$A$301,MATCH(219-COUNTA($L$2:$L$201),$H$2:$H$301,0)),""))</f>
        <v/>
      </c>
    </row>
    <row r="221">
      <c r="A221" s="15">
        <f>IF($J221="","",$J221)</f>
        <v/>
      </c>
      <c r="B221" s="15">
        <f>IF($A221="","",IF(ISNUMBER(MATCH($A221,表單!$A$2:$A$301,0)),INDEX(表單!$B$2:$B$301,MATCH($A221,表單!$A$2:$A$301,0)),IFERROR(INDEX($M$2:$M$201,MATCH($A221,$L$2:$L$201,0)),"")))</f>
        <v/>
      </c>
      <c r="C221" s="15">
        <f>IF($A221="","",IF(ISNUMBER(MATCH($A221,表單!$A$2:$A$301,0)),IF(TRIM(INDEX(表單!$D$2:$D$301,MATCH($A221,表單!$A$2:$A$301,0)))="","（分項工程層）",INDEX(表單!$D$2:$D$301,MATCH($A221,表單!$A$2:$A$301,0))),IFERROR(INDEX($N$2:$N$201,MATCH($A221,$L$2:$L$201,0)),"")))</f>
        <v/>
      </c>
      <c r="D221" s="15">
        <f>IF($A221="","",IF(ISNUMBER(MATCH($A221,表單!$A$2:$A$301,0)),"線上表單",IFERROR(INDEX($O$2:$O$201,MATCH($A221,$L$2:$L$201,0)),"")))</f>
        <v/>
      </c>
      <c r="E221" s="15">
        <f>IF($A221="","",IF(ISNUMBER(MATCH($A221,表單!$A$2:$A$301,0)),"本檔","系統"))</f>
        <v/>
      </c>
      <c r="H221">
        <f>IF(AND(表單!$C221="自主檢查表",表單!$A221&lt;&gt;"",COUNTIF($L$2:$L$201,表單!$A221)=0),COUNT($H$1:H220)+1,"")</f>
        <v/>
      </c>
      <c r="J221">
        <f>IF(220&lt;=COUNTA($L$2:$L$201),INDEX($L$2:$L$201,220),IFERROR(INDEX(表單!$A$2:$A$301,MATCH(220-COUNTA($L$2:$L$201),$H$2:$H$301,0)),""))</f>
        <v/>
      </c>
    </row>
    <row r="222">
      <c r="A222" s="15">
        <f>IF($J222="","",$J222)</f>
        <v/>
      </c>
      <c r="B222" s="15">
        <f>IF($A222="","",IF(ISNUMBER(MATCH($A222,表單!$A$2:$A$301,0)),INDEX(表單!$B$2:$B$301,MATCH($A222,表單!$A$2:$A$301,0)),IFERROR(INDEX($M$2:$M$201,MATCH($A222,$L$2:$L$201,0)),"")))</f>
        <v/>
      </c>
      <c r="C222" s="15">
        <f>IF($A222="","",IF(ISNUMBER(MATCH($A222,表單!$A$2:$A$301,0)),IF(TRIM(INDEX(表單!$D$2:$D$301,MATCH($A222,表單!$A$2:$A$301,0)))="","（分項工程層）",INDEX(表單!$D$2:$D$301,MATCH($A222,表單!$A$2:$A$301,0))),IFERROR(INDEX($N$2:$N$201,MATCH($A222,$L$2:$L$201,0)),"")))</f>
        <v/>
      </c>
      <c r="D222" s="15">
        <f>IF($A222="","",IF(ISNUMBER(MATCH($A222,表單!$A$2:$A$301,0)),"線上表單",IFERROR(INDEX($O$2:$O$201,MATCH($A222,$L$2:$L$201,0)),"")))</f>
        <v/>
      </c>
      <c r="E222" s="15">
        <f>IF($A222="","",IF(ISNUMBER(MATCH($A222,表單!$A$2:$A$301,0)),"本檔","系統"))</f>
        <v/>
      </c>
      <c r="H222">
        <f>IF(AND(表單!$C222="自主檢查表",表單!$A222&lt;&gt;"",COUNTIF($L$2:$L$201,表單!$A222)=0),COUNT($H$1:H221)+1,"")</f>
        <v/>
      </c>
      <c r="J222">
        <f>IF(221&lt;=COUNTA($L$2:$L$201),INDEX($L$2:$L$201,221),IFERROR(INDEX(表單!$A$2:$A$301,MATCH(221-COUNTA($L$2:$L$201),$H$2:$H$301,0)),""))</f>
        <v/>
      </c>
    </row>
    <row r="223">
      <c r="A223" s="15">
        <f>IF($J223="","",$J223)</f>
        <v/>
      </c>
      <c r="B223" s="15">
        <f>IF($A223="","",IF(ISNUMBER(MATCH($A223,表單!$A$2:$A$301,0)),INDEX(表單!$B$2:$B$301,MATCH($A223,表單!$A$2:$A$301,0)),IFERROR(INDEX($M$2:$M$201,MATCH($A223,$L$2:$L$201,0)),"")))</f>
        <v/>
      </c>
      <c r="C223" s="15">
        <f>IF($A223="","",IF(ISNUMBER(MATCH($A223,表單!$A$2:$A$301,0)),IF(TRIM(INDEX(表單!$D$2:$D$301,MATCH($A223,表單!$A$2:$A$301,0)))="","（分項工程層）",INDEX(表單!$D$2:$D$301,MATCH($A223,表單!$A$2:$A$301,0))),IFERROR(INDEX($N$2:$N$201,MATCH($A223,$L$2:$L$201,0)),"")))</f>
        <v/>
      </c>
      <c r="D223" s="15">
        <f>IF($A223="","",IF(ISNUMBER(MATCH($A223,表單!$A$2:$A$301,0)),"線上表單",IFERROR(INDEX($O$2:$O$201,MATCH($A223,$L$2:$L$201,0)),"")))</f>
        <v/>
      </c>
      <c r="E223" s="15">
        <f>IF($A223="","",IF(ISNUMBER(MATCH($A223,表單!$A$2:$A$301,0)),"本檔","系統"))</f>
        <v/>
      </c>
      <c r="H223">
        <f>IF(AND(表單!$C223="自主檢查表",表單!$A223&lt;&gt;"",COUNTIF($L$2:$L$201,表單!$A223)=0),COUNT($H$1:H222)+1,"")</f>
        <v/>
      </c>
      <c r="J223">
        <f>IF(222&lt;=COUNTA($L$2:$L$201),INDEX($L$2:$L$201,222),IFERROR(INDEX(表單!$A$2:$A$301,MATCH(222-COUNTA($L$2:$L$201),$H$2:$H$301,0)),""))</f>
        <v/>
      </c>
    </row>
    <row r="224">
      <c r="A224" s="15">
        <f>IF($J224="","",$J224)</f>
        <v/>
      </c>
      <c r="B224" s="15">
        <f>IF($A224="","",IF(ISNUMBER(MATCH($A224,表單!$A$2:$A$301,0)),INDEX(表單!$B$2:$B$301,MATCH($A224,表單!$A$2:$A$301,0)),IFERROR(INDEX($M$2:$M$201,MATCH($A224,$L$2:$L$201,0)),"")))</f>
        <v/>
      </c>
      <c r="C224" s="15">
        <f>IF($A224="","",IF(ISNUMBER(MATCH($A224,表單!$A$2:$A$301,0)),IF(TRIM(INDEX(表單!$D$2:$D$301,MATCH($A224,表單!$A$2:$A$301,0)))="","（分項工程層）",INDEX(表單!$D$2:$D$301,MATCH($A224,表單!$A$2:$A$301,0))),IFERROR(INDEX($N$2:$N$201,MATCH($A224,$L$2:$L$201,0)),"")))</f>
        <v/>
      </c>
      <c r="D224" s="15">
        <f>IF($A224="","",IF(ISNUMBER(MATCH($A224,表單!$A$2:$A$301,0)),"線上表單",IFERROR(INDEX($O$2:$O$201,MATCH($A224,$L$2:$L$201,0)),"")))</f>
        <v/>
      </c>
      <c r="E224" s="15">
        <f>IF($A224="","",IF(ISNUMBER(MATCH($A224,表單!$A$2:$A$301,0)),"本檔","系統"))</f>
        <v/>
      </c>
      <c r="H224">
        <f>IF(AND(表單!$C224="自主檢查表",表單!$A224&lt;&gt;"",COUNTIF($L$2:$L$201,表單!$A224)=0),COUNT($H$1:H223)+1,"")</f>
        <v/>
      </c>
      <c r="J224">
        <f>IF(223&lt;=COUNTA($L$2:$L$201),INDEX($L$2:$L$201,223),IFERROR(INDEX(表單!$A$2:$A$301,MATCH(223-COUNTA($L$2:$L$201),$H$2:$H$301,0)),""))</f>
        <v/>
      </c>
    </row>
    <row r="225">
      <c r="A225" s="15">
        <f>IF($J225="","",$J225)</f>
        <v/>
      </c>
      <c r="B225" s="15">
        <f>IF($A225="","",IF(ISNUMBER(MATCH($A225,表單!$A$2:$A$301,0)),INDEX(表單!$B$2:$B$301,MATCH($A225,表單!$A$2:$A$301,0)),IFERROR(INDEX($M$2:$M$201,MATCH($A225,$L$2:$L$201,0)),"")))</f>
        <v/>
      </c>
      <c r="C225" s="15">
        <f>IF($A225="","",IF(ISNUMBER(MATCH($A225,表單!$A$2:$A$301,0)),IF(TRIM(INDEX(表單!$D$2:$D$301,MATCH($A225,表單!$A$2:$A$301,0)))="","（分項工程層）",INDEX(表單!$D$2:$D$301,MATCH($A225,表單!$A$2:$A$301,0))),IFERROR(INDEX($N$2:$N$201,MATCH($A225,$L$2:$L$201,0)),"")))</f>
        <v/>
      </c>
      <c r="D225" s="15">
        <f>IF($A225="","",IF(ISNUMBER(MATCH($A225,表單!$A$2:$A$301,0)),"線上表單",IFERROR(INDEX($O$2:$O$201,MATCH($A225,$L$2:$L$201,0)),"")))</f>
        <v/>
      </c>
      <c r="E225" s="15">
        <f>IF($A225="","",IF(ISNUMBER(MATCH($A225,表單!$A$2:$A$301,0)),"本檔","系統"))</f>
        <v/>
      </c>
      <c r="H225">
        <f>IF(AND(表單!$C225="自主檢查表",表單!$A225&lt;&gt;"",COUNTIF($L$2:$L$201,表單!$A225)=0),COUNT($H$1:H224)+1,"")</f>
        <v/>
      </c>
      <c r="J225">
        <f>IF(224&lt;=COUNTA($L$2:$L$201),INDEX($L$2:$L$201,224),IFERROR(INDEX(表單!$A$2:$A$301,MATCH(224-COUNTA($L$2:$L$201),$H$2:$H$301,0)),""))</f>
        <v/>
      </c>
    </row>
    <row r="226">
      <c r="A226" s="15">
        <f>IF($J226="","",$J226)</f>
        <v/>
      </c>
      <c r="B226" s="15">
        <f>IF($A226="","",IF(ISNUMBER(MATCH($A226,表單!$A$2:$A$301,0)),INDEX(表單!$B$2:$B$301,MATCH($A226,表單!$A$2:$A$301,0)),IFERROR(INDEX($M$2:$M$201,MATCH($A226,$L$2:$L$201,0)),"")))</f>
        <v/>
      </c>
      <c r="C226" s="15">
        <f>IF($A226="","",IF(ISNUMBER(MATCH($A226,表單!$A$2:$A$301,0)),IF(TRIM(INDEX(表單!$D$2:$D$301,MATCH($A226,表單!$A$2:$A$301,0)))="","（分項工程層）",INDEX(表單!$D$2:$D$301,MATCH($A226,表單!$A$2:$A$301,0))),IFERROR(INDEX($N$2:$N$201,MATCH($A226,$L$2:$L$201,0)),"")))</f>
        <v/>
      </c>
      <c r="D226" s="15">
        <f>IF($A226="","",IF(ISNUMBER(MATCH($A226,表單!$A$2:$A$301,0)),"線上表單",IFERROR(INDEX($O$2:$O$201,MATCH($A226,$L$2:$L$201,0)),"")))</f>
        <v/>
      </c>
      <c r="E226" s="15">
        <f>IF($A226="","",IF(ISNUMBER(MATCH($A226,表單!$A$2:$A$301,0)),"本檔","系統"))</f>
        <v/>
      </c>
      <c r="H226">
        <f>IF(AND(表單!$C226="自主檢查表",表單!$A226&lt;&gt;"",COUNTIF($L$2:$L$201,表單!$A226)=0),COUNT($H$1:H225)+1,"")</f>
        <v/>
      </c>
      <c r="J226">
        <f>IF(225&lt;=COUNTA($L$2:$L$201),INDEX($L$2:$L$201,225),IFERROR(INDEX(表單!$A$2:$A$301,MATCH(225-COUNTA($L$2:$L$201),$H$2:$H$301,0)),""))</f>
        <v/>
      </c>
    </row>
    <row r="227">
      <c r="A227" s="15">
        <f>IF($J227="","",$J227)</f>
        <v/>
      </c>
      <c r="B227" s="15">
        <f>IF($A227="","",IF(ISNUMBER(MATCH($A227,表單!$A$2:$A$301,0)),INDEX(表單!$B$2:$B$301,MATCH($A227,表單!$A$2:$A$301,0)),IFERROR(INDEX($M$2:$M$201,MATCH($A227,$L$2:$L$201,0)),"")))</f>
        <v/>
      </c>
      <c r="C227" s="15">
        <f>IF($A227="","",IF(ISNUMBER(MATCH($A227,表單!$A$2:$A$301,0)),IF(TRIM(INDEX(表單!$D$2:$D$301,MATCH($A227,表單!$A$2:$A$301,0)))="","（分項工程層）",INDEX(表單!$D$2:$D$301,MATCH($A227,表單!$A$2:$A$301,0))),IFERROR(INDEX($N$2:$N$201,MATCH($A227,$L$2:$L$201,0)),"")))</f>
        <v/>
      </c>
      <c r="D227" s="15">
        <f>IF($A227="","",IF(ISNUMBER(MATCH($A227,表單!$A$2:$A$301,0)),"線上表單",IFERROR(INDEX($O$2:$O$201,MATCH($A227,$L$2:$L$201,0)),"")))</f>
        <v/>
      </c>
      <c r="E227" s="15">
        <f>IF($A227="","",IF(ISNUMBER(MATCH($A227,表單!$A$2:$A$301,0)),"本檔","系統"))</f>
        <v/>
      </c>
      <c r="H227">
        <f>IF(AND(表單!$C227="自主檢查表",表單!$A227&lt;&gt;"",COUNTIF($L$2:$L$201,表單!$A227)=0),COUNT($H$1:H226)+1,"")</f>
        <v/>
      </c>
      <c r="J227">
        <f>IF(226&lt;=COUNTA($L$2:$L$201),INDEX($L$2:$L$201,226),IFERROR(INDEX(表單!$A$2:$A$301,MATCH(226-COUNTA($L$2:$L$201),$H$2:$H$301,0)),""))</f>
        <v/>
      </c>
    </row>
    <row r="228">
      <c r="A228" s="15">
        <f>IF($J228="","",$J228)</f>
        <v/>
      </c>
      <c r="B228" s="15">
        <f>IF($A228="","",IF(ISNUMBER(MATCH($A228,表單!$A$2:$A$301,0)),INDEX(表單!$B$2:$B$301,MATCH($A228,表單!$A$2:$A$301,0)),IFERROR(INDEX($M$2:$M$201,MATCH($A228,$L$2:$L$201,0)),"")))</f>
        <v/>
      </c>
      <c r="C228" s="15">
        <f>IF($A228="","",IF(ISNUMBER(MATCH($A228,表單!$A$2:$A$301,0)),IF(TRIM(INDEX(表單!$D$2:$D$301,MATCH($A228,表單!$A$2:$A$301,0)))="","（分項工程層）",INDEX(表單!$D$2:$D$301,MATCH($A228,表單!$A$2:$A$301,0))),IFERROR(INDEX($N$2:$N$201,MATCH($A228,$L$2:$L$201,0)),"")))</f>
        <v/>
      </c>
      <c r="D228" s="15">
        <f>IF($A228="","",IF(ISNUMBER(MATCH($A228,表單!$A$2:$A$301,0)),"線上表單",IFERROR(INDEX($O$2:$O$201,MATCH($A228,$L$2:$L$201,0)),"")))</f>
        <v/>
      </c>
      <c r="E228" s="15">
        <f>IF($A228="","",IF(ISNUMBER(MATCH($A228,表單!$A$2:$A$301,0)),"本檔","系統"))</f>
        <v/>
      </c>
      <c r="H228">
        <f>IF(AND(表單!$C228="自主檢查表",表單!$A228&lt;&gt;"",COUNTIF($L$2:$L$201,表單!$A228)=0),COUNT($H$1:H227)+1,"")</f>
        <v/>
      </c>
      <c r="J228">
        <f>IF(227&lt;=COUNTA($L$2:$L$201),INDEX($L$2:$L$201,227),IFERROR(INDEX(表單!$A$2:$A$301,MATCH(227-COUNTA($L$2:$L$201),$H$2:$H$301,0)),""))</f>
        <v/>
      </c>
    </row>
    <row r="229">
      <c r="A229" s="15">
        <f>IF($J229="","",$J229)</f>
        <v/>
      </c>
      <c r="B229" s="15">
        <f>IF($A229="","",IF(ISNUMBER(MATCH($A229,表單!$A$2:$A$301,0)),INDEX(表單!$B$2:$B$301,MATCH($A229,表單!$A$2:$A$301,0)),IFERROR(INDEX($M$2:$M$201,MATCH($A229,$L$2:$L$201,0)),"")))</f>
        <v/>
      </c>
      <c r="C229" s="15">
        <f>IF($A229="","",IF(ISNUMBER(MATCH($A229,表單!$A$2:$A$301,0)),IF(TRIM(INDEX(表單!$D$2:$D$301,MATCH($A229,表單!$A$2:$A$301,0)))="","（分項工程層）",INDEX(表單!$D$2:$D$301,MATCH($A229,表單!$A$2:$A$301,0))),IFERROR(INDEX($N$2:$N$201,MATCH($A229,$L$2:$L$201,0)),"")))</f>
        <v/>
      </c>
      <c r="D229" s="15">
        <f>IF($A229="","",IF(ISNUMBER(MATCH($A229,表單!$A$2:$A$301,0)),"線上表單",IFERROR(INDEX($O$2:$O$201,MATCH($A229,$L$2:$L$201,0)),"")))</f>
        <v/>
      </c>
      <c r="E229" s="15">
        <f>IF($A229="","",IF(ISNUMBER(MATCH($A229,表單!$A$2:$A$301,0)),"本檔","系統"))</f>
        <v/>
      </c>
      <c r="H229">
        <f>IF(AND(表單!$C229="自主檢查表",表單!$A229&lt;&gt;"",COUNTIF($L$2:$L$201,表單!$A229)=0),COUNT($H$1:H228)+1,"")</f>
        <v/>
      </c>
      <c r="J229">
        <f>IF(228&lt;=COUNTA($L$2:$L$201),INDEX($L$2:$L$201,228),IFERROR(INDEX(表單!$A$2:$A$301,MATCH(228-COUNTA($L$2:$L$201),$H$2:$H$301,0)),""))</f>
        <v/>
      </c>
    </row>
    <row r="230">
      <c r="A230" s="15">
        <f>IF($J230="","",$J230)</f>
        <v/>
      </c>
      <c r="B230" s="15">
        <f>IF($A230="","",IF(ISNUMBER(MATCH($A230,表單!$A$2:$A$301,0)),INDEX(表單!$B$2:$B$301,MATCH($A230,表單!$A$2:$A$301,0)),IFERROR(INDEX($M$2:$M$201,MATCH($A230,$L$2:$L$201,0)),"")))</f>
        <v/>
      </c>
      <c r="C230" s="15">
        <f>IF($A230="","",IF(ISNUMBER(MATCH($A230,表單!$A$2:$A$301,0)),IF(TRIM(INDEX(表單!$D$2:$D$301,MATCH($A230,表單!$A$2:$A$301,0)))="","（分項工程層）",INDEX(表單!$D$2:$D$301,MATCH($A230,表單!$A$2:$A$301,0))),IFERROR(INDEX($N$2:$N$201,MATCH($A230,$L$2:$L$201,0)),"")))</f>
        <v/>
      </c>
      <c r="D230" s="15">
        <f>IF($A230="","",IF(ISNUMBER(MATCH($A230,表單!$A$2:$A$301,0)),"線上表單",IFERROR(INDEX($O$2:$O$201,MATCH($A230,$L$2:$L$201,0)),"")))</f>
        <v/>
      </c>
      <c r="E230" s="15">
        <f>IF($A230="","",IF(ISNUMBER(MATCH($A230,表單!$A$2:$A$301,0)),"本檔","系統"))</f>
        <v/>
      </c>
      <c r="H230">
        <f>IF(AND(表單!$C230="自主檢查表",表單!$A230&lt;&gt;"",COUNTIF($L$2:$L$201,表單!$A230)=0),COUNT($H$1:H229)+1,"")</f>
        <v/>
      </c>
      <c r="J230">
        <f>IF(229&lt;=COUNTA($L$2:$L$201),INDEX($L$2:$L$201,229),IFERROR(INDEX(表單!$A$2:$A$301,MATCH(229-COUNTA($L$2:$L$201),$H$2:$H$301,0)),""))</f>
        <v/>
      </c>
    </row>
    <row r="231">
      <c r="A231" s="15">
        <f>IF($J231="","",$J231)</f>
        <v/>
      </c>
      <c r="B231" s="15">
        <f>IF($A231="","",IF(ISNUMBER(MATCH($A231,表單!$A$2:$A$301,0)),INDEX(表單!$B$2:$B$301,MATCH($A231,表單!$A$2:$A$301,0)),IFERROR(INDEX($M$2:$M$201,MATCH($A231,$L$2:$L$201,0)),"")))</f>
        <v/>
      </c>
      <c r="C231" s="15">
        <f>IF($A231="","",IF(ISNUMBER(MATCH($A231,表單!$A$2:$A$301,0)),IF(TRIM(INDEX(表單!$D$2:$D$301,MATCH($A231,表單!$A$2:$A$301,0)))="","（分項工程層）",INDEX(表單!$D$2:$D$301,MATCH($A231,表單!$A$2:$A$301,0))),IFERROR(INDEX($N$2:$N$201,MATCH($A231,$L$2:$L$201,0)),"")))</f>
        <v/>
      </c>
      <c r="D231" s="15">
        <f>IF($A231="","",IF(ISNUMBER(MATCH($A231,表單!$A$2:$A$301,0)),"線上表單",IFERROR(INDEX($O$2:$O$201,MATCH($A231,$L$2:$L$201,0)),"")))</f>
        <v/>
      </c>
      <c r="E231" s="15">
        <f>IF($A231="","",IF(ISNUMBER(MATCH($A231,表單!$A$2:$A$301,0)),"本檔","系統"))</f>
        <v/>
      </c>
      <c r="H231">
        <f>IF(AND(表單!$C231="自主檢查表",表單!$A231&lt;&gt;"",COUNTIF($L$2:$L$201,表單!$A231)=0),COUNT($H$1:H230)+1,"")</f>
        <v/>
      </c>
      <c r="J231">
        <f>IF(230&lt;=COUNTA($L$2:$L$201),INDEX($L$2:$L$201,230),IFERROR(INDEX(表單!$A$2:$A$301,MATCH(230-COUNTA($L$2:$L$201),$H$2:$H$301,0)),""))</f>
        <v/>
      </c>
    </row>
    <row r="232">
      <c r="A232" s="15">
        <f>IF($J232="","",$J232)</f>
        <v/>
      </c>
      <c r="B232" s="15">
        <f>IF($A232="","",IF(ISNUMBER(MATCH($A232,表單!$A$2:$A$301,0)),INDEX(表單!$B$2:$B$301,MATCH($A232,表單!$A$2:$A$301,0)),IFERROR(INDEX($M$2:$M$201,MATCH($A232,$L$2:$L$201,0)),"")))</f>
        <v/>
      </c>
      <c r="C232" s="15">
        <f>IF($A232="","",IF(ISNUMBER(MATCH($A232,表單!$A$2:$A$301,0)),IF(TRIM(INDEX(表單!$D$2:$D$301,MATCH($A232,表單!$A$2:$A$301,0)))="","（分項工程層）",INDEX(表單!$D$2:$D$301,MATCH($A232,表單!$A$2:$A$301,0))),IFERROR(INDEX($N$2:$N$201,MATCH($A232,$L$2:$L$201,0)),"")))</f>
        <v/>
      </c>
      <c r="D232" s="15">
        <f>IF($A232="","",IF(ISNUMBER(MATCH($A232,表單!$A$2:$A$301,0)),"線上表單",IFERROR(INDEX($O$2:$O$201,MATCH($A232,$L$2:$L$201,0)),"")))</f>
        <v/>
      </c>
      <c r="E232" s="15">
        <f>IF($A232="","",IF(ISNUMBER(MATCH($A232,表單!$A$2:$A$301,0)),"本檔","系統"))</f>
        <v/>
      </c>
      <c r="H232">
        <f>IF(AND(表單!$C232="自主檢查表",表單!$A232&lt;&gt;"",COUNTIF($L$2:$L$201,表單!$A232)=0),COUNT($H$1:H231)+1,"")</f>
        <v/>
      </c>
      <c r="J232">
        <f>IF(231&lt;=COUNTA($L$2:$L$201),INDEX($L$2:$L$201,231),IFERROR(INDEX(表單!$A$2:$A$301,MATCH(231-COUNTA($L$2:$L$201),$H$2:$H$301,0)),""))</f>
        <v/>
      </c>
    </row>
    <row r="233">
      <c r="A233" s="15">
        <f>IF($J233="","",$J233)</f>
        <v/>
      </c>
      <c r="B233" s="15">
        <f>IF($A233="","",IF(ISNUMBER(MATCH($A233,表單!$A$2:$A$301,0)),INDEX(表單!$B$2:$B$301,MATCH($A233,表單!$A$2:$A$301,0)),IFERROR(INDEX($M$2:$M$201,MATCH($A233,$L$2:$L$201,0)),"")))</f>
        <v/>
      </c>
      <c r="C233" s="15">
        <f>IF($A233="","",IF(ISNUMBER(MATCH($A233,表單!$A$2:$A$301,0)),IF(TRIM(INDEX(表單!$D$2:$D$301,MATCH($A233,表單!$A$2:$A$301,0)))="","（分項工程層）",INDEX(表單!$D$2:$D$301,MATCH($A233,表單!$A$2:$A$301,0))),IFERROR(INDEX($N$2:$N$201,MATCH($A233,$L$2:$L$201,0)),"")))</f>
        <v/>
      </c>
      <c r="D233" s="15">
        <f>IF($A233="","",IF(ISNUMBER(MATCH($A233,表單!$A$2:$A$301,0)),"線上表單",IFERROR(INDEX($O$2:$O$201,MATCH($A233,$L$2:$L$201,0)),"")))</f>
        <v/>
      </c>
      <c r="E233" s="15">
        <f>IF($A233="","",IF(ISNUMBER(MATCH($A233,表單!$A$2:$A$301,0)),"本檔","系統"))</f>
        <v/>
      </c>
      <c r="H233">
        <f>IF(AND(表單!$C233="自主檢查表",表單!$A233&lt;&gt;"",COUNTIF($L$2:$L$201,表單!$A233)=0),COUNT($H$1:H232)+1,"")</f>
        <v/>
      </c>
      <c r="J233">
        <f>IF(232&lt;=COUNTA($L$2:$L$201),INDEX($L$2:$L$201,232),IFERROR(INDEX(表單!$A$2:$A$301,MATCH(232-COUNTA($L$2:$L$201),$H$2:$H$301,0)),""))</f>
        <v/>
      </c>
    </row>
    <row r="234">
      <c r="A234" s="15">
        <f>IF($J234="","",$J234)</f>
        <v/>
      </c>
      <c r="B234" s="15">
        <f>IF($A234="","",IF(ISNUMBER(MATCH($A234,表單!$A$2:$A$301,0)),INDEX(表單!$B$2:$B$301,MATCH($A234,表單!$A$2:$A$301,0)),IFERROR(INDEX($M$2:$M$201,MATCH($A234,$L$2:$L$201,0)),"")))</f>
        <v/>
      </c>
      <c r="C234" s="15">
        <f>IF($A234="","",IF(ISNUMBER(MATCH($A234,表單!$A$2:$A$301,0)),IF(TRIM(INDEX(表單!$D$2:$D$301,MATCH($A234,表單!$A$2:$A$301,0)))="","（分項工程層）",INDEX(表單!$D$2:$D$301,MATCH($A234,表單!$A$2:$A$301,0))),IFERROR(INDEX($N$2:$N$201,MATCH($A234,$L$2:$L$201,0)),"")))</f>
        <v/>
      </c>
      <c r="D234" s="15">
        <f>IF($A234="","",IF(ISNUMBER(MATCH($A234,表單!$A$2:$A$301,0)),"線上表單",IFERROR(INDEX($O$2:$O$201,MATCH($A234,$L$2:$L$201,0)),"")))</f>
        <v/>
      </c>
      <c r="E234" s="15">
        <f>IF($A234="","",IF(ISNUMBER(MATCH($A234,表單!$A$2:$A$301,0)),"本檔","系統"))</f>
        <v/>
      </c>
      <c r="H234">
        <f>IF(AND(表單!$C234="自主檢查表",表單!$A234&lt;&gt;"",COUNTIF($L$2:$L$201,表單!$A234)=0),COUNT($H$1:H233)+1,"")</f>
        <v/>
      </c>
      <c r="J234">
        <f>IF(233&lt;=COUNTA($L$2:$L$201),INDEX($L$2:$L$201,233),IFERROR(INDEX(表單!$A$2:$A$301,MATCH(233-COUNTA($L$2:$L$201),$H$2:$H$301,0)),""))</f>
        <v/>
      </c>
    </row>
    <row r="235">
      <c r="A235" s="15">
        <f>IF($J235="","",$J235)</f>
        <v/>
      </c>
      <c r="B235" s="15">
        <f>IF($A235="","",IF(ISNUMBER(MATCH($A235,表單!$A$2:$A$301,0)),INDEX(表單!$B$2:$B$301,MATCH($A235,表單!$A$2:$A$301,0)),IFERROR(INDEX($M$2:$M$201,MATCH($A235,$L$2:$L$201,0)),"")))</f>
        <v/>
      </c>
      <c r="C235" s="15">
        <f>IF($A235="","",IF(ISNUMBER(MATCH($A235,表單!$A$2:$A$301,0)),IF(TRIM(INDEX(表單!$D$2:$D$301,MATCH($A235,表單!$A$2:$A$301,0)))="","（分項工程層）",INDEX(表單!$D$2:$D$301,MATCH($A235,表單!$A$2:$A$301,0))),IFERROR(INDEX($N$2:$N$201,MATCH($A235,$L$2:$L$201,0)),"")))</f>
        <v/>
      </c>
      <c r="D235" s="15">
        <f>IF($A235="","",IF(ISNUMBER(MATCH($A235,表單!$A$2:$A$301,0)),"線上表單",IFERROR(INDEX($O$2:$O$201,MATCH($A235,$L$2:$L$201,0)),"")))</f>
        <v/>
      </c>
      <c r="E235" s="15">
        <f>IF($A235="","",IF(ISNUMBER(MATCH($A235,表單!$A$2:$A$301,0)),"本檔","系統"))</f>
        <v/>
      </c>
      <c r="H235">
        <f>IF(AND(表單!$C235="自主檢查表",表單!$A235&lt;&gt;"",COUNTIF($L$2:$L$201,表單!$A235)=0),COUNT($H$1:H234)+1,"")</f>
        <v/>
      </c>
      <c r="J235">
        <f>IF(234&lt;=COUNTA($L$2:$L$201),INDEX($L$2:$L$201,234),IFERROR(INDEX(表單!$A$2:$A$301,MATCH(234-COUNTA($L$2:$L$201),$H$2:$H$301,0)),""))</f>
        <v/>
      </c>
    </row>
    <row r="236">
      <c r="A236" s="15">
        <f>IF($J236="","",$J236)</f>
        <v/>
      </c>
      <c r="B236" s="15">
        <f>IF($A236="","",IF(ISNUMBER(MATCH($A236,表單!$A$2:$A$301,0)),INDEX(表單!$B$2:$B$301,MATCH($A236,表單!$A$2:$A$301,0)),IFERROR(INDEX($M$2:$M$201,MATCH($A236,$L$2:$L$201,0)),"")))</f>
        <v/>
      </c>
      <c r="C236" s="15">
        <f>IF($A236="","",IF(ISNUMBER(MATCH($A236,表單!$A$2:$A$301,0)),IF(TRIM(INDEX(表單!$D$2:$D$301,MATCH($A236,表單!$A$2:$A$301,0)))="","（分項工程層）",INDEX(表單!$D$2:$D$301,MATCH($A236,表單!$A$2:$A$301,0))),IFERROR(INDEX($N$2:$N$201,MATCH($A236,$L$2:$L$201,0)),"")))</f>
        <v/>
      </c>
      <c r="D236" s="15">
        <f>IF($A236="","",IF(ISNUMBER(MATCH($A236,表單!$A$2:$A$301,0)),"線上表單",IFERROR(INDEX($O$2:$O$201,MATCH($A236,$L$2:$L$201,0)),"")))</f>
        <v/>
      </c>
      <c r="E236" s="15">
        <f>IF($A236="","",IF(ISNUMBER(MATCH($A236,表單!$A$2:$A$301,0)),"本檔","系統"))</f>
        <v/>
      </c>
      <c r="H236">
        <f>IF(AND(表單!$C236="自主檢查表",表單!$A236&lt;&gt;"",COUNTIF($L$2:$L$201,表單!$A236)=0),COUNT($H$1:H235)+1,"")</f>
        <v/>
      </c>
      <c r="J236">
        <f>IF(235&lt;=COUNTA($L$2:$L$201),INDEX($L$2:$L$201,235),IFERROR(INDEX(表單!$A$2:$A$301,MATCH(235-COUNTA($L$2:$L$201),$H$2:$H$301,0)),""))</f>
        <v/>
      </c>
    </row>
    <row r="237">
      <c r="A237" s="15">
        <f>IF($J237="","",$J237)</f>
        <v/>
      </c>
      <c r="B237" s="15">
        <f>IF($A237="","",IF(ISNUMBER(MATCH($A237,表單!$A$2:$A$301,0)),INDEX(表單!$B$2:$B$301,MATCH($A237,表單!$A$2:$A$301,0)),IFERROR(INDEX($M$2:$M$201,MATCH($A237,$L$2:$L$201,0)),"")))</f>
        <v/>
      </c>
      <c r="C237" s="15">
        <f>IF($A237="","",IF(ISNUMBER(MATCH($A237,表單!$A$2:$A$301,0)),IF(TRIM(INDEX(表單!$D$2:$D$301,MATCH($A237,表單!$A$2:$A$301,0)))="","（分項工程層）",INDEX(表單!$D$2:$D$301,MATCH($A237,表單!$A$2:$A$301,0))),IFERROR(INDEX($N$2:$N$201,MATCH($A237,$L$2:$L$201,0)),"")))</f>
        <v/>
      </c>
      <c r="D237" s="15">
        <f>IF($A237="","",IF(ISNUMBER(MATCH($A237,表單!$A$2:$A$301,0)),"線上表單",IFERROR(INDEX($O$2:$O$201,MATCH($A237,$L$2:$L$201,0)),"")))</f>
        <v/>
      </c>
      <c r="E237" s="15">
        <f>IF($A237="","",IF(ISNUMBER(MATCH($A237,表單!$A$2:$A$301,0)),"本檔","系統"))</f>
        <v/>
      </c>
      <c r="H237">
        <f>IF(AND(表單!$C237="自主檢查表",表單!$A237&lt;&gt;"",COUNTIF($L$2:$L$201,表單!$A237)=0),COUNT($H$1:H236)+1,"")</f>
        <v/>
      </c>
      <c r="J237">
        <f>IF(236&lt;=COUNTA($L$2:$L$201),INDEX($L$2:$L$201,236),IFERROR(INDEX(表單!$A$2:$A$301,MATCH(236-COUNTA($L$2:$L$201),$H$2:$H$301,0)),""))</f>
        <v/>
      </c>
    </row>
    <row r="238">
      <c r="A238" s="15">
        <f>IF($J238="","",$J238)</f>
        <v/>
      </c>
      <c r="B238" s="15">
        <f>IF($A238="","",IF(ISNUMBER(MATCH($A238,表單!$A$2:$A$301,0)),INDEX(表單!$B$2:$B$301,MATCH($A238,表單!$A$2:$A$301,0)),IFERROR(INDEX($M$2:$M$201,MATCH($A238,$L$2:$L$201,0)),"")))</f>
        <v/>
      </c>
      <c r="C238" s="15">
        <f>IF($A238="","",IF(ISNUMBER(MATCH($A238,表單!$A$2:$A$301,0)),IF(TRIM(INDEX(表單!$D$2:$D$301,MATCH($A238,表單!$A$2:$A$301,0)))="","（分項工程層）",INDEX(表單!$D$2:$D$301,MATCH($A238,表單!$A$2:$A$301,0))),IFERROR(INDEX($N$2:$N$201,MATCH($A238,$L$2:$L$201,0)),"")))</f>
        <v/>
      </c>
      <c r="D238" s="15">
        <f>IF($A238="","",IF(ISNUMBER(MATCH($A238,表單!$A$2:$A$301,0)),"線上表單",IFERROR(INDEX($O$2:$O$201,MATCH($A238,$L$2:$L$201,0)),"")))</f>
        <v/>
      </c>
      <c r="E238" s="15">
        <f>IF($A238="","",IF(ISNUMBER(MATCH($A238,表單!$A$2:$A$301,0)),"本檔","系統"))</f>
        <v/>
      </c>
      <c r="H238">
        <f>IF(AND(表單!$C238="自主檢查表",表單!$A238&lt;&gt;"",COUNTIF($L$2:$L$201,表單!$A238)=0),COUNT($H$1:H237)+1,"")</f>
        <v/>
      </c>
      <c r="J238">
        <f>IF(237&lt;=COUNTA($L$2:$L$201),INDEX($L$2:$L$201,237),IFERROR(INDEX(表單!$A$2:$A$301,MATCH(237-COUNTA($L$2:$L$201),$H$2:$H$301,0)),""))</f>
        <v/>
      </c>
    </row>
    <row r="239">
      <c r="A239" s="15">
        <f>IF($J239="","",$J239)</f>
        <v/>
      </c>
      <c r="B239" s="15">
        <f>IF($A239="","",IF(ISNUMBER(MATCH($A239,表單!$A$2:$A$301,0)),INDEX(表單!$B$2:$B$301,MATCH($A239,表單!$A$2:$A$301,0)),IFERROR(INDEX($M$2:$M$201,MATCH($A239,$L$2:$L$201,0)),"")))</f>
        <v/>
      </c>
      <c r="C239" s="15">
        <f>IF($A239="","",IF(ISNUMBER(MATCH($A239,表單!$A$2:$A$301,0)),IF(TRIM(INDEX(表單!$D$2:$D$301,MATCH($A239,表單!$A$2:$A$301,0)))="","（分項工程層）",INDEX(表單!$D$2:$D$301,MATCH($A239,表單!$A$2:$A$301,0))),IFERROR(INDEX($N$2:$N$201,MATCH($A239,$L$2:$L$201,0)),"")))</f>
        <v/>
      </c>
      <c r="D239" s="15">
        <f>IF($A239="","",IF(ISNUMBER(MATCH($A239,表單!$A$2:$A$301,0)),"線上表單",IFERROR(INDEX($O$2:$O$201,MATCH($A239,$L$2:$L$201,0)),"")))</f>
        <v/>
      </c>
      <c r="E239" s="15">
        <f>IF($A239="","",IF(ISNUMBER(MATCH($A239,表單!$A$2:$A$301,0)),"本檔","系統"))</f>
        <v/>
      </c>
      <c r="H239">
        <f>IF(AND(表單!$C239="自主檢查表",表單!$A239&lt;&gt;"",COUNTIF($L$2:$L$201,表單!$A239)=0),COUNT($H$1:H238)+1,"")</f>
        <v/>
      </c>
      <c r="J239">
        <f>IF(238&lt;=COUNTA($L$2:$L$201),INDEX($L$2:$L$201,238),IFERROR(INDEX(表單!$A$2:$A$301,MATCH(238-COUNTA($L$2:$L$201),$H$2:$H$301,0)),""))</f>
        <v/>
      </c>
    </row>
    <row r="240">
      <c r="A240" s="15">
        <f>IF($J240="","",$J240)</f>
        <v/>
      </c>
      <c r="B240" s="15">
        <f>IF($A240="","",IF(ISNUMBER(MATCH($A240,表單!$A$2:$A$301,0)),INDEX(表單!$B$2:$B$301,MATCH($A240,表單!$A$2:$A$301,0)),IFERROR(INDEX($M$2:$M$201,MATCH($A240,$L$2:$L$201,0)),"")))</f>
        <v/>
      </c>
      <c r="C240" s="15">
        <f>IF($A240="","",IF(ISNUMBER(MATCH($A240,表單!$A$2:$A$301,0)),IF(TRIM(INDEX(表單!$D$2:$D$301,MATCH($A240,表單!$A$2:$A$301,0)))="","（分項工程層）",INDEX(表單!$D$2:$D$301,MATCH($A240,表單!$A$2:$A$301,0))),IFERROR(INDEX($N$2:$N$201,MATCH($A240,$L$2:$L$201,0)),"")))</f>
        <v/>
      </c>
      <c r="D240" s="15">
        <f>IF($A240="","",IF(ISNUMBER(MATCH($A240,表單!$A$2:$A$301,0)),"線上表單",IFERROR(INDEX($O$2:$O$201,MATCH($A240,$L$2:$L$201,0)),"")))</f>
        <v/>
      </c>
      <c r="E240" s="15">
        <f>IF($A240="","",IF(ISNUMBER(MATCH($A240,表單!$A$2:$A$301,0)),"本檔","系統"))</f>
        <v/>
      </c>
      <c r="H240">
        <f>IF(AND(表單!$C240="自主檢查表",表單!$A240&lt;&gt;"",COUNTIF($L$2:$L$201,表單!$A240)=0),COUNT($H$1:H239)+1,"")</f>
        <v/>
      </c>
      <c r="J240">
        <f>IF(239&lt;=COUNTA($L$2:$L$201),INDEX($L$2:$L$201,239),IFERROR(INDEX(表單!$A$2:$A$301,MATCH(239-COUNTA($L$2:$L$201),$H$2:$H$301,0)),""))</f>
        <v/>
      </c>
    </row>
    <row r="241">
      <c r="A241" s="15">
        <f>IF($J241="","",$J241)</f>
        <v/>
      </c>
      <c r="B241" s="15">
        <f>IF($A241="","",IF(ISNUMBER(MATCH($A241,表單!$A$2:$A$301,0)),INDEX(表單!$B$2:$B$301,MATCH($A241,表單!$A$2:$A$301,0)),IFERROR(INDEX($M$2:$M$201,MATCH($A241,$L$2:$L$201,0)),"")))</f>
        <v/>
      </c>
      <c r="C241" s="15">
        <f>IF($A241="","",IF(ISNUMBER(MATCH($A241,表單!$A$2:$A$301,0)),IF(TRIM(INDEX(表單!$D$2:$D$301,MATCH($A241,表單!$A$2:$A$301,0)))="","（分項工程層）",INDEX(表單!$D$2:$D$301,MATCH($A241,表單!$A$2:$A$301,0))),IFERROR(INDEX($N$2:$N$201,MATCH($A241,$L$2:$L$201,0)),"")))</f>
        <v/>
      </c>
      <c r="D241" s="15">
        <f>IF($A241="","",IF(ISNUMBER(MATCH($A241,表單!$A$2:$A$301,0)),"線上表單",IFERROR(INDEX($O$2:$O$201,MATCH($A241,$L$2:$L$201,0)),"")))</f>
        <v/>
      </c>
      <c r="E241" s="15">
        <f>IF($A241="","",IF(ISNUMBER(MATCH($A241,表單!$A$2:$A$301,0)),"本檔","系統"))</f>
        <v/>
      </c>
      <c r="H241">
        <f>IF(AND(表單!$C241="自主檢查表",表單!$A241&lt;&gt;"",COUNTIF($L$2:$L$201,表單!$A241)=0),COUNT($H$1:H240)+1,"")</f>
        <v/>
      </c>
      <c r="J241">
        <f>IF(240&lt;=COUNTA($L$2:$L$201),INDEX($L$2:$L$201,240),IFERROR(INDEX(表單!$A$2:$A$301,MATCH(240-COUNTA($L$2:$L$201),$H$2:$H$301,0)),""))</f>
        <v/>
      </c>
    </row>
    <row r="242">
      <c r="A242" s="15">
        <f>IF($J242="","",$J242)</f>
        <v/>
      </c>
      <c r="B242" s="15">
        <f>IF($A242="","",IF(ISNUMBER(MATCH($A242,表單!$A$2:$A$301,0)),INDEX(表單!$B$2:$B$301,MATCH($A242,表單!$A$2:$A$301,0)),IFERROR(INDEX($M$2:$M$201,MATCH($A242,$L$2:$L$201,0)),"")))</f>
        <v/>
      </c>
      <c r="C242" s="15">
        <f>IF($A242="","",IF(ISNUMBER(MATCH($A242,表單!$A$2:$A$301,0)),IF(TRIM(INDEX(表單!$D$2:$D$301,MATCH($A242,表單!$A$2:$A$301,0)))="","（分項工程層）",INDEX(表單!$D$2:$D$301,MATCH($A242,表單!$A$2:$A$301,0))),IFERROR(INDEX($N$2:$N$201,MATCH($A242,$L$2:$L$201,0)),"")))</f>
        <v/>
      </c>
      <c r="D242" s="15">
        <f>IF($A242="","",IF(ISNUMBER(MATCH($A242,表單!$A$2:$A$301,0)),"線上表單",IFERROR(INDEX($O$2:$O$201,MATCH($A242,$L$2:$L$201,0)),"")))</f>
        <v/>
      </c>
      <c r="E242" s="15">
        <f>IF($A242="","",IF(ISNUMBER(MATCH($A242,表單!$A$2:$A$301,0)),"本檔","系統"))</f>
        <v/>
      </c>
      <c r="H242">
        <f>IF(AND(表單!$C242="自主檢查表",表單!$A242&lt;&gt;"",COUNTIF($L$2:$L$201,表單!$A242)=0),COUNT($H$1:H241)+1,"")</f>
        <v/>
      </c>
      <c r="J242">
        <f>IF(241&lt;=COUNTA($L$2:$L$201),INDEX($L$2:$L$201,241),IFERROR(INDEX(表單!$A$2:$A$301,MATCH(241-COUNTA($L$2:$L$201),$H$2:$H$301,0)),""))</f>
        <v/>
      </c>
    </row>
    <row r="243">
      <c r="A243" s="15">
        <f>IF($J243="","",$J243)</f>
        <v/>
      </c>
      <c r="B243" s="15">
        <f>IF($A243="","",IF(ISNUMBER(MATCH($A243,表單!$A$2:$A$301,0)),INDEX(表單!$B$2:$B$301,MATCH($A243,表單!$A$2:$A$301,0)),IFERROR(INDEX($M$2:$M$201,MATCH($A243,$L$2:$L$201,0)),"")))</f>
        <v/>
      </c>
      <c r="C243" s="15">
        <f>IF($A243="","",IF(ISNUMBER(MATCH($A243,表單!$A$2:$A$301,0)),IF(TRIM(INDEX(表單!$D$2:$D$301,MATCH($A243,表單!$A$2:$A$301,0)))="","（分項工程層）",INDEX(表單!$D$2:$D$301,MATCH($A243,表單!$A$2:$A$301,0))),IFERROR(INDEX($N$2:$N$201,MATCH($A243,$L$2:$L$201,0)),"")))</f>
        <v/>
      </c>
      <c r="D243" s="15">
        <f>IF($A243="","",IF(ISNUMBER(MATCH($A243,表單!$A$2:$A$301,0)),"線上表單",IFERROR(INDEX($O$2:$O$201,MATCH($A243,$L$2:$L$201,0)),"")))</f>
        <v/>
      </c>
      <c r="E243" s="15">
        <f>IF($A243="","",IF(ISNUMBER(MATCH($A243,表單!$A$2:$A$301,0)),"本檔","系統"))</f>
        <v/>
      </c>
      <c r="H243">
        <f>IF(AND(表單!$C243="自主檢查表",表單!$A243&lt;&gt;"",COUNTIF($L$2:$L$201,表單!$A243)=0),COUNT($H$1:H242)+1,"")</f>
        <v/>
      </c>
      <c r="J243">
        <f>IF(242&lt;=COUNTA($L$2:$L$201),INDEX($L$2:$L$201,242),IFERROR(INDEX(表單!$A$2:$A$301,MATCH(242-COUNTA($L$2:$L$201),$H$2:$H$301,0)),""))</f>
        <v/>
      </c>
    </row>
    <row r="244">
      <c r="A244" s="15">
        <f>IF($J244="","",$J244)</f>
        <v/>
      </c>
      <c r="B244" s="15">
        <f>IF($A244="","",IF(ISNUMBER(MATCH($A244,表單!$A$2:$A$301,0)),INDEX(表單!$B$2:$B$301,MATCH($A244,表單!$A$2:$A$301,0)),IFERROR(INDEX($M$2:$M$201,MATCH($A244,$L$2:$L$201,0)),"")))</f>
        <v/>
      </c>
      <c r="C244" s="15">
        <f>IF($A244="","",IF(ISNUMBER(MATCH($A244,表單!$A$2:$A$301,0)),IF(TRIM(INDEX(表單!$D$2:$D$301,MATCH($A244,表單!$A$2:$A$301,0)))="","（分項工程層）",INDEX(表單!$D$2:$D$301,MATCH($A244,表單!$A$2:$A$301,0))),IFERROR(INDEX($N$2:$N$201,MATCH($A244,$L$2:$L$201,0)),"")))</f>
        <v/>
      </c>
      <c r="D244" s="15">
        <f>IF($A244="","",IF(ISNUMBER(MATCH($A244,表單!$A$2:$A$301,0)),"線上表單",IFERROR(INDEX($O$2:$O$201,MATCH($A244,$L$2:$L$201,0)),"")))</f>
        <v/>
      </c>
      <c r="E244" s="15">
        <f>IF($A244="","",IF(ISNUMBER(MATCH($A244,表單!$A$2:$A$301,0)),"本檔","系統"))</f>
        <v/>
      </c>
      <c r="H244">
        <f>IF(AND(表單!$C244="自主檢查表",表單!$A244&lt;&gt;"",COUNTIF($L$2:$L$201,表單!$A244)=0),COUNT($H$1:H243)+1,"")</f>
        <v/>
      </c>
      <c r="J244">
        <f>IF(243&lt;=COUNTA($L$2:$L$201),INDEX($L$2:$L$201,243),IFERROR(INDEX(表單!$A$2:$A$301,MATCH(243-COUNTA($L$2:$L$201),$H$2:$H$301,0)),""))</f>
        <v/>
      </c>
    </row>
    <row r="245">
      <c r="A245" s="15">
        <f>IF($J245="","",$J245)</f>
        <v/>
      </c>
      <c r="B245" s="15">
        <f>IF($A245="","",IF(ISNUMBER(MATCH($A245,表單!$A$2:$A$301,0)),INDEX(表單!$B$2:$B$301,MATCH($A245,表單!$A$2:$A$301,0)),IFERROR(INDEX($M$2:$M$201,MATCH($A245,$L$2:$L$201,0)),"")))</f>
        <v/>
      </c>
      <c r="C245" s="15">
        <f>IF($A245="","",IF(ISNUMBER(MATCH($A245,表單!$A$2:$A$301,0)),IF(TRIM(INDEX(表單!$D$2:$D$301,MATCH($A245,表單!$A$2:$A$301,0)))="","（分項工程層）",INDEX(表單!$D$2:$D$301,MATCH($A245,表單!$A$2:$A$301,0))),IFERROR(INDEX($N$2:$N$201,MATCH($A245,$L$2:$L$201,0)),"")))</f>
        <v/>
      </c>
      <c r="D245" s="15">
        <f>IF($A245="","",IF(ISNUMBER(MATCH($A245,表單!$A$2:$A$301,0)),"線上表單",IFERROR(INDEX($O$2:$O$201,MATCH($A245,$L$2:$L$201,0)),"")))</f>
        <v/>
      </c>
      <c r="E245" s="15">
        <f>IF($A245="","",IF(ISNUMBER(MATCH($A245,表單!$A$2:$A$301,0)),"本檔","系統"))</f>
        <v/>
      </c>
      <c r="H245">
        <f>IF(AND(表單!$C245="自主檢查表",表單!$A245&lt;&gt;"",COUNTIF($L$2:$L$201,表單!$A245)=0),COUNT($H$1:H244)+1,"")</f>
        <v/>
      </c>
      <c r="J245">
        <f>IF(244&lt;=COUNTA($L$2:$L$201),INDEX($L$2:$L$201,244),IFERROR(INDEX(表單!$A$2:$A$301,MATCH(244-COUNTA($L$2:$L$201),$H$2:$H$301,0)),""))</f>
        <v/>
      </c>
    </row>
    <row r="246">
      <c r="A246" s="15">
        <f>IF($J246="","",$J246)</f>
        <v/>
      </c>
      <c r="B246" s="15">
        <f>IF($A246="","",IF(ISNUMBER(MATCH($A246,表單!$A$2:$A$301,0)),INDEX(表單!$B$2:$B$301,MATCH($A246,表單!$A$2:$A$301,0)),IFERROR(INDEX($M$2:$M$201,MATCH($A246,$L$2:$L$201,0)),"")))</f>
        <v/>
      </c>
      <c r="C246" s="15">
        <f>IF($A246="","",IF(ISNUMBER(MATCH($A246,表單!$A$2:$A$301,0)),IF(TRIM(INDEX(表單!$D$2:$D$301,MATCH($A246,表單!$A$2:$A$301,0)))="","（分項工程層）",INDEX(表單!$D$2:$D$301,MATCH($A246,表單!$A$2:$A$301,0))),IFERROR(INDEX($N$2:$N$201,MATCH($A246,$L$2:$L$201,0)),"")))</f>
        <v/>
      </c>
      <c r="D246" s="15">
        <f>IF($A246="","",IF(ISNUMBER(MATCH($A246,表單!$A$2:$A$301,0)),"線上表單",IFERROR(INDEX($O$2:$O$201,MATCH($A246,$L$2:$L$201,0)),"")))</f>
        <v/>
      </c>
      <c r="E246" s="15">
        <f>IF($A246="","",IF(ISNUMBER(MATCH($A246,表單!$A$2:$A$301,0)),"本檔","系統"))</f>
        <v/>
      </c>
      <c r="H246">
        <f>IF(AND(表單!$C246="自主檢查表",表單!$A246&lt;&gt;"",COUNTIF($L$2:$L$201,表單!$A246)=0),COUNT($H$1:H245)+1,"")</f>
        <v/>
      </c>
      <c r="J246">
        <f>IF(245&lt;=COUNTA($L$2:$L$201),INDEX($L$2:$L$201,245),IFERROR(INDEX(表單!$A$2:$A$301,MATCH(245-COUNTA($L$2:$L$201),$H$2:$H$301,0)),""))</f>
        <v/>
      </c>
    </row>
    <row r="247">
      <c r="A247" s="15">
        <f>IF($J247="","",$J247)</f>
        <v/>
      </c>
      <c r="B247" s="15">
        <f>IF($A247="","",IF(ISNUMBER(MATCH($A247,表單!$A$2:$A$301,0)),INDEX(表單!$B$2:$B$301,MATCH($A247,表單!$A$2:$A$301,0)),IFERROR(INDEX($M$2:$M$201,MATCH($A247,$L$2:$L$201,0)),"")))</f>
        <v/>
      </c>
      <c r="C247" s="15">
        <f>IF($A247="","",IF(ISNUMBER(MATCH($A247,表單!$A$2:$A$301,0)),IF(TRIM(INDEX(表單!$D$2:$D$301,MATCH($A247,表單!$A$2:$A$301,0)))="","（分項工程層）",INDEX(表單!$D$2:$D$301,MATCH($A247,表單!$A$2:$A$301,0))),IFERROR(INDEX($N$2:$N$201,MATCH($A247,$L$2:$L$201,0)),"")))</f>
        <v/>
      </c>
      <c r="D247" s="15">
        <f>IF($A247="","",IF(ISNUMBER(MATCH($A247,表單!$A$2:$A$301,0)),"線上表單",IFERROR(INDEX($O$2:$O$201,MATCH($A247,$L$2:$L$201,0)),"")))</f>
        <v/>
      </c>
      <c r="E247" s="15">
        <f>IF($A247="","",IF(ISNUMBER(MATCH($A247,表單!$A$2:$A$301,0)),"本檔","系統"))</f>
        <v/>
      </c>
      <c r="H247">
        <f>IF(AND(表單!$C247="自主檢查表",表單!$A247&lt;&gt;"",COUNTIF($L$2:$L$201,表單!$A247)=0),COUNT($H$1:H246)+1,"")</f>
        <v/>
      </c>
      <c r="J247">
        <f>IF(246&lt;=COUNTA($L$2:$L$201),INDEX($L$2:$L$201,246),IFERROR(INDEX(表單!$A$2:$A$301,MATCH(246-COUNTA($L$2:$L$201),$H$2:$H$301,0)),""))</f>
        <v/>
      </c>
    </row>
    <row r="248">
      <c r="A248" s="15">
        <f>IF($J248="","",$J248)</f>
        <v/>
      </c>
      <c r="B248" s="15">
        <f>IF($A248="","",IF(ISNUMBER(MATCH($A248,表單!$A$2:$A$301,0)),INDEX(表單!$B$2:$B$301,MATCH($A248,表單!$A$2:$A$301,0)),IFERROR(INDEX($M$2:$M$201,MATCH($A248,$L$2:$L$201,0)),"")))</f>
        <v/>
      </c>
      <c r="C248" s="15">
        <f>IF($A248="","",IF(ISNUMBER(MATCH($A248,表單!$A$2:$A$301,0)),IF(TRIM(INDEX(表單!$D$2:$D$301,MATCH($A248,表單!$A$2:$A$301,0)))="","（分項工程層）",INDEX(表單!$D$2:$D$301,MATCH($A248,表單!$A$2:$A$301,0))),IFERROR(INDEX($N$2:$N$201,MATCH($A248,$L$2:$L$201,0)),"")))</f>
        <v/>
      </c>
      <c r="D248" s="15">
        <f>IF($A248="","",IF(ISNUMBER(MATCH($A248,表單!$A$2:$A$301,0)),"線上表單",IFERROR(INDEX($O$2:$O$201,MATCH($A248,$L$2:$L$201,0)),"")))</f>
        <v/>
      </c>
      <c r="E248" s="15">
        <f>IF($A248="","",IF(ISNUMBER(MATCH($A248,表單!$A$2:$A$301,0)),"本檔","系統"))</f>
        <v/>
      </c>
      <c r="H248">
        <f>IF(AND(表單!$C248="自主檢查表",表單!$A248&lt;&gt;"",COUNTIF($L$2:$L$201,表單!$A248)=0),COUNT($H$1:H247)+1,"")</f>
        <v/>
      </c>
      <c r="J248">
        <f>IF(247&lt;=COUNTA($L$2:$L$201),INDEX($L$2:$L$201,247),IFERROR(INDEX(表單!$A$2:$A$301,MATCH(247-COUNTA($L$2:$L$201),$H$2:$H$301,0)),""))</f>
        <v/>
      </c>
    </row>
    <row r="249">
      <c r="A249" s="15">
        <f>IF($J249="","",$J249)</f>
        <v/>
      </c>
      <c r="B249" s="15">
        <f>IF($A249="","",IF(ISNUMBER(MATCH($A249,表單!$A$2:$A$301,0)),INDEX(表單!$B$2:$B$301,MATCH($A249,表單!$A$2:$A$301,0)),IFERROR(INDEX($M$2:$M$201,MATCH($A249,$L$2:$L$201,0)),"")))</f>
        <v/>
      </c>
      <c r="C249" s="15">
        <f>IF($A249="","",IF(ISNUMBER(MATCH($A249,表單!$A$2:$A$301,0)),IF(TRIM(INDEX(表單!$D$2:$D$301,MATCH($A249,表單!$A$2:$A$301,0)))="","（分項工程層）",INDEX(表單!$D$2:$D$301,MATCH($A249,表單!$A$2:$A$301,0))),IFERROR(INDEX($N$2:$N$201,MATCH($A249,$L$2:$L$201,0)),"")))</f>
        <v/>
      </c>
      <c r="D249" s="15">
        <f>IF($A249="","",IF(ISNUMBER(MATCH($A249,表單!$A$2:$A$301,0)),"線上表單",IFERROR(INDEX($O$2:$O$201,MATCH($A249,$L$2:$L$201,0)),"")))</f>
        <v/>
      </c>
      <c r="E249" s="15">
        <f>IF($A249="","",IF(ISNUMBER(MATCH($A249,表單!$A$2:$A$301,0)),"本檔","系統"))</f>
        <v/>
      </c>
      <c r="H249">
        <f>IF(AND(表單!$C249="自主檢查表",表單!$A249&lt;&gt;"",COUNTIF($L$2:$L$201,表單!$A249)=0),COUNT($H$1:H248)+1,"")</f>
        <v/>
      </c>
      <c r="J249">
        <f>IF(248&lt;=COUNTA($L$2:$L$201),INDEX($L$2:$L$201,248),IFERROR(INDEX(表單!$A$2:$A$301,MATCH(248-COUNTA($L$2:$L$201),$H$2:$H$301,0)),""))</f>
        <v/>
      </c>
    </row>
    <row r="250">
      <c r="A250" s="15">
        <f>IF($J250="","",$J250)</f>
        <v/>
      </c>
      <c r="B250" s="15">
        <f>IF($A250="","",IF(ISNUMBER(MATCH($A250,表單!$A$2:$A$301,0)),INDEX(表單!$B$2:$B$301,MATCH($A250,表單!$A$2:$A$301,0)),IFERROR(INDEX($M$2:$M$201,MATCH($A250,$L$2:$L$201,0)),"")))</f>
        <v/>
      </c>
      <c r="C250" s="15">
        <f>IF($A250="","",IF(ISNUMBER(MATCH($A250,表單!$A$2:$A$301,0)),IF(TRIM(INDEX(表單!$D$2:$D$301,MATCH($A250,表單!$A$2:$A$301,0)))="","（分項工程層）",INDEX(表單!$D$2:$D$301,MATCH($A250,表單!$A$2:$A$301,0))),IFERROR(INDEX($N$2:$N$201,MATCH($A250,$L$2:$L$201,0)),"")))</f>
        <v/>
      </c>
      <c r="D250" s="15">
        <f>IF($A250="","",IF(ISNUMBER(MATCH($A250,表單!$A$2:$A$301,0)),"線上表單",IFERROR(INDEX($O$2:$O$201,MATCH($A250,$L$2:$L$201,0)),"")))</f>
        <v/>
      </c>
      <c r="E250" s="15">
        <f>IF($A250="","",IF(ISNUMBER(MATCH($A250,表單!$A$2:$A$301,0)),"本檔","系統"))</f>
        <v/>
      </c>
      <c r="H250">
        <f>IF(AND(表單!$C250="自主檢查表",表單!$A250&lt;&gt;"",COUNTIF($L$2:$L$201,表單!$A250)=0),COUNT($H$1:H249)+1,"")</f>
        <v/>
      </c>
      <c r="J250">
        <f>IF(249&lt;=COUNTA($L$2:$L$201),INDEX($L$2:$L$201,249),IFERROR(INDEX(表單!$A$2:$A$301,MATCH(249-COUNTA($L$2:$L$201),$H$2:$H$301,0)),""))</f>
        <v/>
      </c>
    </row>
    <row r="251">
      <c r="A251" s="15">
        <f>IF($J251="","",$J251)</f>
        <v/>
      </c>
      <c r="B251" s="15">
        <f>IF($A251="","",IF(ISNUMBER(MATCH($A251,表單!$A$2:$A$301,0)),INDEX(表單!$B$2:$B$301,MATCH($A251,表單!$A$2:$A$301,0)),IFERROR(INDEX($M$2:$M$201,MATCH($A251,$L$2:$L$201,0)),"")))</f>
        <v/>
      </c>
      <c r="C251" s="15">
        <f>IF($A251="","",IF(ISNUMBER(MATCH($A251,表單!$A$2:$A$301,0)),IF(TRIM(INDEX(表單!$D$2:$D$301,MATCH($A251,表單!$A$2:$A$301,0)))="","（分項工程層）",INDEX(表單!$D$2:$D$301,MATCH($A251,表單!$A$2:$A$301,0))),IFERROR(INDEX($N$2:$N$201,MATCH($A251,$L$2:$L$201,0)),"")))</f>
        <v/>
      </c>
      <c r="D251" s="15">
        <f>IF($A251="","",IF(ISNUMBER(MATCH($A251,表單!$A$2:$A$301,0)),"線上表單",IFERROR(INDEX($O$2:$O$201,MATCH($A251,$L$2:$L$201,0)),"")))</f>
        <v/>
      </c>
      <c r="E251" s="15">
        <f>IF($A251="","",IF(ISNUMBER(MATCH($A251,表單!$A$2:$A$301,0)),"本檔","系統"))</f>
        <v/>
      </c>
      <c r="H251">
        <f>IF(AND(表單!$C251="自主檢查表",表單!$A251&lt;&gt;"",COUNTIF($L$2:$L$201,表單!$A251)=0),COUNT($H$1:H250)+1,"")</f>
        <v/>
      </c>
      <c r="J251">
        <f>IF(250&lt;=COUNTA($L$2:$L$201),INDEX($L$2:$L$201,250),IFERROR(INDEX(表單!$A$2:$A$301,MATCH(250-COUNTA($L$2:$L$201),$H$2:$H$301,0)),""))</f>
        <v/>
      </c>
    </row>
    <row r="252">
      <c r="A252" s="15">
        <f>IF($J252="","",$J252)</f>
        <v/>
      </c>
      <c r="B252" s="15">
        <f>IF($A252="","",IF(ISNUMBER(MATCH($A252,表單!$A$2:$A$301,0)),INDEX(表單!$B$2:$B$301,MATCH($A252,表單!$A$2:$A$301,0)),IFERROR(INDEX($M$2:$M$201,MATCH($A252,$L$2:$L$201,0)),"")))</f>
        <v/>
      </c>
      <c r="C252" s="15">
        <f>IF($A252="","",IF(ISNUMBER(MATCH($A252,表單!$A$2:$A$301,0)),IF(TRIM(INDEX(表單!$D$2:$D$301,MATCH($A252,表單!$A$2:$A$301,0)))="","（分項工程層）",INDEX(表單!$D$2:$D$301,MATCH($A252,表單!$A$2:$A$301,0))),IFERROR(INDEX($N$2:$N$201,MATCH($A252,$L$2:$L$201,0)),"")))</f>
        <v/>
      </c>
      <c r="D252" s="15">
        <f>IF($A252="","",IF(ISNUMBER(MATCH($A252,表單!$A$2:$A$301,0)),"線上表單",IFERROR(INDEX($O$2:$O$201,MATCH($A252,$L$2:$L$201,0)),"")))</f>
        <v/>
      </c>
      <c r="E252" s="15">
        <f>IF($A252="","",IF(ISNUMBER(MATCH($A252,表單!$A$2:$A$301,0)),"本檔","系統"))</f>
        <v/>
      </c>
      <c r="H252">
        <f>IF(AND(表單!$C252="自主檢查表",表單!$A252&lt;&gt;"",COUNTIF($L$2:$L$201,表單!$A252)=0),COUNT($H$1:H251)+1,"")</f>
        <v/>
      </c>
      <c r="J252">
        <f>IF(251&lt;=COUNTA($L$2:$L$201),INDEX($L$2:$L$201,251),IFERROR(INDEX(表單!$A$2:$A$301,MATCH(251-COUNTA($L$2:$L$201),$H$2:$H$301,0)),""))</f>
        <v/>
      </c>
    </row>
    <row r="253">
      <c r="A253" s="15">
        <f>IF($J253="","",$J253)</f>
        <v/>
      </c>
      <c r="B253" s="15">
        <f>IF($A253="","",IF(ISNUMBER(MATCH($A253,表單!$A$2:$A$301,0)),INDEX(表單!$B$2:$B$301,MATCH($A253,表單!$A$2:$A$301,0)),IFERROR(INDEX($M$2:$M$201,MATCH($A253,$L$2:$L$201,0)),"")))</f>
        <v/>
      </c>
      <c r="C253" s="15">
        <f>IF($A253="","",IF(ISNUMBER(MATCH($A253,表單!$A$2:$A$301,0)),IF(TRIM(INDEX(表單!$D$2:$D$301,MATCH($A253,表單!$A$2:$A$301,0)))="","（分項工程層）",INDEX(表單!$D$2:$D$301,MATCH($A253,表單!$A$2:$A$301,0))),IFERROR(INDEX($N$2:$N$201,MATCH($A253,$L$2:$L$201,0)),"")))</f>
        <v/>
      </c>
      <c r="D253" s="15">
        <f>IF($A253="","",IF(ISNUMBER(MATCH($A253,表單!$A$2:$A$301,0)),"線上表單",IFERROR(INDEX($O$2:$O$201,MATCH($A253,$L$2:$L$201,0)),"")))</f>
        <v/>
      </c>
      <c r="E253" s="15">
        <f>IF($A253="","",IF(ISNUMBER(MATCH($A253,表單!$A$2:$A$301,0)),"本檔","系統"))</f>
        <v/>
      </c>
      <c r="H253">
        <f>IF(AND(表單!$C253="自主檢查表",表單!$A253&lt;&gt;"",COUNTIF($L$2:$L$201,表單!$A253)=0),COUNT($H$1:H252)+1,"")</f>
        <v/>
      </c>
      <c r="J253">
        <f>IF(252&lt;=COUNTA($L$2:$L$201),INDEX($L$2:$L$201,252),IFERROR(INDEX(表單!$A$2:$A$301,MATCH(252-COUNTA($L$2:$L$201),$H$2:$H$301,0)),""))</f>
        <v/>
      </c>
    </row>
    <row r="254">
      <c r="A254" s="15">
        <f>IF($J254="","",$J254)</f>
        <v/>
      </c>
      <c r="B254" s="15">
        <f>IF($A254="","",IF(ISNUMBER(MATCH($A254,表單!$A$2:$A$301,0)),INDEX(表單!$B$2:$B$301,MATCH($A254,表單!$A$2:$A$301,0)),IFERROR(INDEX($M$2:$M$201,MATCH($A254,$L$2:$L$201,0)),"")))</f>
        <v/>
      </c>
      <c r="C254" s="15">
        <f>IF($A254="","",IF(ISNUMBER(MATCH($A254,表單!$A$2:$A$301,0)),IF(TRIM(INDEX(表單!$D$2:$D$301,MATCH($A254,表單!$A$2:$A$301,0)))="","（分項工程層）",INDEX(表單!$D$2:$D$301,MATCH($A254,表單!$A$2:$A$301,0))),IFERROR(INDEX($N$2:$N$201,MATCH($A254,$L$2:$L$201,0)),"")))</f>
        <v/>
      </c>
      <c r="D254" s="15">
        <f>IF($A254="","",IF(ISNUMBER(MATCH($A254,表單!$A$2:$A$301,0)),"線上表單",IFERROR(INDEX($O$2:$O$201,MATCH($A254,$L$2:$L$201,0)),"")))</f>
        <v/>
      </c>
      <c r="E254" s="15">
        <f>IF($A254="","",IF(ISNUMBER(MATCH($A254,表單!$A$2:$A$301,0)),"本檔","系統"))</f>
        <v/>
      </c>
      <c r="H254">
        <f>IF(AND(表單!$C254="自主檢查表",表單!$A254&lt;&gt;"",COUNTIF($L$2:$L$201,表單!$A254)=0),COUNT($H$1:H253)+1,"")</f>
        <v/>
      </c>
      <c r="J254">
        <f>IF(253&lt;=COUNTA($L$2:$L$201),INDEX($L$2:$L$201,253),IFERROR(INDEX(表單!$A$2:$A$301,MATCH(253-COUNTA($L$2:$L$201),$H$2:$H$301,0)),""))</f>
        <v/>
      </c>
    </row>
    <row r="255">
      <c r="A255" s="15">
        <f>IF($J255="","",$J255)</f>
        <v/>
      </c>
      <c r="B255" s="15">
        <f>IF($A255="","",IF(ISNUMBER(MATCH($A255,表單!$A$2:$A$301,0)),INDEX(表單!$B$2:$B$301,MATCH($A255,表單!$A$2:$A$301,0)),IFERROR(INDEX($M$2:$M$201,MATCH($A255,$L$2:$L$201,0)),"")))</f>
        <v/>
      </c>
      <c r="C255" s="15">
        <f>IF($A255="","",IF(ISNUMBER(MATCH($A255,表單!$A$2:$A$301,0)),IF(TRIM(INDEX(表單!$D$2:$D$301,MATCH($A255,表單!$A$2:$A$301,0)))="","（分項工程層）",INDEX(表單!$D$2:$D$301,MATCH($A255,表單!$A$2:$A$301,0))),IFERROR(INDEX($N$2:$N$201,MATCH($A255,$L$2:$L$201,0)),"")))</f>
        <v/>
      </c>
      <c r="D255" s="15">
        <f>IF($A255="","",IF(ISNUMBER(MATCH($A255,表單!$A$2:$A$301,0)),"線上表單",IFERROR(INDEX($O$2:$O$201,MATCH($A255,$L$2:$L$201,0)),"")))</f>
        <v/>
      </c>
      <c r="E255" s="15">
        <f>IF($A255="","",IF(ISNUMBER(MATCH($A255,表單!$A$2:$A$301,0)),"本檔","系統"))</f>
        <v/>
      </c>
      <c r="H255">
        <f>IF(AND(表單!$C255="自主檢查表",表單!$A255&lt;&gt;"",COUNTIF($L$2:$L$201,表單!$A255)=0),COUNT($H$1:H254)+1,"")</f>
        <v/>
      </c>
      <c r="J255">
        <f>IF(254&lt;=COUNTA($L$2:$L$201),INDEX($L$2:$L$201,254),IFERROR(INDEX(表單!$A$2:$A$301,MATCH(254-COUNTA($L$2:$L$201),$H$2:$H$301,0)),""))</f>
        <v/>
      </c>
    </row>
    <row r="256">
      <c r="A256" s="15">
        <f>IF($J256="","",$J256)</f>
        <v/>
      </c>
      <c r="B256" s="15">
        <f>IF($A256="","",IF(ISNUMBER(MATCH($A256,表單!$A$2:$A$301,0)),INDEX(表單!$B$2:$B$301,MATCH($A256,表單!$A$2:$A$301,0)),IFERROR(INDEX($M$2:$M$201,MATCH($A256,$L$2:$L$201,0)),"")))</f>
        <v/>
      </c>
      <c r="C256" s="15">
        <f>IF($A256="","",IF(ISNUMBER(MATCH($A256,表單!$A$2:$A$301,0)),IF(TRIM(INDEX(表單!$D$2:$D$301,MATCH($A256,表單!$A$2:$A$301,0)))="","（分項工程層）",INDEX(表單!$D$2:$D$301,MATCH($A256,表單!$A$2:$A$301,0))),IFERROR(INDEX($N$2:$N$201,MATCH($A256,$L$2:$L$201,0)),"")))</f>
        <v/>
      </c>
      <c r="D256" s="15">
        <f>IF($A256="","",IF(ISNUMBER(MATCH($A256,表單!$A$2:$A$301,0)),"線上表單",IFERROR(INDEX($O$2:$O$201,MATCH($A256,$L$2:$L$201,0)),"")))</f>
        <v/>
      </c>
      <c r="E256" s="15">
        <f>IF($A256="","",IF(ISNUMBER(MATCH($A256,表單!$A$2:$A$301,0)),"本檔","系統"))</f>
        <v/>
      </c>
      <c r="H256">
        <f>IF(AND(表單!$C256="自主檢查表",表單!$A256&lt;&gt;"",COUNTIF($L$2:$L$201,表單!$A256)=0),COUNT($H$1:H255)+1,"")</f>
        <v/>
      </c>
      <c r="J256">
        <f>IF(255&lt;=COUNTA($L$2:$L$201),INDEX($L$2:$L$201,255),IFERROR(INDEX(表單!$A$2:$A$301,MATCH(255-COUNTA($L$2:$L$201),$H$2:$H$301,0)),""))</f>
        <v/>
      </c>
    </row>
    <row r="257">
      <c r="A257" s="15">
        <f>IF($J257="","",$J257)</f>
        <v/>
      </c>
      <c r="B257" s="15">
        <f>IF($A257="","",IF(ISNUMBER(MATCH($A257,表單!$A$2:$A$301,0)),INDEX(表單!$B$2:$B$301,MATCH($A257,表單!$A$2:$A$301,0)),IFERROR(INDEX($M$2:$M$201,MATCH($A257,$L$2:$L$201,0)),"")))</f>
        <v/>
      </c>
      <c r="C257" s="15">
        <f>IF($A257="","",IF(ISNUMBER(MATCH($A257,表單!$A$2:$A$301,0)),IF(TRIM(INDEX(表單!$D$2:$D$301,MATCH($A257,表單!$A$2:$A$301,0)))="","（分項工程層）",INDEX(表單!$D$2:$D$301,MATCH($A257,表單!$A$2:$A$301,0))),IFERROR(INDEX($N$2:$N$201,MATCH($A257,$L$2:$L$201,0)),"")))</f>
        <v/>
      </c>
      <c r="D257" s="15">
        <f>IF($A257="","",IF(ISNUMBER(MATCH($A257,表單!$A$2:$A$301,0)),"線上表單",IFERROR(INDEX($O$2:$O$201,MATCH($A257,$L$2:$L$201,0)),"")))</f>
        <v/>
      </c>
      <c r="E257" s="15">
        <f>IF($A257="","",IF(ISNUMBER(MATCH($A257,表單!$A$2:$A$301,0)),"本檔","系統"))</f>
        <v/>
      </c>
      <c r="H257">
        <f>IF(AND(表單!$C257="自主檢查表",表單!$A257&lt;&gt;"",COUNTIF($L$2:$L$201,表單!$A257)=0),COUNT($H$1:H256)+1,"")</f>
        <v/>
      </c>
      <c r="J257">
        <f>IF(256&lt;=COUNTA($L$2:$L$201),INDEX($L$2:$L$201,256),IFERROR(INDEX(表單!$A$2:$A$301,MATCH(256-COUNTA($L$2:$L$201),$H$2:$H$301,0)),""))</f>
        <v/>
      </c>
    </row>
    <row r="258">
      <c r="A258" s="15">
        <f>IF($J258="","",$J258)</f>
        <v/>
      </c>
      <c r="B258" s="15">
        <f>IF($A258="","",IF(ISNUMBER(MATCH($A258,表單!$A$2:$A$301,0)),INDEX(表單!$B$2:$B$301,MATCH($A258,表單!$A$2:$A$301,0)),IFERROR(INDEX($M$2:$M$201,MATCH($A258,$L$2:$L$201,0)),"")))</f>
        <v/>
      </c>
      <c r="C258" s="15">
        <f>IF($A258="","",IF(ISNUMBER(MATCH($A258,表單!$A$2:$A$301,0)),IF(TRIM(INDEX(表單!$D$2:$D$301,MATCH($A258,表單!$A$2:$A$301,0)))="","（分項工程層）",INDEX(表單!$D$2:$D$301,MATCH($A258,表單!$A$2:$A$301,0))),IFERROR(INDEX($N$2:$N$201,MATCH($A258,$L$2:$L$201,0)),"")))</f>
        <v/>
      </c>
      <c r="D258" s="15">
        <f>IF($A258="","",IF(ISNUMBER(MATCH($A258,表單!$A$2:$A$301,0)),"線上表單",IFERROR(INDEX($O$2:$O$201,MATCH($A258,$L$2:$L$201,0)),"")))</f>
        <v/>
      </c>
      <c r="E258" s="15">
        <f>IF($A258="","",IF(ISNUMBER(MATCH($A258,表單!$A$2:$A$301,0)),"本檔","系統"))</f>
        <v/>
      </c>
      <c r="H258">
        <f>IF(AND(表單!$C258="自主檢查表",表單!$A258&lt;&gt;"",COUNTIF($L$2:$L$201,表單!$A258)=0),COUNT($H$1:H257)+1,"")</f>
        <v/>
      </c>
      <c r="J258">
        <f>IF(257&lt;=COUNTA($L$2:$L$201),INDEX($L$2:$L$201,257),IFERROR(INDEX(表單!$A$2:$A$301,MATCH(257-COUNTA($L$2:$L$201),$H$2:$H$301,0)),""))</f>
        <v/>
      </c>
    </row>
    <row r="259">
      <c r="A259" s="15">
        <f>IF($J259="","",$J259)</f>
        <v/>
      </c>
      <c r="B259" s="15">
        <f>IF($A259="","",IF(ISNUMBER(MATCH($A259,表單!$A$2:$A$301,0)),INDEX(表單!$B$2:$B$301,MATCH($A259,表單!$A$2:$A$301,0)),IFERROR(INDEX($M$2:$M$201,MATCH($A259,$L$2:$L$201,0)),"")))</f>
        <v/>
      </c>
      <c r="C259" s="15">
        <f>IF($A259="","",IF(ISNUMBER(MATCH($A259,表單!$A$2:$A$301,0)),IF(TRIM(INDEX(表單!$D$2:$D$301,MATCH($A259,表單!$A$2:$A$301,0)))="","（分項工程層）",INDEX(表單!$D$2:$D$301,MATCH($A259,表單!$A$2:$A$301,0))),IFERROR(INDEX($N$2:$N$201,MATCH($A259,$L$2:$L$201,0)),"")))</f>
        <v/>
      </c>
      <c r="D259" s="15">
        <f>IF($A259="","",IF(ISNUMBER(MATCH($A259,表單!$A$2:$A$301,0)),"線上表單",IFERROR(INDEX($O$2:$O$201,MATCH($A259,$L$2:$L$201,0)),"")))</f>
        <v/>
      </c>
      <c r="E259" s="15">
        <f>IF($A259="","",IF(ISNUMBER(MATCH($A259,表單!$A$2:$A$301,0)),"本檔","系統"))</f>
        <v/>
      </c>
      <c r="H259">
        <f>IF(AND(表單!$C259="自主檢查表",表單!$A259&lt;&gt;"",COUNTIF($L$2:$L$201,表單!$A259)=0),COUNT($H$1:H258)+1,"")</f>
        <v/>
      </c>
      <c r="J259">
        <f>IF(258&lt;=COUNTA($L$2:$L$201),INDEX($L$2:$L$201,258),IFERROR(INDEX(表單!$A$2:$A$301,MATCH(258-COUNTA($L$2:$L$201),$H$2:$H$301,0)),""))</f>
        <v/>
      </c>
    </row>
    <row r="260">
      <c r="A260" s="15">
        <f>IF($J260="","",$J260)</f>
        <v/>
      </c>
      <c r="B260" s="15">
        <f>IF($A260="","",IF(ISNUMBER(MATCH($A260,表單!$A$2:$A$301,0)),INDEX(表單!$B$2:$B$301,MATCH($A260,表單!$A$2:$A$301,0)),IFERROR(INDEX($M$2:$M$201,MATCH($A260,$L$2:$L$201,0)),"")))</f>
        <v/>
      </c>
      <c r="C260" s="15">
        <f>IF($A260="","",IF(ISNUMBER(MATCH($A260,表單!$A$2:$A$301,0)),IF(TRIM(INDEX(表單!$D$2:$D$301,MATCH($A260,表單!$A$2:$A$301,0)))="","（分項工程層）",INDEX(表單!$D$2:$D$301,MATCH($A260,表單!$A$2:$A$301,0))),IFERROR(INDEX($N$2:$N$201,MATCH($A260,$L$2:$L$201,0)),"")))</f>
        <v/>
      </c>
      <c r="D260" s="15">
        <f>IF($A260="","",IF(ISNUMBER(MATCH($A260,表單!$A$2:$A$301,0)),"線上表單",IFERROR(INDEX($O$2:$O$201,MATCH($A260,$L$2:$L$201,0)),"")))</f>
        <v/>
      </c>
      <c r="E260" s="15">
        <f>IF($A260="","",IF(ISNUMBER(MATCH($A260,表單!$A$2:$A$301,0)),"本檔","系統"))</f>
        <v/>
      </c>
      <c r="H260">
        <f>IF(AND(表單!$C260="自主檢查表",表單!$A260&lt;&gt;"",COUNTIF($L$2:$L$201,表單!$A260)=0),COUNT($H$1:H259)+1,"")</f>
        <v/>
      </c>
      <c r="J260">
        <f>IF(259&lt;=COUNTA($L$2:$L$201),INDEX($L$2:$L$201,259),IFERROR(INDEX(表單!$A$2:$A$301,MATCH(259-COUNTA($L$2:$L$201),$H$2:$H$301,0)),""))</f>
        <v/>
      </c>
    </row>
    <row r="261">
      <c r="A261" s="15">
        <f>IF($J261="","",$J261)</f>
        <v/>
      </c>
      <c r="B261" s="15">
        <f>IF($A261="","",IF(ISNUMBER(MATCH($A261,表單!$A$2:$A$301,0)),INDEX(表單!$B$2:$B$301,MATCH($A261,表單!$A$2:$A$301,0)),IFERROR(INDEX($M$2:$M$201,MATCH($A261,$L$2:$L$201,0)),"")))</f>
        <v/>
      </c>
      <c r="C261" s="15">
        <f>IF($A261="","",IF(ISNUMBER(MATCH($A261,表單!$A$2:$A$301,0)),IF(TRIM(INDEX(表單!$D$2:$D$301,MATCH($A261,表單!$A$2:$A$301,0)))="","（分項工程層）",INDEX(表單!$D$2:$D$301,MATCH($A261,表單!$A$2:$A$301,0))),IFERROR(INDEX($N$2:$N$201,MATCH($A261,$L$2:$L$201,0)),"")))</f>
        <v/>
      </c>
      <c r="D261" s="15">
        <f>IF($A261="","",IF(ISNUMBER(MATCH($A261,表單!$A$2:$A$301,0)),"線上表單",IFERROR(INDEX($O$2:$O$201,MATCH($A261,$L$2:$L$201,0)),"")))</f>
        <v/>
      </c>
      <c r="E261" s="15">
        <f>IF($A261="","",IF(ISNUMBER(MATCH($A261,表單!$A$2:$A$301,0)),"本檔","系統"))</f>
        <v/>
      </c>
      <c r="H261">
        <f>IF(AND(表單!$C261="自主檢查表",表單!$A261&lt;&gt;"",COUNTIF($L$2:$L$201,表單!$A261)=0),COUNT($H$1:H260)+1,"")</f>
        <v/>
      </c>
      <c r="J261">
        <f>IF(260&lt;=COUNTA($L$2:$L$201),INDEX($L$2:$L$201,260),IFERROR(INDEX(表單!$A$2:$A$301,MATCH(260-COUNTA($L$2:$L$201),$H$2:$H$301,0)),""))</f>
        <v/>
      </c>
    </row>
    <row r="262">
      <c r="A262" s="15">
        <f>IF($J262="","",$J262)</f>
        <v/>
      </c>
      <c r="B262" s="15">
        <f>IF($A262="","",IF(ISNUMBER(MATCH($A262,表單!$A$2:$A$301,0)),INDEX(表單!$B$2:$B$301,MATCH($A262,表單!$A$2:$A$301,0)),IFERROR(INDEX($M$2:$M$201,MATCH($A262,$L$2:$L$201,0)),"")))</f>
        <v/>
      </c>
      <c r="C262" s="15">
        <f>IF($A262="","",IF(ISNUMBER(MATCH($A262,表單!$A$2:$A$301,0)),IF(TRIM(INDEX(表單!$D$2:$D$301,MATCH($A262,表單!$A$2:$A$301,0)))="","（分項工程層）",INDEX(表單!$D$2:$D$301,MATCH($A262,表單!$A$2:$A$301,0))),IFERROR(INDEX($N$2:$N$201,MATCH($A262,$L$2:$L$201,0)),"")))</f>
        <v/>
      </c>
      <c r="D262" s="15">
        <f>IF($A262="","",IF(ISNUMBER(MATCH($A262,表單!$A$2:$A$301,0)),"線上表單",IFERROR(INDEX($O$2:$O$201,MATCH($A262,$L$2:$L$201,0)),"")))</f>
        <v/>
      </c>
      <c r="E262" s="15">
        <f>IF($A262="","",IF(ISNUMBER(MATCH($A262,表單!$A$2:$A$301,0)),"本檔","系統"))</f>
        <v/>
      </c>
      <c r="H262">
        <f>IF(AND(表單!$C262="自主檢查表",表單!$A262&lt;&gt;"",COUNTIF($L$2:$L$201,表單!$A262)=0),COUNT($H$1:H261)+1,"")</f>
        <v/>
      </c>
      <c r="J262">
        <f>IF(261&lt;=COUNTA($L$2:$L$201),INDEX($L$2:$L$201,261),IFERROR(INDEX(表單!$A$2:$A$301,MATCH(261-COUNTA($L$2:$L$201),$H$2:$H$301,0)),""))</f>
        <v/>
      </c>
    </row>
    <row r="263">
      <c r="A263" s="15">
        <f>IF($J263="","",$J263)</f>
        <v/>
      </c>
      <c r="B263" s="15">
        <f>IF($A263="","",IF(ISNUMBER(MATCH($A263,表單!$A$2:$A$301,0)),INDEX(表單!$B$2:$B$301,MATCH($A263,表單!$A$2:$A$301,0)),IFERROR(INDEX($M$2:$M$201,MATCH($A263,$L$2:$L$201,0)),"")))</f>
        <v/>
      </c>
      <c r="C263" s="15">
        <f>IF($A263="","",IF(ISNUMBER(MATCH($A263,表單!$A$2:$A$301,0)),IF(TRIM(INDEX(表單!$D$2:$D$301,MATCH($A263,表單!$A$2:$A$301,0)))="","（分項工程層）",INDEX(表單!$D$2:$D$301,MATCH($A263,表單!$A$2:$A$301,0))),IFERROR(INDEX($N$2:$N$201,MATCH($A263,$L$2:$L$201,0)),"")))</f>
        <v/>
      </c>
      <c r="D263" s="15">
        <f>IF($A263="","",IF(ISNUMBER(MATCH($A263,表單!$A$2:$A$301,0)),"線上表單",IFERROR(INDEX($O$2:$O$201,MATCH($A263,$L$2:$L$201,0)),"")))</f>
        <v/>
      </c>
      <c r="E263" s="15">
        <f>IF($A263="","",IF(ISNUMBER(MATCH($A263,表單!$A$2:$A$301,0)),"本檔","系統"))</f>
        <v/>
      </c>
      <c r="H263">
        <f>IF(AND(表單!$C263="自主檢查表",表單!$A263&lt;&gt;"",COUNTIF($L$2:$L$201,表單!$A263)=0),COUNT($H$1:H262)+1,"")</f>
        <v/>
      </c>
      <c r="J263">
        <f>IF(262&lt;=COUNTA($L$2:$L$201),INDEX($L$2:$L$201,262),IFERROR(INDEX(表單!$A$2:$A$301,MATCH(262-COUNTA($L$2:$L$201),$H$2:$H$301,0)),""))</f>
        <v/>
      </c>
    </row>
    <row r="264">
      <c r="A264" s="15">
        <f>IF($J264="","",$J264)</f>
        <v/>
      </c>
      <c r="B264" s="15">
        <f>IF($A264="","",IF(ISNUMBER(MATCH($A264,表單!$A$2:$A$301,0)),INDEX(表單!$B$2:$B$301,MATCH($A264,表單!$A$2:$A$301,0)),IFERROR(INDEX($M$2:$M$201,MATCH($A264,$L$2:$L$201,0)),"")))</f>
        <v/>
      </c>
      <c r="C264" s="15">
        <f>IF($A264="","",IF(ISNUMBER(MATCH($A264,表單!$A$2:$A$301,0)),IF(TRIM(INDEX(表單!$D$2:$D$301,MATCH($A264,表單!$A$2:$A$301,0)))="","（分項工程層）",INDEX(表單!$D$2:$D$301,MATCH($A264,表單!$A$2:$A$301,0))),IFERROR(INDEX($N$2:$N$201,MATCH($A264,$L$2:$L$201,0)),"")))</f>
        <v/>
      </c>
      <c r="D264" s="15">
        <f>IF($A264="","",IF(ISNUMBER(MATCH($A264,表單!$A$2:$A$301,0)),"線上表單",IFERROR(INDEX($O$2:$O$201,MATCH($A264,$L$2:$L$201,0)),"")))</f>
        <v/>
      </c>
      <c r="E264" s="15">
        <f>IF($A264="","",IF(ISNUMBER(MATCH($A264,表單!$A$2:$A$301,0)),"本檔","系統"))</f>
        <v/>
      </c>
      <c r="H264">
        <f>IF(AND(表單!$C264="自主檢查表",表單!$A264&lt;&gt;"",COUNTIF($L$2:$L$201,表單!$A264)=0),COUNT($H$1:H263)+1,"")</f>
        <v/>
      </c>
      <c r="J264">
        <f>IF(263&lt;=COUNTA($L$2:$L$201),INDEX($L$2:$L$201,263),IFERROR(INDEX(表單!$A$2:$A$301,MATCH(263-COUNTA($L$2:$L$201),$H$2:$H$301,0)),""))</f>
        <v/>
      </c>
    </row>
    <row r="265">
      <c r="A265" s="15">
        <f>IF($J265="","",$J265)</f>
        <v/>
      </c>
      <c r="B265" s="15">
        <f>IF($A265="","",IF(ISNUMBER(MATCH($A265,表單!$A$2:$A$301,0)),INDEX(表單!$B$2:$B$301,MATCH($A265,表單!$A$2:$A$301,0)),IFERROR(INDEX($M$2:$M$201,MATCH($A265,$L$2:$L$201,0)),"")))</f>
        <v/>
      </c>
      <c r="C265" s="15">
        <f>IF($A265="","",IF(ISNUMBER(MATCH($A265,表單!$A$2:$A$301,0)),IF(TRIM(INDEX(表單!$D$2:$D$301,MATCH($A265,表單!$A$2:$A$301,0)))="","（分項工程層）",INDEX(表單!$D$2:$D$301,MATCH($A265,表單!$A$2:$A$301,0))),IFERROR(INDEX($N$2:$N$201,MATCH($A265,$L$2:$L$201,0)),"")))</f>
        <v/>
      </c>
      <c r="D265" s="15">
        <f>IF($A265="","",IF(ISNUMBER(MATCH($A265,表單!$A$2:$A$301,0)),"線上表單",IFERROR(INDEX($O$2:$O$201,MATCH($A265,$L$2:$L$201,0)),"")))</f>
        <v/>
      </c>
      <c r="E265" s="15">
        <f>IF($A265="","",IF(ISNUMBER(MATCH($A265,表單!$A$2:$A$301,0)),"本檔","系統"))</f>
        <v/>
      </c>
      <c r="H265">
        <f>IF(AND(表單!$C265="自主檢查表",表單!$A265&lt;&gt;"",COUNTIF($L$2:$L$201,表單!$A265)=0),COUNT($H$1:H264)+1,"")</f>
        <v/>
      </c>
      <c r="J265">
        <f>IF(264&lt;=COUNTA($L$2:$L$201),INDEX($L$2:$L$201,264),IFERROR(INDEX(表單!$A$2:$A$301,MATCH(264-COUNTA($L$2:$L$201),$H$2:$H$301,0)),""))</f>
        <v/>
      </c>
    </row>
    <row r="266">
      <c r="A266" s="15">
        <f>IF($J266="","",$J266)</f>
        <v/>
      </c>
      <c r="B266" s="15">
        <f>IF($A266="","",IF(ISNUMBER(MATCH($A266,表單!$A$2:$A$301,0)),INDEX(表單!$B$2:$B$301,MATCH($A266,表單!$A$2:$A$301,0)),IFERROR(INDEX($M$2:$M$201,MATCH($A266,$L$2:$L$201,0)),"")))</f>
        <v/>
      </c>
      <c r="C266" s="15">
        <f>IF($A266="","",IF(ISNUMBER(MATCH($A266,表單!$A$2:$A$301,0)),IF(TRIM(INDEX(表單!$D$2:$D$301,MATCH($A266,表單!$A$2:$A$301,0)))="","（分項工程層）",INDEX(表單!$D$2:$D$301,MATCH($A266,表單!$A$2:$A$301,0))),IFERROR(INDEX($N$2:$N$201,MATCH($A266,$L$2:$L$201,0)),"")))</f>
        <v/>
      </c>
      <c r="D266" s="15">
        <f>IF($A266="","",IF(ISNUMBER(MATCH($A266,表單!$A$2:$A$301,0)),"線上表單",IFERROR(INDEX($O$2:$O$201,MATCH($A266,$L$2:$L$201,0)),"")))</f>
        <v/>
      </c>
      <c r="E266" s="15">
        <f>IF($A266="","",IF(ISNUMBER(MATCH($A266,表單!$A$2:$A$301,0)),"本檔","系統"))</f>
        <v/>
      </c>
      <c r="H266">
        <f>IF(AND(表單!$C266="自主檢查表",表單!$A266&lt;&gt;"",COUNTIF($L$2:$L$201,表單!$A266)=0),COUNT($H$1:H265)+1,"")</f>
        <v/>
      </c>
      <c r="J266">
        <f>IF(265&lt;=COUNTA($L$2:$L$201),INDEX($L$2:$L$201,265),IFERROR(INDEX(表單!$A$2:$A$301,MATCH(265-COUNTA($L$2:$L$201),$H$2:$H$301,0)),""))</f>
        <v/>
      </c>
    </row>
    <row r="267">
      <c r="A267" s="15">
        <f>IF($J267="","",$J267)</f>
        <v/>
      </c>
      <c r="B267" s="15">
        <f>IF($A267="","",IF(ISNUMBER(MATCH($A267,表單!$A$2:$A$301,0)),INDEX(表單!$B$2:$B$301,MATCH($A267,表單!$A$2:$A$301,0)),IFERROR(INDEX($M$2:$M$201,MATCH($A267,$L$2:$L$201,0)),"")))</f>
        <v/>
      </c>
      <c r="C267" s="15">
        <f>IF($A267="","",IF(ISNUMBER(MATCH($A267,表單!$A$2:$A$301,0)),IF(TRIM(INDEX(表單!$D$2:$D$301,MATCH($A267,表單!$A$2:$A$301,0)))="","（分項工程層）",INDEX(表單!$D$2:$D$301,MATCH($A267,表單!$A$2:$A$301,0))),IFERROR(INDEX($N$2:$N$201,MATCH($A267,$L$2:$L$201,0)),"")))</f>
        <v/>
      </c>
      <c r="D267" s="15">
        <f>IF($A267="","",IF(ISNUMBER(MATCH($A267,表單!$A$2:$A$301,0)),"線上表單",IFERROR(INDEX($O$2:$O$201,MATCH($A267,$L$2:$L$201,0)),"")))</f>
        <v/>
      </c>
      <c r="E267" s="15">
        <f>IF($A267="","",IF(ISNUMBER(MATCH($A267,表單!$A$2:$A$301,0)),"本檔","系統"))</f>
        <v/>
      </c>
      <c r="H267">
        <f>IF(AND(表單!$C267="自主檢查表",表單!$A267&lt;&gt;"",COUNTIF($L$2:$L$201,表單!$A267)=0),COUNT($H$1:H266)+1,"")</f>
        <v/>
      </c>
      <c r="J267">
        <f>IF(266&lt;=COUNTA($L$2:$L$201),INDEX($L$2:$L$201,266),IFERROR(INDEX(表單!$A$2:$A$301,MATCH(266-COUNTA($L$2:$L$201),$H$2:$H$301,0)),""))</f>
        <v/>
      </c>
    </row>
    <row r="268">
      <c r="A268" s="15">
        <f>IF($J268="","",$J268)</f>
        <v/>
      </c>
      <c r="B268" s="15">
        <f>IF($A268="","",IF(ISNUMBER(MATCH($A268,表單!$A$2:$A$301,0)),INDEX(表單!$B$2:$B$301,MATCH($A268,表單!$A$2:$A$301,0)),IFERROR(INDEX($M$2:$M$201,MATCH($A268,$L$2:$L$201,0)),"")))</f>
        <v/>
      </c>
      <c r="C268" s="15">
        <f>IF($A268="","",IF(ISNUMBER(MATCH($A268,表單!$A$2:$A$301,0)),IF(TRIM(INDEX(表單!$D$2:$D$301,MATCH($A268,表單!$A$2:$A$301,0)))="","（分項工程層）",INDEX(表單!$D$2:$D$301,MATCH($A268,表單!$A$2:$A$301,0))),IFERROR(INDEX($N$2:$N$201,MATCH($A268,$L$2:$L$201,0)),"")))</f>
        <v/>
      </c>
      <c r="D268" s="15">
        <f>IF($A268="","",IF(ISNUMBER(MATCH($A268,表單!$A$2:$A$301,0)),"線上表單",IFERROR(INDEX($O$2:$O$201,MATCH($A268,$L$2:$L$201,0)),"")))</f>
        <v/>
      </c>
      <c r="E268" s="15">
        <f>IF($A268="","",IF(ISNUMBER(MATCH($A268,表單!$A$2:$A$301,0)),"本檔","系統"))</f>
        <v/>
      </c>
      <c r="H268">
        <f>IF(AND(表單!$C268="自主檢查表",表單!$A268&lt;&gt;"",COUNTIF($L$2:$L$201,表單!$A268)=0),COUNT($H$1:H267)+1,"")</f>
        <v/>
      </c>
      <c r="J268">
        <f>IF(267&lt;=COUNTA($L$2:$L$201),INDEX($L$2:$L$201,267),IFERROR(INDEX(表單!$A$2:$A$301,MATCH(267-COUNTA($L$2:$L$201),$H$2:$H$301,0)),""))</f>
        <v/>
      </c>
    </row>
    <row r="269">
      <c r="A269" s="15">
        <f>IF($J269="","",$J269)</f>
        <v/>
      </c>
      <c r="B269" s="15">
        <f>IF($A269="","",IF(ISNUMBER(MATCH($A269,表單!$A$2:$A$301,0)),INDEX(表單!$B$2:$B$301,MATCH($A269,表單!$A$2:$A$301,0)),IFERROR(INDEX($M$2:$M$201,MATCH($A269,$L$2:$L$201,0)),"")))</f>
        <v/>
      </c>
      <c r="C269" s="15">
        <f>IF($A269="","",IF(ISNUMBER(MATCH($A269,表單!$A$2:$A$301,0)),IF(TRIM(INDEX(表單!$D$2:$D$301,MATCH($A269,表單!$A$2:$A$301,0)))="","（分項工程層）",INDEX(表單!$D$2:$D$301,MATCH($A269,表單!$A$2:$A$301,0))),IFERROR(INDEX($N$2:$N$201,MATCH($A269,$L$2:$L$201,0)),"")))</f>
        <v/>
      </c>
      <c r="D269" s="15">
        <f>IF($A269="","",IF(ISNUMBER(MATCH($A269,表單!$A$2:$A$301,0)),"線上表單",IFERROR(INDEX($O$2:$O$201,MATCH($A269,$L$2:$L$201,0)),"")))</f>
        <v/>
      </c>
      <c r="E269" s="15">
        <f>IF($A269="","",IF(ISNUMBER(MATCH($A269,表單!$A$2:$A$301,0)),"本檔","系統"))</f>
        <v/>
      </c>
      <c r="H269">
        <f>IF(AND(表單!$C269="自主檢查表",表單!$A269&lt;&gt;"",COUNTIF($L$2:$L$201,表單!$A269)=0),COUNT($H$1:H268)+1,"")</f>
        <v/>
      </c>
      <c r="J269">
        <f>IF(268&lt;=COUNTA($L$2:$L$201),INDEX($L$2:$L$201,268),IFERROR(INDEX(表單!$A$2:$A$301,MATCH(268-COUNTA($L$2:$L$201),$H$2:$H$301,0)),""))</f>
        <v/>
      </c>
    </row>
    <row r="270">
      <c r="A270" s="15">
        <f>IF($J270="","",$J270)</f>
        <v/>
      </c>
      <c r="B270" s="15">
        <f>IF($A270="","",IF(ISNUMBER(MATCH($A270,表單!$A$2:$A$301,0)),INDEX(表單!$B$2:$B$301,MATCH($A270,表單!$A$2:$A$301,0)),IFERROR(INDEX($M$2:$M$201,MATCH($A270,$L$2:$L$201,0)),"")))</f>
        <v/>
      </c>
      <c r="C270" s="15">
        <f>IF($A270="","",IF(ISNUMBER(MATCH($A270,表單!$A$2:$A$301,0)),IF(TRIM(INDEX(表單!$D$2:$D$301,MATCH($A270,表單!$A$2:$A$301,0)))="","（分項工程層）",INDEX(表單!$D$2:$D$301,MATCH($A270,表單!$A$2:$A$301,0))),IFERROR(INDEX($N$2:$N$201,MATCH($A270,$L$2:$L$201,0)),"")))</f>
        <v/>
      </c>
      <c r="D270" s="15">
        <f>IF($A270="","",IF(ISNUMBER(MATCH($A270,表單!$A$2:$A$301,0)),"線上表單",IFERROR(INDEX($O$2:$O$201,MATCH($A270,$L$2:$L$201,0)),"")))</f>
        <v/>
      </c>
      <c r="E270" s="15">
        <f>IF($A270="","",IF(ISNUMBER(MATCH($A270,表單!$A$2:$A$301,0)),"本檔","系統"))</f>
        <v/>
      </c>
      <c r="H270">
        <f>IF(AND(表單!$C270="自主檢查表",表單!$A270&lt;&gt;"",COUNTIF($L$2:$L$201,表單!$A270)=0),COUNT($H$1:H269)+1,"")</f>
        <v/>
      </c>
      <c r="J270">
        <f>IF(269&lt;=COUNTA($L$2:$L$201),INDEX($L$2:$L$201,269),IFERROR(INDEX(表單!$A$2:$A$301,MATCH(269-COUNTA($L$2:$L$201),$H$2:$H$301,0)),""))</f>
        <v/>
      </c>
    </row>
    <row r="271">
      <c r="A271" s="15">
        <f>IF($J271="","",$J271)</f>
        <v/>
      </c>
      <c r="B271" s="15">
        <f>IF($A271="","",IF(ISNUMBER(MATCH($A271,表單!$A$2:$A$301,0)),INDEX(表單!$B$2:$B$301,MATCH($A271,表單!$A$2:$A$301,0)),IFERROR(INDEX($M$2:$M$201,MATCH($A271,$L$2:$L$201,0)),"")))</f>
        <v/>
      </c>
      <c r="C271" s="15">
        <f>IF($A271="","",IF(ISNUMBER(MATCH($A271,表單!$A$2:$A$301,0)),IF(TRIM(INDEX(表單!$D$2:$D$301,MATCH($A271,表單!$A$2:$A$301,0)))="","（分項工程層）",INDEX(表單!$D$2:$D$301,MATCH($A271,表單!$A$2:$A$301,0))),IFERROR(INDEX($N$2:$N$201,MATCH($A271,$L$2:$L$201,0)),"")))</f>
        <v/>
      </c>
      <c r="D271" s="15">
        <f>IF($A271="","",IF(ISNUMBER(MATCH($A271,表單!$A$2:$A$301,0)),"線上表單",IFERROR(INDEX($O$2:$O$201,MATCH($A271,$L$2:$L$201,0)),"")))</f>
        <v/>
      </c>
      <c r="E271" s="15">
        <f>IF($A271="","",IF(ISNUMBER(MATCH($A271,表單!$A$2:$A$301,0)),"本檔","系統"))</f>
        <v/>
      </c>
      <c r="H271">
        <f>IF(AND(表單!$C271="自主檢查表",表單!$A271&lt;&gt;"",COUNTIF($L$2:$L$201,表單!$A271)=0),COUNT($H$1:H270)+1,"")</f>
        <v/>
      </c>
      <c r="J271">
        <f>IF(270&lt;=COUNTA($L$2:$L$201),INDEX($L$2:$L$201,270),IFERROR(INDEX(表單!$A$2:$A$301,MATCH(270-COUNTA($L$2:$L$201),$H$2:$H$301,0)),""))</f>
        <v/>
      </c>
    </row>
    <row r="272">
      <c r="A272" s="15">
        <f>IF($J272="","",$J272)</f>
        <v/>
      </c>
      <c r="B272" s="15">
        <f>IF($A272="","",IF(ISNUMBER(MATCH($A272,表單!$A$2:$A$301,0)),INDEX(表單!$B$2:$B$301,MATCH($A272,表單!$A$2:$A$301,0)),IFERROR(INDEX($M$2:$M$201,MATCH($A272,$L$2:$L$201,0)),"")))</f>
        <v/>
      </c>
      <c r="C272" s="15">
        <f>IF($A272="","",IF(ISNUMBER(MATCH($A272,表單!$A$2:$A$301,0)),IF(TRIM(INDEX(表單!$D$2:$D$301,MATCH($A272,表單!$A$2:$A$301,0)))="","（分項工程層）",INDEX(表單!$D$2:$D$301,MATCH($A272,表單!$A$2:$A$301,0))),IFERROR(INDEX($N$2:$N$201,MATCH($A272,$L$2:$L$201,0)),"")))</f>
        <v/>
      </c>
      <c r="D272" s="15">
        <f>IF($A272="","",IF(ISNUMBER(MATCH($A272,表單!$A$2:$A$301,0)),"線上表單",IFERROR(INDEX($O$2:$O$201,MATCH($A272,$L$2:$L$201,0)),"")))</f>
        <v/>
      </c>
      <c r="E272" s="15">
        <f>IF($A272="","",IF(ISNUMBER(MATCH($A272,表單!$A$2:$A$301,0)),"本檔","系統"))</f>
        <v/>
      </c>
      <c r="H272">
        <f>IF(AND(表單!$C272="自主檢查表",表單!$A272&lt;&gt;"",COUNTIF($L$2:$L$201,表單!$A272)=0),COUNT($H$1:H271)+1,"")</f>
        <v/>
      </c>
      <c r="J272">
        <f>IF(271&lt;=COUNTA($L$2:$L$201),INDEX($L$2:$L$201,271),IFERROR(INDEX(表單!$A$2:$A$301,MATCH(271-COUNTA($L$2:$L$201),$H$2:$H$301,0)),""))</f>
        <v/>
      </c>
    </row>
    <row r="273">
      <c r="A273" s="15">
        <f>IF($J273="","",$J273)</f>
        <v/>
      </c>
      <c r="B273" s="15">
        <f>IF($A273="","",IF(ISNUMBER(MATCH($A273,表單!$A$2:$A$301,0)),INDEX(表單!$B$2:$B$301,MATCH($A273,表單!$A$2:$A$301,0)),IFERROR(INDEX($M$2:$M$201,MATCH($A273,$L$2:$L$201,0)),"")))</f>
        <v/>
      </c>
      <c r="C273" s="15">
        <f>IF($A273="","",IF(ISNUMBER(MATCH($A273,表單!$A$2:$A$301,0)),IF(TRIM(INDEX(表單!$D$2:$D$301,MATCH($A273,表單!$A$2:$A$301,0)))="","（分項工程層）",INDEX(表單!$D$2:$D$301,MATCH($A273,表單!$A$2:$A$301,0))),IFERROR(INDEX($N$2:$N$201,MATCH($A273,$L$2:$L$201,0)),"")))</f>
        <v/>
      </c>
      <c r="D273" s="15">
        <f>IF($A273="","",IF(ISNUMBER(MATCH($A273,表單!$A$2:$A$301,0)),"線上表單",IFERROR(INDEX($O$2:$O$201,MATCH($A273,$L$2:$L$201,0)),"")))</f>
        <v/>
      </c>
      <c r="E273" s="15">
        <f>IF($A273="","",IF(ISNUMBER(MATCH($A273,表單!$A$2:$A$301,0)),"本檔","系統"))</f>
        <v/>
      </c>
      <c r="H273">
        <f>IF(AND(表單!$C273="自主檢查表",表單!$A273&lt;&gt;"",COUNTIF($L$2:$L$201,表單!$A273)=0),COUNT($H$1:H272)+1,"")</f>
        <v/>
      </c>
      <c r="J273">
        <f>IF(272&lt;=COUNTA($L$2:$L$201),INDEX($L$2:$L$201,272),IFERROR(INDEX(表單!$A$2:$A$301,MATCH(272-COUNTA($L$2:$L$201),$H$2:$H$301,0)),""))</f>
        <v/>
      </c>
    </row>
    <row r="274">
      <c r="A274" s="15">
        <f>IF($J274="","",$J274)</f>
        <v/>
      </c>
      <c r="B274" s="15">
        <f>IF($A274="","",IF(ISNUMBER(MATCH($A274,表單!$A$2:$A$301,0)),INDEX(表單!$B$2:$B$301,MATCH($A274,表單!$A$2:$A$301,0)),IFERROR(INDEX($M$2:$M$201,MATCH($A274,$L$2:$L$201,0)),"")))</f>
        <v/>
      </c>
      <c r="C274" s="15">
        <f>IF($A274="","",IF(ISNUMBER(MATCH($A274,表單!$A$2:$A$301,0)),IF(TRIM(INDEX(表單!$D$2:$D$301,MATCH($A274,表單!$A$2:$A$301,0)))="","（分項工程層）",INDEX(表單!$D$2:$D$301,MATCH($A274,表單!$A$2:$A$301,0))),IFERROR(INDEX($N$2:$N$201,MATCH($A274,$L$2:$L$201,0)),"")))</f>
        <v/>
      </c>
      <c r="D274" s="15">
        <f>IF($A274="","",IF(ISNUMBER(MATCH($A274,表單!$A$2:$A$301,0)),"線上表單",IFERROR(INDEX($O$2:$O$201,MATCH($A274,$L$2:$L$201,0)),"")))</f>
        <v/>
      </c>
      <c r="E274" s="15">
        <f>IF($A274="","",IF(ISNUMBER(MATCH($A274,表單!$A$2:$A$301,0)),"本檔","系統"))</f>
        <v/>
      </c>
      <c r="H274">
        <f>IF(AND(表單!$C274="自主檢查表",表單!$A274&lt;&gt;"",COUNTIF($L$2:$L$201,表單!$A274)=0),COUNT($H$1:H273)+1,"")</f>
        <v/>
      </c>
      <c r="J274">
        <f>IF(273&lt;=COUNTA($L$2:$L$201),INDEX($L$2:$L$201,273),IFERROR(INDEX(表單!$A$2:$A$301,MATCH(273-COUNTA($L$2:$L$201),$H$2:$H$301,0)),""))</f>
        <v/>
      </c>
    </row>
    <row r="275">
      <c r="A275" s="15">
        <f>IF($J275="","",$J275)</f>
        <v/>
      </c>
      <c r="B275" s="15">
        <f>IF($A275="","",IF(ISNUMBER(MATCH($A275,表單!$A$2:$A$301,0)),INDEX(表單!$B$2:$B$301,MATCH($A275,表單!$A$2:$A$301,0)),IFERROR(INDEX($M$2:$M$201,MATCH($A275,$L$2:$L$201,0)),"")))</f>
        <v/>
      </c>
      <c r="C275" s="15">
        <f>IF($A275="","",IF(ISNUMBER(MATCH($A275,表單!$A$2:$A$301,0)),IF(TRIM(INDEX(表單!$D$2:$D$301,MATCH($A275,表單!$A$2:$A$301,0)))="","（分項工程層）",INDEX(表單!$D$2:$D$301,MATCH($A275,表單!$A$2:$A$301,0))),IFERROR(INDEX($N$2:$N$201,MATCH($A275,$L$2:$L$201,0)),"")))</f>
        <v/>
      </c>
      <c r="D275" s="15">
        <f>IF($A275="","",IF(ISNUMBER(MATCH($A275,表單!$A$2:$A$301,0)),"線上表單",IFERROR(INDEX($O$2:$O$201,MATCH($A275,$L$2:$L$201,0)),"")))</f>
        <v/>
      </c>
      <c r="E275" s="15">
        <f>IF($A275="","",IF(ISNUMBER(MATCH($A275,表單!$A$2:$A$301,0)),"本檔","系統"))</f>
        <v/>
      </c>
      <c r="H275">
        <f>IF(AND(表單!$C275="自主檢查表",表單!$A275&lt;&gt;"",COUNTIF($L$2:$L$201,表單!$A275)=0),COUNT($H$1:H274)+1,"")</f>
        <v/>
      </c>
      <c r="J275">
        <f>IF(274&lt;=COUNTA($L$2:$L$201),INDEX($L$2:$L$201,274),IFERROR(INDEX(表單!$A$2:$A$301,MATCH(274-COUNTA($L$2:$L$201),$H$2:$H$301,0)),""))</f>
        <v/>
      </c>
    </row>
    <row r="276">
      <c r="A276" s="15">
        <f>IF($J276="","",$J276)</f>
        <v/>
      </c>
      <c r="B276" s="15">
        <f>IF($A276="","",IF(ISNUMBER(MATCH($A276,表單!$A$2:$A$301,0)),INDEX(表單!$B$2:$B$301,MATCH($A276,表單!$A$2:$A$301,0)),IFERROR(INDEX($M$2:$M$201,MATCH($A276,$L$2:$L$201,0)),"")))</f>
        <v/>
      </c>
      <c r="C276" s="15">
        <f>IF($A276="","",IF(ISNUMBER(MATCH($A276,表單!$A$2:$A$301,0)),IF(TRIM(INDEX(表單!$D$2:$D$301,MATCH($A276,表單!$A$2:$A$301,0)))="","（分項工程層）",INDEX(表單!$D$2:$D$301,MATCH($A276,表單!$A$2:$A$301,0))),IFERROR(INDEX($N$2:$N$201,MATCH($A276,$L$2:$L$201,0)),"")))</f>
        <v/>
      </c>
      <c r="D276" s="15">
        <f>IF($A276="","",IF(ISNUMBER(MATCH($A276,表單!$A$2:$A$301,0)),"線上表單",IFERROR(INDEX($O$2:$O$201,MATCH($A276,$L$2:$L$201,0)),"")))</f>
        <v/>
      </c>
      <c r="E276" s="15">
        <f>IF($A276="","",IF(ISNUMBER(MATCH($A276,表單!$A$2:$A$301,0)),"本檔","系統"))</f>
        <v/>
      </c>
      <c r="H276">
        <f>IF(AND(表單!$C276="自主檢查表",表單!$A276&lt;&gt;"",COUNTIF($L$2:$L$201,表單!$A276)=0),COUNT($H$1:H275)+1,"")</f>
        <v/>
      </c>
      <c r="J276">
        <f>IF(275&lt;=COUNTA($L$2:$L$201),INDEX($L$2:$L$201,275),IFERROR(INDEX(表單!$A$2:$A$301,MATCH(275-COUNTA($L$2:$L$201),$H$2:$H$301,0)),""))</f>
        <v/>
      </c>
    </row>
    <row r="277">
      <c r="A277" s="15">
        <f>IF($J277="","",$J277)</f>
        <v/>
      </c>
      <c r="B277" s="15">
        <f>IF($A277="","",IF(ISNUMBER(MATCH($A277,表單!$A$2:$A$301,0)),INDEX(表單!$B$2:$B$301,MATCH($A277,表單!$A$2:$A$301,0)),IFERROR(INDEX($M$2:$M$201,MATCH($A277,$L$2:$L$201,0)),"")))</f>
        <v/>
      </c>
      <c r="C277" s="15">
        <f>IF($A277="","",IF(ISNUMBER(MATCH($A277,表單!$A$2:$A$301,0)),IF(TRIM(INDEX(表單!$D$2:$D$301,MATCH($A277,表單!$A$2:$A$301,0)))="","（分項工程層）",INDEX(表單!$D$2:$D$301,MATCH($A277,表單!$A$2:$A$301,0))),IFERROR(INDEX($N$2:$N$201,MATCH($A277,$L$2:$L$201,0)),"")))</f>
        <v/>
      </c>
      <c r="D277" s="15">
        <f>IF($A277="","",IF(ISNUMBER(MATCH($A277,表單!$A$2:$A$301,0)),"線上表單",IFERROR(INDEX($O$2:$O$201,MATCH($A277,$L$2:$L$201,0)),"")))</f>
        <v/>
      </c>
      <c r="E277" s="15">
        <f>IF($A277="","",IF(ISNUMBER(MATCH($A277,表單!$A$2:$A$301,0)),"本檔","系統"))</f>
        <v/>
      </c>
      <c r="H277">
        <f>IF(AND(表單!$C277="自主檢查表",表單!$A277&lt;&gt;"",COUNTIF($L$2:$L$201,表單!$A277)=0),COUNT($H$1:H276)+1,"")</f>
        <v/>
      </c>
      <c r="J277">
        <f>IF(276&lt;=COUNTA($L$2:$L$201),INDEX($L$2:$L$201,276),IFERROR(INDEX(表單!$A$2:$A$301,MATCH(276-COUNTA($L$2:$L$201),$H$2:$H$301,0)),""))</f>
        <v/>
      </c>
    </row>
    <row r="278">
      <c r="A278" s="15">
        <f>IF($J278="","",$J278)</f>
        <v/>
      </c>
      <c r="B278" s="15">
        <f>IF($A278="","",IF(ISNUMBER(MATCH($A278,表單!$A$2:$A$301,0)),INDEX(表單!$B$2:$B$301,MATCH($A278,表單!$A$2:$A$301,0)),IFERROR(INDEX($M$2:$M$201,MATCH($A278,$L$2:$L$201,0)),"")))</f>
        <v/>
      </c>
      <c r="C278" s="15">
        <f>IF($A278="","",IF(ISNUMBER(MATCH($A278,表單!$A$2:$A$301,0)),IF(TRIM(INDEX(表單!$D$2:$D$301,MATCH($A278,表單!$A$2:$A$301,0)))="","（分項工程層）",INDEX(表單!$D$2:$D$301,MATCH($A278,表單!$A$2:$A$301,0))),IFERROR(INDEX($N$2:$N$201,MATCH($A278,$L$2:$L$201,0)),"")))</f>
        <v/>
      </c>
      <c r="D278" s="15">
        <f>IF($A278="","",IF(ISNUMBER(MATCH($A278,表單!$A$2:$A$301,0)),"線上表單",IFERROR(INDEX($O$2:$O$201,MATCH($A278,$L$2:$L$201,0)),"")))</f>
        <v/>
      </c>
      <c r="E278" s="15">
        <f>IF($A278="","",IF(ISNUMBER(MATCH($A278,表單!$A$2:$A$301,0)),"本檔","系統"))</f>
        <v/>
      </c>
      <c r="H278">
        <f>IF(AND(表單!$C278="自主檢查表",表單!$A278&lt;&gt;"",COUNTIF($L$2:$L$201,表單!$A278)=0),COUNT($H$1:H277)+1,"")</f>
        <v/>
      </c>
      <c r="J278">
        <f>IF(277&lt;=COUNTA($L$2:$L$201),INDEX($L$2:$L$201,277),IFERROR(INDEX(表單!$A$2:$A$301,MATCH(277-COUNTA($L$2:$L$201),$H$2:$H$301,0)),""))</f>
        <v/>
      </c>
    </row>
    <row r="279">
      <c r="A279" s="15">
        <f>IF($J279="","",$J279)</f>
        <v/>
      </c>
      <c r="B279" s="15">
        <f>IF($A279="","",IF(ISNUMBER(MATCH($A279,表單!$A$2:$A$301,0)),INDEX(表單!$B$2:$B$301,MATCH($A279,表單!$A$2:$A$301,0)),IFERROR(INDEX($M$2:$M$201,MATCH($A279,$L$2:$L$201,0)),"")))</f>
        <v/>
      </c>
      <c r="C279" s="15">
        <f>IF($A279="","",IF(ISNUMBER(MATCH($A279,表單!$A$2:$A$301,0)),IF(TRIM(INDEX(表單!$D$2:$D$301,MATCH($A279,表單!$A$2:$A$301,0)))="","（分項工程層）",INDEX(表單!$D$2:$D$301,MATCH($A279,表單!$A$2:$A$301,0))),IFERROR(INDEX($N$2:$N$201,MATCH($A279,$L$2:$L$201,0)),"")))</f>
        <v/>
      </c>
      <c r="D279" s="15">
        <f>IF($A279="","",IF(ISNUMBER(MATCH($A279,表單!$A$2:$A$301,0)),"線上表單",IFERROR(INDEX($O$2:$O$201,MATCH($A279,$L$2:$L$201,0)),"")))</f>
        <v/>
      </c>
      <c r="E279" s="15">
        <f>IF($A279="","",IF(ISNUMBER(MATCH($A279,表單!$A$2:$A$301,0)),"本檔","系統"))</f>
        <v/>
      </c>
      <c r="H279">
        <f>IF(AND(表單!$C279="自主檢查表",表單!$A279&lt;&gt;"",COUNTIF($L$2:$L$201,表單!$A279)=0),COUNT($H$1:H278)+1,"")</f>
        <v/>
      </c>
      <c r="J279">
        <f>IF(278&lt;=COUNTA($L$2:$L$201),INDEX($L$2:$L$201,278),IFERROR(INDEX(表單!$A$2:$A$301,MATCH(278-COUNTA($L$2:$L$201),$H$2:$H$301,0)),""))</f>
        <v/>
      </c>
    </row>
    <row r="280">
      <c r="A280" s="15">
        <f>IF($J280="","",$J280)</f>
        <v/>
      </c>
      <c r="B280" s="15">
        <f>IF($A280="","",IF(ISNUMBER(MATCH($A280,表單!$A$2:$A$301,0)),INDEX(表單!$B$2:$B$301,MATCH($A280,表單!$A$2:$A$301,0)),IFERROR(INDEX($M$2:$M$201,MATCH($A280,$L$2:$L$201,0)),"")))</f>
        <v/>
      </c>
      <c r="C280" s="15">
        <f>IF($A280="","",IF(ISNUMBER(MATCH($A280,表單!$A$2:$A$301,0)),IF(TRIM(INDEX(表單!$D$2:$D$301,MATCH($A280,表單!$A$2:$A$301,0)))="","（分項工程層）",INDEX(表單!$D$2:$D$301,MATCH($A280,表單!$A$2:$A$301,0))),IFERROR(INDEX($N$2:$N$201,MATCH($A280,$L$2:$L$201,0)),"")))</f>
        <v/>
      </c>
      <c r="D280" s="15">
        <f>IF($A280="","",IF(ISNUMBER(MATCH($A280,表單!$A$2:$A$301,0)),"線上表單",IFERROR(INDEX($O$2:$O$201,MATCH($A280,$L$2:$L$201,0)),"")))</f>
        <v/>
      </c>
      <c r="E280" s="15">
        <f>IF($A280="","",IF(ISNUMBER(MATCH($A280,表單!$A$2:$A$301,0)),"本檔","系統"))</f>
        <v/>
      </c>
      <c r="H280">
        <f>IF(AND(表單!$C280="自主檢查表",表單!$A280&lt;&gt;"",COUNTIF($L$2:$L$201,表單!$A280)=0),COUNT($H$1:H279)+1,"")</f>
        <v/>
      </c>
      <c r="J280">
        <f>IF(279&lt;=COUNTA($L$2:$L$201),INDEX($L$2:$L$201,279),IFERROR(INDEX(表單!$A$2:$A$301,MATCH(279-COUNTA($L$2:$L$201),$H$2:$H$301,0)),""))</f>
        <v/>
      </c>
    </row>
    <row r="281">
      <c r="A281" s="15">
        <f>IF($J281="","",$J281)</f>
        <v/>
      </c>
      <c r="B281" s="15">
        <f>IF($A281="","",IF(ISNUMBER(MATCH($A281,表單!$A$2:$A$301,0)),INDEX(表單!$B$2:$B$301,MATCH($A281,表單!$A$2:$A$301,0)),IFERROR(INDEX($M$2:$M$201,MATCH($A281,$L$2:$L$201,0)),"")))</f>
        <v/>
      </c>
      <c r="C281" s="15">
        <f>IF($A281="","",IF(ISNUMBER(MATCH($A281,表單!$A$2:$A$301,0)),IF(TRIM(INDEX(表單!$D$2:$D$301,MATCH($A281,表單!$A$2:$A$301,0)))="","（分項工程層）",INDEX(表單!$D$2:$D$301,MATCH($A281,表單!$A$2:$A$301,0))),IFERROR(INDEX($N$2:$N$201,MATCH($A281,$L$2:$L$201,0)),"")))</f>
        <v/>
      </c>
      <c r="D281" s="15">
        <f>IF($A281="","",IF(ISNUMBER(MATCH($A281,表單!$A$2:$A$301,0)),"線上表單",IFERROR(INDEX($O$2:$O$201,MATCH($A281,$L$2:$L$201,0)),"")))</f>
        <v/>
      </c>
      <c r="E281" s="15">
        <f>IF($A281="","",IF(ISNUMBER(MATCH($A281,表單!$A$2:$A$301,0)),"本檔","系統"))</f>
        <v/>
      </c>
      <c r="H281">
        <f>IF(AND(表單!$C281="自主檢查表",表單!$A281&lt;&gt;"",COUNTIF($L$2:$L$201,表單!$A281)=0),COUNT($H$1:H280)+1,"")</f>
        <v/>
      </c>
      <c r="J281">
        <f>IF(280&lt;=COUNTA($L$2:$L$201),INDEX($L$2:$L$201,280),IFERROR(INDEX(表單!$A$2:$A$301,MATCH(280-COUNTA($L$2:$L$201),$H$2:$H$301,0)),""))</f>
        <v/>
      </c>
    </row>
    <row r="282">
      <c r="A282" s="15">
        <f>IF($J282="","",$J282)</f>
        <v/>
      </c>
      <c r="B282" s="15">
        <f>IF($A282="","",IF(ISNUMBER(MATCH($A282,表單!$A$2:$A$301,0)),INDEX(表單!$B$2:$B$301,MATCH($A282,表單!$A$2:$A$301,0)),IFERROR(INDEX($M$2:$M$201,MATCH($A282,$L$2:$L$201,0)),"")))</f>
        <v/>
      </c>
      <c r="C282" s="15">
        <f>IF($A282="","",IF(ISNUMBER(MATCH($A282,表單!$A$2:$A$301,0)),IF(TRIM(INDEX(表單!$D$2:$D$301,MATCH($A282,表單!$A$2:$A$301,0)))="","（分項工程層）",INDEX(表單!$D$2:$D$301,MATCH($A282,表單!$A$2:$A$301,0))),IFERROR(INDEX($N$2:$N$201,MATCH($A282,$L$2:$L$201,0)),"")))</f>
        <v/>
      </c>
      <c r="D282" s="15">
        <f>IF($A282="","",IF(ISNUMBER(MATCH($A282,表單!$A$2:$A$301,0)),"線上表單",IFERROR(INDEX($O$2:$O$201,MATCH($A282,$L$2:$L$201,0)),"")))</f>
        <v/>
      </c>
      <c r="E282" s="15">
        <f>IF($A282="","",IF(ISNUMBER(MATCH($A282,表單!$A$2:$A$301,0)),"本檔","系統"))</f>
        <v/>
      </c>
      <c r="H282">
        <f>IF(AND(表單!$C282="自主檢查表",表單!$A282&lt;&gt;"",COUNTIF($L$2:$L$201,表單!$A282)=0),COUNT($H$1:H281)+1,"")</f>
        <v/>
      </c>
      <c r="J282">
        <f>IF(281&lt;=COUNTA($L$2:$L$201),INDEX($L$2:$L$201,281),IFERROR(INDEX(表單!$A$2:$A$301,MATCH(281-COUNTA($L$2:$L$201),$H$2:$H$301,0)),""))</f>
        <v/>
      </c>
    </row>
    <row r="283">
      <c r="A283" s="15">
        <f>IF($J283="","",$J283)</f>
        <v/>
      </c>
      <c r="B283" s="15">
        <f>IF($A283="","",IF(ISNUMBER(MATCH($A283,表單!$A$2:$A$301,0)),INDEX(表單!$B$2:$B$301,MATCH($A283,表單!$A$2:$A$301,0)),IFERROR(INDEX($M$2:$M$201,MATCH($A283,$L$2:$L$201,0)),"")))</f>
        <v/>
      </c>
      <c r="C283" s="15">
        <f>IF($A283="","",IF(ISNUMBER(MATCH($A283,表單!$A$2:$A$301,0)),IF(TRIM(INDEX(表單!$D$2:$D$301,MATCH($A283,表單!$A$2:$A$301,0)))="","（分項工程層）",INDEX(表單!$D$2:$D$301,MATCH($A283,表單!$A$2:$A$301,0))),IFERROR(INDEX($N$2:$N$201,MATCH($A283,$L$2:$L$201,0)),"")))</f>
        <v/>
      </c>
      <c r="D283" s="15">
        <f>IF($A283="","",IF(ISNUMBER(MATCH($A283,表單!$A$2:$A$301,0)),"線上表單",IFERROR(INDEX($O$2:$O$201,MATCH($A283,$L$2:$L$201,0)),"")))</f>
        <v/>
      </c>
      <c r="E283" s="15">
        <f>IF($A283="","",IF(ISNUMBER(MATCH($A283,表單!$A$2:$A$301,0)),"本檔","系統"))</f>
        <v/>
      </c>
      <c r="H283">
        <f>IF(AND(表單!$C283="自主檢查表",表單!$A283&lt;&gt;"",COUNTIF($L$2:$L$201,表單!$A283)=0),COUNT($H$1:H282)+1,"")</f>
        <v/>
      </c>
      <c r="J283">
        <f>IF(282&lt;=COUNTA($L$2:$L$201),INDEX($L$2:$L$201,282),IFERROR(INDEX(表單!$A$2:$A$301,MATCH(282-COUNTA($L$2:$L$201),$H$2:$H$301,0)),""))</f>
        <v/>
      </c>
    </row>
    <row r="284">
      <c r="A284" s="15">
        <f>IF($J284="","",$J284)</f>
        <v/>
      </c>
      <c r="B284" s="15">
        <f>IF($A284="","",IF(ISNUMBER(MATCH($A284,表單!$A$2:$A$301,0)),INDEX(表單!$B$2:$B$301,MATCH($A284,表單!$A$2:$A$301,0)),IFERROR(INDEX($M$2:$M$201,MATCH($A284,$L$2:$L$201,0)),"")))</f>
        <v/>
      </c>
      <c r="C284" s="15">
        <f>IF($A284="","",IF(ISNUMBER(MATCH($A284,表單!$A$2:$A$301,0)),IF(TRIM(INDEX(表單!$D$2:$D$301,MATCH($A284,表單!$A$2:$A$301,0)))="","（分項工程層）",INDEX(表單!$D$2:$D$301,MATCH($A284,表單!$A$2:$A$301,0))),IFERROR(INDEX($N$2:$N$201,MATCH($A284,$L$2:$L$201,0)),"")))</f>
        <v/>
      </c>
      <c r="D284" s="15">
        <f>IF($A284="","",IF(ISNUMBER(MATCH($A284,表單!$A$2:$A$301,0)),"線上表單",IFERROR(INDEX($O$2:$O$201,MATCH($A284,$L$2:$L$201,0)),"")))</f>
        <v/>
      </c>
      <c r="E284" s="15">
        <f>IF($A284="","",IF(ISNUMBER(MATCH($A284,表單!$A$2:$A$301,0)),"本檔","系統"))</f>
        <v/>
      </c>
      <c r="H284">
        <f>IF(AND(表單!$C284="自主檢查表",表單!$A284&lt;&gt;"",COUNTIF($L$2:$L$201,表單!$A284)=0),COUNT($H$1:H283)+1,"")</f>
        <v/>
      </c>
      <c r="J284">
        <f>IF(283&lt;=COUNTA($L$2:$L$201),INDEX($L$2:$L$201,283),IFERROR(INDEX(表單!$A$2:$A$301,MATCH(283-COUNTA($L$2:$L$201),$H$2:$H$301,0)),""))</f>
        <v/>
      </c>
    </row>
    <row r="285">
      <c r="A285" s="15">
        <f>IF($J285="","",$J285)</f>
        <v/>
      </c>
      <c r="B285" s="15">
        <f>IF($A285="","",IF(ISNUMBER(MATCH($A285,表單!$A$2:$A$301,0)),INDEX(表單!$B$2:$B$301,MATCH($A285,表單!$A$2:$A$301,0)),IFERROR(INDEX($M$2:$M$201,MATCH($A285,$L$2:$L$201,0)),"")))</f>
        <v/>
      </c>
      <c r="C285" s="15">
        <f>IF($A285="","",IF(ISNUMBER(MATCH($A285,表單!$A$2:$A$301,0)),IF(TRIM(INDEX(表單!$D$2:$D$301,MATCH($A285,表單!$A$2:$A$301,0)))="","（分項工程層）",INDEX(表單!$D$2:$D$301,MATCH($A285,表單!$A$2:$A$301,0))),IFERROR(INDEX($N$2:$N$201,MATCH($A285,$L$2:$L$201,0)),"")))</f>
        <v/>
      </c>
      <c r="D285" s="15">
        <f>IF($A285="","",IF(ISNUMBER(MATCH($A285,表單!$A$2:$A$301,0)),"線上表單",IFERROR(INDEX($O$2:$O$201,MATCH($A285,$L$2:$L$201,0)),"")))</f>
        <v/>
      </c>
      <c r="E285" s="15">
        <f>IF($A285="","",IF(ISNUMBER(MATCH($A285,表單!$A$2:$A$301,0)),"本檔","系統"))</f>
        <v/>
      </c>
      <c r="H285">
        <f>IF(AND(表單!$C285="自主檢查表",表單!$A285&lt;&gt;"",COUNTIF($L$2:$L$201,表單!$A285)=0),COUNT($H$1:H284)+1,"")</f>
        <v/>
      </c>
      <c r="J285">
        <f>IF(284&lt;=COUNTA($L$2:$L$201),INDEX($L$2:$L$201,284),IFERROR(INDEX(表單!$A$2:$A$301,MATCH(284-COUNTA($L$2:$L$201),$H$2:$H$301,0)),""))</f>
        <v/>
      </c>
    </row>
    <row r="286">
      <c r="A286" s="15">
        <f>IF($J286="","",$J286)</f>
        <v/>
      </c>
      <c r="B286" s="15">
        <f>IF($A286="","",IF(ISNUMBER(MATCH($A286,表單!$A$2:$A$301,0)),INDEX(表單!$B$2:$B$301,MATCH($A286,表單!$A$2:$A$301,0)),IFERROR(INDEX($M$2:$M$201,MATCH($A286,$L$2:$L$201,0)),"")))</f>
        <v/>
      </c>
      <c r="C286" s="15">
        <f>IF($A286="","",IF(ISNUMBER(MATCH($A286,表單!$A$2:$A$301,0)),IF(TRIM(INDEX(表單!$D$2:$D$301,MATCH($A286,表單!$A$2:$A$301,0)))="","（分項工程層）",INDEX(表單!$D$2:$D$301,MATCH($A286,表單!$A$2:$A$301,0))),IFERROR(INDEX($N$2:$N$201,MATCH($A286,$L$2:$L$201,0)),"")))</f>
        <v/>
      </c>
      <c r="D286" s="15">
        <f>IF($A286="","",IF(ISNUMBER(MATCH($A286,表單!$A$2:$A$301,0)),"線上表單",IFERROR(INDEX($O$2:$O$201,MATCH($A286,$L$2:$L$201,0)),"")))</f>
        <v/>
      </c>
      <c r="E286" s="15">
        <f>IF($A286="","",IF(ISNUMBER(MATCH($A286,表單!$A$2:$A$301,0)),"本檔","系統"))</f>
        <v/>
      </c>
      <c r="H286">
        <f>IF(AND(表單!$C286="自主檢查表",表單!$A286&lt;&gt;"",COUNTIF($L$2:$L$201,表單!$A286)=0),COUNT($H$1:H285)+1,"")</f>
        <v/>
      </c>
      <c r="J286">
        <f>IF(285&lt;=COUNTA($L$2:$L$201),INDEX($L$2:$L$201,285),IFERROR(INDEX(表單!$A$2:$A$301,MATCH(285-COUNTA($L$2:$L$201),$H$2:$H$301,0)),""))</f>
        <v/>
      </c>
    </row>
    <row r="287">
      <c r="A287" s="15">
        <f>IF($J287="","",$J287)</f>
        <v/>
      </c>
      <c r="B287" s="15">
        <f>IF($A287="","",IF(ISNUMBER(MATCH($A287,表單!$A$2:$A$301,0)),INDEX(表單!$B$2:$B$301,MATCH($A287,表單!$A$2:$A$301,0)),IFERROR(INDEX($M$2:$M$201,MATCH($A287,$L$2:$L$201,0)),"")))</f>
        <v/>
      </c>
      <c r="C287" s="15">
        <f>IF($A287="","",IF(ISNUMBER(MATCH($A287,表單!$A$2:$A$301,0)),IF(TRIM(INDEX(表單!$D$2:$D$301,MATCH($A287,表單!$A$2:$A$301,0)))="","（分項工程層）",INDEX(表單!$D$2:$D$301,MATCH($A287,表單!$A$2:$A$301,0))),IFERROR(INDEX($N$2:$N$201,MATCH($A287,$L$2:$L$201,0)),"")))</f>
        <v/>
      </c>
      <c r="D287" s="15">
        <f>IF($A287="","",IF(ISNUMBER(MATCH($A287,表單!$A$2:$A$301,0)),"線上表單",IFERROR(INDEX($O$2:$O$201,MATCH($A287,$L$2:$L$201,0)),"")))</f>
        <v/>
      </c>
      <c r="E287" s="15">
        <f>IF($A287="","",IF(ISNUMBER(MATCH($A287,表單!$A$2:$A$301,0)),"本檔","系統"))</f>
        <v/>
      </c>
      <c r="H287">
        <f>IF(AND(表單!$C287="自主檢查表",表單!$A287&lt;&gt;"",COUNTIF($L$2:$L$201,表單!$A287)=0),COUNT($H$1:H286)+1,"")</f>
        <v/>
      </c>
      <c r="J287">
        <f>IF(286&lt;=COUNTA($L$2:$L$201),INDEX($L$2:$L$201,286),IFERROR(INDEX(表單!$A$2:$A$301,MATCH(286-COUNTA($L$2:$L$201),$H$2:$H$301,0)),""))</f>
        <v/>
      </c>
    </row>
    <row r="288">
      <c r="A288" s="15">
        <f>IF($J288="","",$J288)</f>
        <v/>
      </c>
      <c r="B288" s="15">
        <f>IF($A288="","",IF(ISNUMBER(MATCH($A288,表單!$A$2:$A$301,0)),INDEX(表單!$B$2:$B$301,MATCH($A288,表單!$A$2:$A$301,0)),IFERROR(INDEX($M$2:$M$201,MATCH($A288,$L$2:$L$201,0)),"")))</f>
        <v/>
      </c>
      <c r="C288" s="15">
        <f>IF($A288="","",IF(ISNUMBER(MATCH($A288,表單!$A$2:$A$301,0)),IF(TRIM(INDEX(表單!$D$2:$D$301,MATCH($A288,表單!$A$2:$A$301,0)))="","（分項工程層）",INDEX(表單!$D$2:$D$301,MATCH($A288,表單!$A$2:$A$301,0))),IFERROR(INDEX($N$2:$N$201,MATCH($A288,$L$2:$L$201,0)),"")))</f>
        <v/>
      </c>
      <c r="D288" s="15">
        <f>IF($A288="","",IF(ISNUMBER(MATCH($A288,表單!$A$2:$A$301,0)),"線上表單",IFERROR(INDEX($O$2:$O$201,MATCH($A288,$L$2:$L$201,0)),"")))</f>
        <v/>
      </c>
      <c r="E288" s="15">
        <f>IF($A288="","",IF(ISNUMBER(MATCH($A288,表單!$A$2:$A$301,0)),"本檔","系統"))</f>
        <v/>
      </c>
      <c r="H288">
        <f>IF(AND(表單!$C288="自主檢查表",表單!$A288&lt;&gt;"",COUNTIF($L$2:$L$201,表單!$A288)=0),COUNT($H$1:H287)+1,"")</f>
        <v/>
      </c>
      <c r="J288">
        <f>IF(287&lt;=COUNTA($L$2:$L$201),INDEX($L$2:$L$201,287),IFERROR(INDEX(表單!$A$2:$A$301,MATCH(287-COUNTA($L$2:$L$201),$H$2:$H$301,0)),""))</f>
        <v/>
      </c>
    </row>
    <row r="289">
      <c r="A289" s="15">
        <f>IF($J289="","",$J289)</f>
        <v/>
      </c>
      <c r="B289" s="15">
        <f>IF($A289="","",IF(ISNUMBER(MATCH($A289,表單!$A$2:$A$301,0)),INDEX(表單!$B$2:$B$301,MATCH($A289,表單!$A$2:$A$301,0)),IFERROR(INDEX($M$2:$M$201,MATCH($A289,$L$2:$L$201,0)),"")))</f>
        <v/>
      </c>
      <c r="C289" s="15">
        <f>IF($A289="","",IF(ISNUMBER(MATCH($A289,表單!$A$2:$A$301,0)),IF(TRIM(INDEX(表單!$D$2:$D$301,MATCH($A289,表單!$A$2:$A$301,0)))="","（分項工程層）",INDEX(表單!$D$2:$D$301,MATCH($A289,表單!$A$2:$A$301,0))),IFERROR(INDEX($N$2:$N$201,MATCH($A289,$L$2:$L$201,0)),"")))</f>
        <v/>
      </c>
      <c r="D289" s="15">
        <f>IF($A289="","",IF(ISNUMBER(MATCH($A289,表單!$A$2:$A$301,0)),"線上表單",IFERROR(INDEX($O$2:$O$201,MATCH($A289,$L$2:$L$201,0)),"")))</f>
        <v/>
      </c>
      <c r="E289" s="15">
        <f>IF($A289="","",IF(ISNUMBER(MATCH($A289,表單!$A$2:$A$301,0)),"本檔","系統"))</f>
        <v/>
      </c>
      <c r="H289">
        <f>IF(AND(表單!$C289="自主檢查表",表單!$A289&lt;&gt;"",COUNTIF($L$2:$L$201,表單!$A289)=0),COUNT($H$1:H288)+1,"")</f>
        <v/>
      </c>
      <c r="J289">
        <f>IF(288&lt;=COUNTA($L$2:$L$201),INDEX($L$2:$L$201,288),IFERROR(INDEX(表單!$A$2:$A$301,MATCH(288-COUNTA($L$2:$L$201),$H$2:$H$301,0)),""))</f>
        <v/>
      </c>
    </row>
    <row r="290">
      <c r="A290" s="15">
        <f>IF($J290="","",$J290)</f>
        <v/>
      </c>
      <c r="B290" s="15">
        <f>IF($A290="","",IF(ISNUMBER(MATCH($A290,表單!$A$2:$A$301,0)),INDEX(表單!$B$2:$B$301,MATCH($A290,表單!$A$2:$A$301,0)),IFERROR(INDEX($M$2:$M$201,MATCH($A290,$L$2:$L$201,0)),"")))</f>
        <v/>
      </c>
      <c r="C290" s="15">
        <f>IF($A290="","",IF(ISNUMBER(MATCH($A290,表單!$A$2:$A$301,0)),IF(TRIM(INDEX(表單!$D$2:$D$301,MATCH($A290,表單!$A$2:$A$301,0)))="","（分項工程層）",INDEX(表單!$D$2:$D$301,MATCH($A290,表單!$A$2:$A$301,0))),IFERROR(INDEX($N$2:$N$201,MATCH($A290,$L$2:$L$201,0)),"")))</f>
        <v/>
      </c>
      <c r="D290" s="15">
        <f>IF($A290="","",IF(ISNUMBER(MATCH($A290,表單!$A$2:$A$301,0)),"線上表單",IFERROR(INDEX($O$2:$O$201,MATCH($A290,$L$2:$L$201,0)),"")))</f>
        <v/>
      </c>
      <c r="E290" s="15">
        <f>IF($A290="","",IF(ISNUMBER(MATCH($A290,表單!$A$2:$A$301,0)),"本檔","系統"))</f>
        <v/>
      </c>
      <c r="H290">
        <f>IF(AND(表單!$C290="自主檢查表",表單!$A290&lt;&gt;"",COUNTIF($L$2:$L$201,表單!$A290)=0),COUNT($H$1:H289)+1,"")</f>
        <v/>
      </c>
      <c r="J290">
        <f>IF(289&lt;=COUNTA($L$2:$L$201),INDEX($L$2:$L$201,289),IFERROR(INDEX(表單!$A$2:$A$301,MATCH(289-COUNTA($L$2:$L$201),$H$2:$H$301,0)),""))</f>
        <v/>
      </c>
    </row>
    <row r="291">
      <c r="A291" s="15">
        <f>IF($J291="","",$J291)</f>
        <v/>
      </c>
      <c r="B291" s="15">
        <f>IF($A291="","",IF(ISNUMBER(MATCH($A291,表單!$A$2:$A$301,0)),INDEX(表單!$B$2:$B$301,MATCH($A291,表單!$A$2:$A$301,0)),IFERROR(INDEX($M$2:$M$201,MATCH($A291,$L$2:$L$201,0)),"")))</f>
        <v/>
      </c>
      <c r="C291" s="15">
        <f>IF($A291="","",IF(ISNUMBER(MATCH($A291,表單!$A$2:$A$301,0)),IF(TRIM(INDEX(表單!$D$2:$D$301,MATCH($A291,表單!$A$2:$A$301,0)))="","（分項工程層）",INDEX(表單!$D$2:$D$301,MATCH($A291,表單!$A$2:$A$301,0))),IFERROR(INDEX($N$2:$N$201,MATCH($A291,$L$2:$L$201,0)),"")))</f>
        <v/>
      </c>
      <c r="D291" s="15">
        <f>IF($A291="","",IF(ISNUMBER(MATCH($A291,表單!$A$2:$A$301,0)),"線上表單",IFERROR(INDEX($O$2:$O$201,MATCH($A291,$L$2:$L$201,0)),"")))</f>
        <v/>
      </c>
      <c r="E291" s="15">
        <f>IF($A291="","",IF(ISNUMBER(MATCH($A291,表單!$A$2:$A$301,0)),"本檔","系統"))</f>
        <v/>
      </c>
      <c r="H291">
        <f>IF(AND(表單!$C291="自主檢查表",表單!$A291&lt;&gt;"",COUNTIF($L$2:$L$201,表單!$A291)=0),COUNT($H$1:H290)+1,"")</f>
        <v/>
      </c>
      <c r="J291">
        <f>IF(290&lt;=COUNTA($L$2:$L$201),INDEX($L$2:$L$201,290),IFERROR(INDEX(表單!$A$2:$A$301,MATCH(290-COUNTA($L$2:$L$201),$H$2:$H$301,0)),""))</f>
        <v/>
      </c>
    </row>
    <row r="292">
      <c r="A292" s="15">
        <f>IF($J292="","",$J292)</f>
        <v/>
      </c>
      <c r="B292" s="15">
        <f>IF($A292="","",IF(ISNUMBER(MATCH($A292,表單!$A$2:$A$301,0)),INDEX(表單!$B$2:$B$301,MATCH($A292,表單!$A$2:$A$301,0)),IFERROR(INDEX($M$2:$M$201,MATCH($A292,$L$2:$L$201,0)),"")))</f>
        <v/>
      </c>
      <c r="C292" s="15">
        <f>IF($A292="","",IF(ISNUMBER(MATCH($A292,表單!$A$2:$A$301,0)),IF(TRIM(INDEX(表單!$D$2:$D$301,MATCH($A292,表單!$A$2:$A$301,0)))="","（分項工程層）",INDEX(表單!$D$2:$D$301,MATCH($A292,表單!$A$2:$A$301,0))),IFERROR(INDEX($N$2:$N$201,MATCH($A292,$L$2:$L$201,0)),"")))</f>
        <v/>
      </c>
      <c r="D292" s="15">
        <f>IF($A292="","",IF(ISNUMBER(MATCH($A292,表單!$A$2:$A$301,0)),"線上表單",IFERROR(INDEX($O$2:$O$201,MATCH($A292,$L$2:$L$201,0)),"")))</f>
        <v/>
      </c>
      <c r="E292" s="15">
        <f>IF($A292="","",IF(ISNUMBER(MATCH($A292,表單!$A$2:$A$301,0)),"本檔","系統"))</f>
        <v/>
      </c>
      <c r="H292">
        <f>IF(AND(表單!$C292="自主檢查表",表單!$A292&lt;&gt;"",COUNTIF($L$2:$L$201,表單!$A292)=0),COUNT($H$1:H291)+1,"")</f>
        <v/>
      </c>
      <c r="J292">
        <f>IF(291&lt;=COUNTA($L$2:$L$201),INDEX($L$2:$L$201,291),IFERROR(INDEX(表單!$A$2:$A$301,MATCH(291-COUNTA($L$2:$L$201),$H$2:$H$301,0)),""))</f>
        <v/>
      </c>
    </row>
    <row r="293">
      <c r="A293" s="15">
        <f>IF($J293="","",$J293)</f>
        <v/>
      </c>
      <c r="B293" s="15">
        <f>IF($A293="","",IF(ISNUMBER(MATCH($A293,表單!$A$2:$A$301,0)),INDEX(表單!$B$2:$B$301,MATCH($A293,表單!$A$2:$A$301,0)),IFERROR(INDEX($M$2:$M$201,MATCH($A293,$L$2:$L$201,0)),"")))</f>
        <v/>
      </c>
      <c r="C293" s="15">
        <f>IF($A293="","",IF(ISNUMBER(MATCH($A293,表單!$A$2:$A$301,0)),IF(TRIM(INDEX(表單!$D$2:$D$301,MATCH($A293,表單!$A$2:$A$301,0)))="","（分項工程層）",INDEX(表單!$D$2:$D$301,MATCH($A293,表單!$A$2:$A$301,0))),IFERROR(INDEX($N$2:$N$201,MATCH($A293,$L$2:$L$201,0)),"")))</f>
        <v/>
      </c>
      <c r="D293" s="15">
        <f>IF($A293="","",IF(ISNUMBER(MATCH($A293,表單!$A$2:$A$301,0)),"線上表單",IFERROR(INDEX($O$2:$O$201,MATCH($A293,$L$2:$L$201,0)),"")))</f>
        <v/>
      </c>
      <c r="E293" s="15">
        <f>IF($A293="","",IF(ISNUMBER(MATCH($A293,表單!$A$2:$A$301,0)),"本檔","系統"))</f>
        <v/>
      </c>
      <c r="H293">
        <f>IF(AND(表單!$C293="自主檢查表",表單!$A293&lt;&gt;"",COUNTIF($L$2:$L$201,表單!$A293)=0),COUNT($H$1:H292)+1,"")</f>
        <v/>
      </c>
      <c r="J293">
        <f>IF(292&lt;=COUNTA($L$2:$L$201),INDEX($L$2:$L$201,292),IFERROR(INDEX(表單!$A$2:$A$301,MATCH(292-COUNTA($L$2:$L$201),$H$2:$H$301,0)),""))</f>
        <v/>
      </c>
    </row>
    <row r="294">
      <c r="A294" s="15">
        <f>IF($J294="","",$J294)</f>
        <v/>
      </c>
      <c r="B294" s="15">
        <f>IF($A294="","",IF(ISNUMBER(MATCH($A294,表單!$A$2:$A$301,0)),INDEX(表單!$B$2:$B$301,MATCH($A294,表單!$A$2:$A$301,0)),IFERROR(INDEX($M$2:$M$201,MATCH($A294,$L$2:$L$201,0)),"")))</f>
        <v/>
      </c>
      <c r="C294" s="15">
        <f>IF($A294="","",IF(ISNUMBER(MATCH($A294,表單!$A$2:$A$301,0)),IF(TRIM(INDEX(表單!$D$2:$D$301,MATCH($A294,表單!$A$2:$A$301,0)))="","（分項工程層）",INDEX(表單!$D$2:$D$301,MATCH($A294,表單!$A$2:$A$301,0))),IFERROR(INDEX($N$2:$N$201,MATCH($A294,$L$2:$L$201,0)),"")))</f>
        <v/>
      </c>
      <c r="D294" s="15">
        <f>IF($A294="","",IF(ISNUMBER(MATCH($A294,表單!$A$2:$A$301,0)),"線上表單",IFERROR(INDEX($O$2:$O$201,MATCH($A294,$L$2:$L$201,0)),"")))</f>
        <v/>
      </c>
      <c r="E294" s="15">
        <f>IF($A294="","",IF(ISNUMBER(MATCH($A294,表單!$A$2:$A$301,0)),"本檔","系統"))</f>
        <v/>
      </c>
      <c r="H294">
        <f>IF(AND(表單!$C294="自主檢查表",表單!$A294&lt;&gt;"",COUNTIF($L$2:$L$201,表單!$A294)=0),COUNT($H$1:H293)+1,"")</f>
        <v/>
      </c>
      <c r="J294">
        <f>IF(293&lt;=COUNTA($L$2:$L$201),INDEX($L$2:$L$201,293),IFERROR(INDEX(表單!$A$2:$A$301,MATCH(293-COUNTA($L$2:$L$201),$H$2:$H$301,0)),""))</f>
        <v/>
      </c>
    </row>
    <row r="295">
      <c r="A295" s="15">
        <f>IF($J295="","",$J295)</f>
        <v/>
      </c>
      <c r="B295" s="15">
        <f>IF($A295="","",IF(ISNUMBER(MATCH($A295,表單!$A$2:$A$301,0)),INDEX(表單!$B$2:$B$301,MATCH($A295,表單!$A$2:$A$301,0)),IFERROR(INDEX($M$2:$M$201,MATCH($A295,$L$2:$L$201,0)),"")))</f>
        <v/>
      </c>
      <c r="C295" s="15">
        <f>IF($A295="","",IF(ISNUMBER(MATCH($A295,表單!$A$2:$A$301,0)),IF(TRIM(INDEX(表單!$D$2:$D$301,MATCH($A295,表單!$A$2:$A$301,0)))="","（分項工程層）",INDEX(表單!$D$2:$D$301,MATCH($A295,表單!$A$2:$A$301,0))),IFERROR(INDEX($N$2:$N$201,MATCH($A295,$L$2:$L$201,0)),"")))</f>
        <v/>
      </c>
      <c r="D295" s="15">
        <f>IF($A295="","",IF(ISNUMBER(MATCH($A295,表單!$A$2:$A$301,0)),"線上表單",IFERROR(INDEX($O$2:$O$201,MATCH($A295,$L$2:$L$201,0)),"")))</f>
        <v/>
      </c>
      <c r="E295" s="15">
        <f>IF($A295="","",IF(ISNUMBER(MATCH($A295,表單!$A$2:$A$301,0)),"本檔","系統"))</f>
        <v/>
      </c>
      <c r="H295">
        <f>IF(AND(表單!$C295="自主檢查表",表單!$A295&lt;&gt;"",COUNTIF($L$2:$L$201,表單!$A295)=0),COUNT($H$1:H294)+1,"")</f>
        <v/>
      </c>
      <c r="J295">
        <f>IF(294&lt;=COUNTA($L$2:$L$201),INDEX($L$2:$L$201,294),IFERROR(INDEX(表單!$A$2:$A$301,MATCH(294-COUNTA($L$2:$L$201),$H$2:$H$301,0)),""))</f>
        <v/>
      </c>
    </row>
    <row r="296">
      <c r="A296" s="15">
        <f>IF($J296="","",$J296)</f>
        <v/>
      </c>
      <c r="B296" s="15">
        <f>IF($A296="","",IF(ISNUMBER(MATCH($A296,表單!$A$2:$A$301,0)),INDEX(表單!$B$2:$B$301,MATCH($A296,表單!$A$2:$A$301,0)),IFERROR(INDEX($M$2:$M$201,MATCH($A296,$L$2:$L$201,0)),"")))</f>
        <v/>
      </c>
      <c r="C296" s="15">
        <f>IF($A296="","",IF(ISNUMBER(MATCH($A296,表單!$A$2:$A$301,0)),IF(TRIM(INDEX(表單!$D$2:$D$301,MATCH($A296,表單!$A$2:$A$301,0)))="","（分項工程層）",INDEX(表單!$D$2:$D$301,MATCH($A296,表單!$A$2:$A$301,0))),IFERROR(INDEX($N$2:$N$201,MATCH($A296,$L$2:$L$201,0)),"")))</f>
        <v/>
      </c>
      <c r="D296" s="15">
        <f>IF($A296="","",IF(ISNUMBER(MATCH($A296,表單!$A$2:$A$301,0)),"線上表單",IFERROR(INDEX($O$2:$O$201,MATCH($A296,$L$2:$L$201,0)),"")))</f>
        <v/>
      </c>
      <c r="E296" s="15">
        <f>IF($A296="","",IF(ISNUMBER(MATCH($A296,表單!$A$2:$A$301,0)),"本檔","系統"))</f>
        <v/>
      </c>
      <c r="H296">
        <f>IF(AND(表單!$C296="自主檢查表",表單!$A296&lt;&gt;"",COUNTIF($L$2:$L$201,表單!$A296)=0),COUNT($H$1:H295)+1,"")</f>
        <v/>
      </c>
      <c r="J296">
        <f>IF(295&lt;=COUNTA($L$2:$L$201),INDEX($L$2:$L$201,295),IFERROR(INDEX(表單!$A$2:$A$301,MATCH(295-COUNTA($L$2:$L$201),$H$2:$H$301,0)),""))</f>
        <v/>
      </c>
    </row>
    <row r="297">
      <c r="A297" s="15">
        <f>IF($J297="","",$J297)</f>
        <v/>
      </c>
      <c r="B297" s="15">
        <f>IF($A297="","",IF(ISNUMBER(MATCH($A297,表單!$A$2:$A$301,0)),INDEX(表單!$B$2:$B$301,MATCH($A297,表單!$A$2:$A$301,0)),IFERROR(INDEX($M$2:$M$201,MATCH($A297,$L$2:$L$201,0)),"")))</f>
        <v/>
      </c>
      <c r="C297" s="15">
        <f>IF($A297="","",IF(ISNUMBER(MATCH($A297,表單!$A$2:$A$301,0)),IF(TRIM(INDEX(表單!$D$2:$D$301,MATCH($A297,表單!$A$2:$A$301,0)))="","（分項工程層）",INDEX(表單!$D$2:$D$301,MATCH($A297,表單!$A$2:$A$301,0))),IFERROR(INDEX($N$2:$N$201,MATCH($A297,$L$2:$L$201,0)),"")))</f>
        <v/>
      </c>
      <c r="D297" s="15">
        <f>IF($A297="","",IF(ISNUMBER(MATCH($A297,表單!$A$2:$A$301,0)),"線上表單",IFERROR(INDEX($O$2:$O$201,MATCH($A297,$L$2:$L$201,0)),"")))</f>
        <v/>
      </c>
      <c r="E297" s="15">
        <f>IF($A297="","",IF(ISNUMBER(MATCH($A297,表單!$A$2:$A$301,0)),"本檔","系統"))</f>
        <v/>
      </c>
      <c r="H297">
        <f>IF(AND(表單!$C297="自主檢查表",表單!$A297&lt;&gt;"",COUNTIF($L$2:$L$201,表單!$A297)=0),COUNT($H$1:H296)+1,"")</f>
        <v/>
      </c>
      <c r="J297">
        <f>IF(296&lt;=COUNTA($L$2:$L$201),INDEX($L$2:$L$201,296),IFERROR(INDEX(表單!$A$2:$A$301,MATCH(296-COUNTA($L$2:$L$201),$H$2:$H$301,0)),""))</f>
        <v/>
      </c>
    </row>
    <row r="298">
      <c r="A298" s="15">
        <f>IF($J298="","",$J298)</f>
        <v/>
      </c>
      <c r="B298" s="15">
        <f>IF($A298="","",IF(ISNUMBER(MATCH($A298,表單!$A$2:$A$301,0)),INDEX(表單!$B$2:$B$301,MATCH($A298,表單!$A$2:$A$301,0)),IFERROR(INDEX($M$2:$M$201,MATCH($A298,$L$2:$L$201,0)),"")))</f>
        <v/>
      </c>
      <c r="C298" s="15">
        <f>IF($A298="","",IF(ISNUMBER(MATCH($A298,表單!$A$2:$A$301,0)),IF(TRIM(INDEX(表單!$D$2:$D$301,MATCH($A298,表單!$A$2:$A$301,0)))="","（分項工程層）",INDEX(表單!$D$2:$D$301,MATCH($A298,表單!$A$2:$A$301,0))),IFERROR(INDEX($N$2:$N$201,MATCH($A298,$L$2:$L$201,0)),"")))</f>
        <v/>
      </c>
      <c r="D298" s="15">
        <f>IF($A298="","",IF(ISNUMBER(MATCH($A298,表單!$A$2:$A$301,0)),"線上表單",IFERROR(INDEX($O$2:$O$201,MATCH($A298,$L$2:$L$201,0)),"")))</f>
        <v/>
      </c>
      <c r="E298" s="15">
        <f>IF($A298="","",IF(ISNUMBER(MATCH($A298,表單!$A$2:$A$301,0)),"本檔","系統"))</f>
        <v/>
      </c>
      <c r="H298">
        <f>IF(AND(表單!$C298="自主檢查表",表單!$A298&lt;&gt;"",COUNTIF($L$2:$L$201,表單!$A298)=0),COUNT($H$1:H297)+1,"")</f>
        <v/>
      </c>
      <c r="J298">
        <f>IF(297&lt;=COUNTA($L$2:$L$201),INDEX($L$2:$L$201,297),IFERROR(INDEX(表單!$A$2:$A$301,MATCH(297-COUNTA($L$2:$L$201),$H$2:$H$301,0)),""))</f>
        <v/>
      </c>
    </row>
    <row r="299">
      <c r="A299" s="15">
        <f>IF($J299="","",$J299)</f>
        <v/>
      </c>
      <c r="B299" s="15">
        <f>IF($A299="","",IF(ISNUMBER(MATCH($A299,表單!$A$2:$A$301,0)),INDEX(表單!$B$2:$B$301,MATCH($A299,表單!$A$2:$A$301,0)),IFERROR(INDEX($M$2:$M$201,MATCH($A299,$L$2:$L$201,0)),"")))</f>
        <v/>
      </c>
      <c r="C299" s="15">
        <f>IF($A299="","",IF(ISNUMBER(MATCH($A299,表單!$A$2:$A$301,0)),IF(TRIM(INDEX(表單!$D$2:$D$301,MATCH($A299,表單!$A$2:$A$301,0)))="","（分項工程層）",INDEX(表單!$D$2:$D$301,MATCH($A299,表單!$A$2:$A$301,0))),IFERROR(INDEX($N$2:$N$201,MATCH($A299,$L$2:$L$201,0)),"")))</f>
        <v/>
      </c>
      <c r="D299" s="15">
        <f>IF($A299="","",IF(ISNUMBER(MATCH($A299,表單!$A$2:$A$301,0)),"線上表單",IFERROR(INDEX($O$2:$O$201,MATCH($A299,$L$2:$L$201,0)),"")))</f>
        <v/>
      </c>
      <c r="E299" s="15">
        <f>IF($A299="","",IF(ISNUMBER(MATCH($A299,表單!$A$2:$A$301,0)),"本檔","系統"))</f>
        <v/>
      </c>
      <c r="H299">
        <f>IF(AND(表單!$C299="自主檢查表",表單!$A299&lt;&gt;"",COUNTIF($L$2:$L$201,表單!$A299)=0),COUNT($H$1:H298)+1,"")</f>
        <v/>
      </c>
      <c r="J299">
        <f>IF(298&lt;=COUNTA($L$2:$L$201),INDEX($L$2:$L$201,298),IFERROR(INDEX(表單!$A$2:$A$301,MATCH(298-COUNTA($L$2:$L$201),$H$2:$H$301,0)),""))</f>
        <v/>
      </c>
    </row>
    <row r="300">
      <c r="A300" s="15">
        <f>IF($J300="","",$J300)</f>
        <v/>
      </c>
      <c r="B300" s="15">
        <f>IF($A300="","",IF(ISNUMBER(MATCH($A300,表單!$A$2:$A$301,0)),INDEX(表單!$B$2:$B$301,MATCH($A300,表單!$A$2:$A$301,0)),IFERROR(INDEX($M$2:$M$201,MATCH($A300,$L$2:$L$201,0)),"")))</f>
        <v/>
      </c>
      <c r="C300" s="15">
        <f>IF($A300="","",IF(ISNUMBER(MATCH($A300,表單!$A$2:$A$301,0)),IF(TRIM(INDEX(表單!$D$2:$D$301,MATCH($A300,表單!$A$2:$A$301,0)))="","（分項工程層）",INDEX(表單!$D$2:$D$301,MATCH($A300,表單!$A$2:$A$301,0))),IFERROR(INDEX($N$2:$N$201,MATCH($A300,$L$2:$L$201,0)),"")))</f>
        <v/>
      </c>
      <c r="D300" s="15">
        <f>IF($A300="","",IF(ISNUMBER(MATCH($A300,表單!$A$2:$A$301,0)),"線上表單",IFERROR(INDEX($O$2:$O$201,MATCH($A300,$L$2:$L$201,0)),"")))</f>
        <v/>
      </c>
      <c r="E300" s="15">
        <f>IF($A300="","",IF(ISNUMBER(MATCH($A300,表單!$A$2:$A$301,0)),"本檔","系統"))</f>
        <v/>
      </c>
      <c r="H300">
        <f>IF(AND(表單!$C300="自主檢查表",表單!$A300&lt;&gt;"",COUNTIF($L$2:$L$201,表單!$A300)=0),COUNT($H$1:H299)+1,"")</f>
        <v/>
      </c>
      <c r="J300">
        <f>IF(299&lt;=COUNTA($L$2:$L$201),INDEX($L$2:$L$201,299),IFERROR(INDEX(表單!$A$2:$A$301,MATCH(299-COUNTA($L$2:$L$201),$H$2:$H$301,0)),""))</f>
        <v/>
      </c>
    </row>
    <row r="301">
      <c r="A301" s="15">
        <f>IF($J301="","",$J301)</f>
        <v/>
      </c>
      <c r="B301" s="15">
        <f>IF($A301="","",IF(ISNUMBER(MATCH($A301,表單!$A$2:$A$301,0)),INDEX(表單!$B$2:$B$301,MATCH($A301,表單!$A$2:$A$301,0)),IFERROR(INDEX($M$2:$M$201,MATCH($A301,$L$2:$L$201,0)),"")))</f>
        <v/>
      </c>
      <c r="C301" s="15">
        <f>IF($A301="","",IF(ISNUMBER(MATCH($A301,表單!$A$2:$A$301,0)),IF(TRIM(INDEX(表單!$D$2:$D$301,MATCH($A301,表單!$A$2:$A$301,0)))="","（分項工程層）",INDEX(表單!$D$2:$D$301,MATCH($A301,表單!$A$2:$A$301,0))),IFERROR(INDEX($N$2:$N$201,MATCH($A301,$L$2:$L$201,0)),"")))</f>
        <v/>
      </c>
      <c r="D301" s="15">
        <f>IF($A301="","",IF(ISNUMBER(MATCH($A301,表單!$A$2:$A$301,0)),"線上表單",IFERROR(INDEX($O$2:$O$201,MATCH($A301,$L$2:$L$201,0)),"")))</f>
        <v/>
      </c>
      <c r="E301" s="15">
        <f>IF($A301="","",IF(ISNUMBER(MATCH($A301,表單!$A$2:$A$301,0)),"本檔","系統"))</f>
        <v/>
      </c>
      <c r="H301">
        <f>IF(AND(表單!$C301="自主檢查表",表單!$A301&lt;&gt;"",COUNTIF($L$2:$L$201,表單!$A301)=0),COUNT($H$1:H300)+1,"")</f>
        <v/>
      </c>
      <c r="J301">
        <f>IF(300&lt;=COUNTA($L$2:$L$201),INDEX($L$2:$L$201,300),IFERROR(INDEX(表單!$A$2:$A$301,MATCH(300-COUNTA($L$2:$L$201),$H$2:$H$301,0)),""))</f>
        <v/>
      </c>
    </row>
    <row r="302">
      <c r="A302" s="15">
        <f>IF($J302="","",$J302)</f>
        <v/>
      </c>
      <c r="B302" s="15">
        <f>IF($A302="","",IF(ISNUMBER(MATCH($A302,表單!$A$2:$A$301,0)),INDEX(表單!$B$2:$B$301,MATCH($A302,表單!$A$2:$A$301,0)),IFERROR(INDEX($M$2:$M$201,MATCH($A302,$L$2:$L$201,0)),"")))</f>
        <v/>
      </c>
      <c r="C302" s="15">
        <f>IF($A302="","",IF(ISNUMBER(MATCH($A302,表單!$A$2:$A$301,0)),IF(TRIM(INDEX(表單!$D$2:$D$301,MATCH($A302,表單!$A$2:$A$301,0)))="","（分項工程層）",INDEX(表單!$D$2:$D$301,MATCH($A302,表單!$A$2:$A$301,0))),IFERROR(INDEX($N$2:$N$201,MATCH($A302,$L$2:$L$201,0)),"")))</f>
        <v/>
      </c>
      <c r="D302" s="15">
        <f>IF($A302="","",IF(ISNUMBER(MATCH($A302,表單!$A$2:$A$301,0)),"線上表單",IFERROR(INDEX($O$2:$O$201,MATCH($A302,$L$2:$L$201,0)),"")))</f>
        <v/>
      </c>
      <c r="E302" s="15">
        <f>IF($A302="","",IF(ISNUMBER(MATCH($A302,表單!$A$2:$A$301,0)),"本檔","系統"))</f>
        <v/>
      </c>
      <c r="J302">
        <f>IF(301&lt;=COUNTA($L$2:$L$201),INDEX($L$2:$L$201,301),IFERROR(INDEX(表單!$A$2:$A$301,MATCH(301-COUNTA($L$2:$L$201),$H$2:$H$301,0)),""))</f>
        <v/>
      </c>
    </row>
    <row r="303">
      <c r="A303" s="15">
        <f>IF($J303="","",$J303)</f>
        <v/>
      </c>
      <c r="B303" s="15">
        <f>IF($A303="","",IF(ISNUMBER(MATCH($A303,表單!$A$2:$A$301,0)),INDEX(表單!$B$2:$B$301,MATCH($A303,表單!$A$2:$A$301,0)),IFERROR(INDEX($M$2:$M$201,MATCH($A303,$L$2:$L$201,0)),"")))</f>
        <v/>
      </c>
      <c r="C303" s="15">
        <f>IF($A303="","",IF(ISNUMBER(MATCH($A303,表單!$A$2:$A$301,0)),IF(TRIM(INDEX(表單!$D$2:$D$301,MATCH($A303,表單!$A$2:$A$301,0)))="","（分項工程層）",INDEX(表單!$D$2:$D$301,MATCH($A303,表單!$A$2:$A$301,0))),IFERROR(INDEX($N$2:$N$201,MATCH($A303,$L$2:$L$201,0)),"")))</f>
        <v/>
      </c>
      <c r="D303" s="15">
        <f>IF($A303="","",IF(ISNUMBER(MATCH($A303,表單!$A$2:$A$301,0)),"線上表單",IFERROR(INDEX($O$2:$O$201,MATCH($A303,$L$2:$L$201,0)),"")))</f>
        <v/>
      </c>
      <c r="E303" s="15">
        <f>IF($A303="","",IF(ISNUMBER(MATCH($A303,表單!$A$2:$A$301,0)),"本檔","系統"))</f>
        <v/>
      </c>
      <c r="J303">
        <f>IF(302&lt;=COUNTA($L$2:$L$201),INDEX($L$2:$L$201,302),IFERROR(INDEX(表單!$A$2:$A$301,MATCH(302-COUNTA($L$2:$L$201),$H$2:$H$301,0)),""))</f>
        <v/>
      </c>
    </row>
    <row r="304">
      <c r="A304" s="15">
        <f>IF($J304="","",$J304)</f>
        <v/>
      </c>
      <c r="B304" s="15">
        <f>IF($A304="","",IF(ISNUMBER(MATCH($A304,表單!$A$2:$A$301,0)),INDEX(表單!$B$2:$B$301,MATCH($A304,表單!$A$2:$A$301,0)),IFERROR(INDEX($M$2:$M$201,MATCH($A304,$L$2:$L$201,0)),"")))</f>
        <v/>
      </c>
      <c r="C304" s="15">
        <f>IF($A304="","",IF(ISNUMBER(MATCH($A304,表單!$A$2:$A$301,0)),IF(TRIM(INDEX(表單!$D$2:$D$301,MATCH($A304,表單!$A$2:$A$301,0)))="","（分項工程層）",INDEX(表單!$D$2:$D$301,MATCH($A304,表單!$A$2:$A$301,0))),IFERROR(INDEX($N$2:$N$201,MATCH($A304,$L$2:$L$201,0)),"")))</f>
        <v/>
      </c>
      <c r="D304" s="15">
        <f>IF($A304="","",IF(ISNUMBER(MATCH($A304,表單!$A$2:$A$301,0)),"線上表單",IFERROR(INDEX($O$2:$O$201,MATCH($A304,$L$2:$L$201,0)),"")))</f>
        <v/>
      </c>
      <c r="E304" s="15">
        <f>IF($A304="","",IF(ISNUMBER(MATCH($A304,表單!$A$2:$A$301,0)),"本檔","系統"))</f>
        <v/>
      </c>
      <c r="J304">
        <f>IF(303&lt;=COUNTA($L$2:$L$201),INDEX($L$2:$L$201,303),IFERROR(INDEX(表單!$A$2:$A$301,MATCH(303-COUNTA($L$2:$L$201),$H$2:$H$301,0)),""))</f>
        <v/>
      </c>
    </row>
    <row r="305">
      <c r="A305" s="15">
        <f>IF($J305="","",$J305)</f>
        <v/>
      </c>
      <c r="B305" s="15">
        <f>IF($A305="","",IF(ISNUMBER(MATCH($A305,表單!$A$2:$A$301,0)),INDEX(表單!$B$2:$B$301,MATCH($A305,表單!$A$2:$A$301,0)),IFERROR(INDEX($M$2:$M$201,MATCH($A305,$L$2:$L$201,0)),"")))</f>
        <v/>
      </c>
      <c r="C305" s="15">
        <f>IF($A305="","",IF(ISNUMBER(MATCH($A305,表單!$A$2:$A$301,0)),IF(TRIM(INDEX(表單!$D$2:$D$301,MATCH($A305,表單!$A$2:$A$301,0)))="","（分項工程層）",INDEX(表單!$D$2:$D$301,MATCH($A305,表單!$A$2:$A$301,0))),IFERROR(INDEX($N$2:$N$201,MATCH($A305,$L$2:$L$201,0)),"")))</f>
        <v/>
      </c>
      <c r="D305" s="15">
        <f>IF($A305="","",IF(ISNUMBER(MATCH($A305,表單!$A$2:$A$301,0)),"線上表單",IFERROR(INDEX($O$2:$O$201,MATCH($A305,$L$2:$L$201,0)),"")))</f>
        <v/>
      </c>
      <c r="E305" s="15">
        <f>IF($A305="","",IF(ISNUMBER(MATCH($A305,表單!$A$2:$A$301,0)),"本檔","系統"))</f>
        <v/>
      </c>
      <c r="J305">
        <f>IF(304&lt;=COUNTA($L$2:$L$201),INDEX($L$2:$L$201,304),IFERROR(INDEX(表單!$A$2:$A$301,MATCH(304-COUNTA($L$2:$L$201),$H$2:$H$301,0)),""))</f>
        <v/>
      </c>
    </row>
    <row r="306">
      <c r="A306" s="15">
        <f>IF($J306="","",$J306)</f>
        <v/>
      </c>
      <c r="B306" s="15">
        <f>IF($A306="","",IF(ISNUMBER(MATCH($A306,表單!$A$2:$A$301,0)),INDEX(表單!$B$2:$B$301,MATCH($A306,表單!$A$2:$A$301,0)),IFERROR(INDEX($M$2:$M$201,MATCH($A306,$L$2:$L$201,0)),"")))</f>
        <v/>
      </c>
      <c r="C306" s="15">
        <f>IF($A306="","",IF(ISNUMBER(MATCH($A306,表單!$A$2:$A$301,0)),IF(TRIM(INDEX(表單!$D$2:$D$301,MATCH($A306,表單!$A$2:$A$301,0)))="","（分項工程層）",INDEX(表單!$D$2:$D$301,MATCH($A306,表單!$A$2:$A$301,0))),IFERROR(INDEX($N$2:$N$201,MATCH($A306,$L$2:$L$201,0)),"")))</f>
        <v/>
      </c>
      <c r="D306" s="15">
        <f>IF($A306="","",IF(ISNUMBER(MATCH($A306,表單!$A$2:$A$301,0)),"線上表單",IFERROR(INDEX($O$2:$O$201,MATCH($A306,$L$2:$L$201,0)),"")))</f>
        <v/>
      </c>
      <c r="E306" s="15">
        <f>IF($A306="","",IF(ISNUMBER(MATCH($A306,表單!$A$2:$A$301,0)),"本檔","系統"))</f>
        <v/>
      </c>
      <c r="J306">
        <f>IF(305&lt;=COUNTA($L$2:$L$201),INDEX($L$2:$L$201,305),IFERROR(INDEX(表單!$A$2:$A$301,MATCH(305-COUNTA($L$2:$L$201),$H$2:$H$301,0)),""))</f>
        <v/>
      </c>
    </row>
    <row r="307">
      <c r="A307" s="15">
        <f>IF($J307="","",$J307)</f>
        <v/>
      </c>
      <c r="B307" s="15">
        <f>IF($A307="","",IF(ISNUMBER(MATCH($A307,表單!$A$2:$A$301,0)),INDEX(表單!$B$2:$B$301,MATCH($A307,表單!$A$2:$A$301,0)),IFERROR(INDEX($M$2:$M$201,MATCH($A307,$L$2:$L$201,0)),"")))</f>
        <v/>
      </c>
      <c r="C307" s="15">
        <f>IF($A307="","",IF(ISNUMBER(MATCH($A307,表單!$A$2:$A$301,0)),IF(TRIM(INDEX(表單!$D$2:$D$301,MATCH($A307,表單!$A$2:$A$301,0)))="","（分項工程層）",INDEX(表單!$D$2:$D$301,MATCH($A307,表單!$A$2:$A$301,0))),IFERROR(INDEX($N$2:$N$201,MATCH($A307,$L$2:$L$201,0)),"")))</f>
        <v/>
      </c>
      <c r="D307" s="15">
        <f>IF($A307="","",IF(ISNUMBER(MATCH($A307,表單!$A$2:$A$301,0)),"線上表單",IFERROR(INDEX($O$2:$O$201,MATCH($A307,$L$2:$L$201,0)),"")))</f>
        <v/>
      </c>
      <c r="E307" s="15">
        <f>IF($A307="","",IF(ISNUMBER(MATCH($A307,表單!$A$2:$A$301,0)),"本檔","系統"))</f>
        <v/>
      </c>
      <c r="J307">
        <f>IF(306&lt;=COUNTA($L$2:$L$201),INDEX($L$2:$L$201,306),IFERROR(INDEX(表單!$A$2:$A$301,MATCH(306-COUNTA($L$2:$L$201),$H$2:$H$301,0)),""))</f>
        <v/>
      </c>
    </row>
    <row r="308">
      <c r="A308" s="15">
        <f>IF($J308="","",$J308)</f>
        <v/>
      </c>
      <c r="B308" s="15">
        <f>IF($A308="","",IF(ISNUMBER(MATCH($A308,表單!$A$2:$A$301,0)),INDEX(表單!$B$2:$B$301,MATCH($A308,表單!$A$2:$A$301,0)),IFERROR(INDEX($M$2:$M$201,MATCH($A308,$L$2:$L$201,0)),"")))</f>
        <v/>
      </c>
      <c r="C308" s="15">
        <f>IF($A308="","",IF(ISNUMBER(MATCH($A308,表單!$A$2:$A$301,0)),IF(TRIM(INDEX(表單!$D$2:$D$301,MATCH($A308,表單!$A$2:$A$301,0)))="","（分項工程層）",INDEX(表單!$D$2:$D$301,MATCH($A308,表單!$A$2:$A$301,0))),IFERROR(INDEX($N$2:$N$201,MATCH($A308,$L$2:$L$201,0)),"")))</f>
        <v/>
      </c>
      <c r="D308" s="15">
        <f>IF($A308="","",IF(ISNUMBER(MATCH($A308,表單!$A$2:$A$301,0)),"線上表單",IFERROR(INDEX($O$2:$O$201,MATCH($A308,$L$2:$L$201,0)),"")))</f>
        <v/>
      </c>
      <c r="E308" s="15">
        <f>IF($A308="","",IF(ISNUMBER(MATCH($A308,表單!$A$2:$A$301,0)),"本檔","系統"))</f>
        <v/>
      </c>
      <c r="J308">
        <f>IF(307&lt;=COUNTA($L$2:$L$201),INDEX($L$2:$L$201,307),IFERROR(INDEX(表單!$A$2:$A$301,MATCH(307-COUNTA($L$2:$L$201),$H$2:$H$301,0)),""))</f>
        <v/>
      </c>
    </row>
    <row r="309">
      <c r="A309" s="15">
        <f>IF($J309="","",$J309)</f>
        <v/>
      </c>
      <c r="B309" s="15">
        <f>IF($A309="","",IF(ISNUMBER(MATCH($A309,表單!$A$2:$A$301,0)),INDEX(表單!$B$2:$B$301,MATCH($A309,表單!$A$2:$A$301,0)),IFERROR(INDEX($M$2:$M$201,MATCH($A309,$L$2:$L$201,0)),"")))</f>
        <v/>
      </c>
      <c r="C309" s="15">
        <f>IF($A309="","",IF(ISNUMBER(MATCH($A309,表單!$A$2:$A$301,0)),IF(TRIM(INDEX(表單!$D$2:$D$301,MATCH($A309,表單!$A$2:$A$301,0)))="","（分項工程層）",INDEX(表單!$D$2:$D$301,MATCH($A309,表單!$A$2:$A$301,0))),IFERROR(INDEX($N$2:$N$201,MATCH($A309,$L$2:$L$201,0)),"")))</f>
        <v/>
      </c>
      <c r="D309" s="15">
        <f>IF($A309="","",IF(ISNUMBER(MATCH($A309,表單!$A$2:$A$301,0)),"線上表單",IFERROR(INDEX($O$2:$O$201,MATCH($A309,$L$2:$L$201,0)),"")))</f>
        <v/>
      </c>
      <c r="E309" s="15">
        <f>IF($A309="","",IF(ISNUMBER(MATCH($A309,表單!$A$2:$A$301,0)),"本檔","系統"))</f>
        <v/>
      </c>
      <c r="J309">
        <f>IF(308&lt;=COUNTA($L$2:$L$201),INDEX($L$2:$L$201,308),IFERROR(INDEX(表單!$A$2:$A$301,MATCH(308-COUNTA($L$2:$L$201),$H$2:$H$301,0)),""))</f>
        <v/>
      </c>
    </row>
    <row r="310">
      <c r="A310" s="15">
        <f>IF($J310="","",$J310)</f>
        <v/>
      </c>
      <c r="B310" s="15">
        <f>IF($A310="","",IF(ISNUMBER(MATCH($A310,表單!$A$2:$A$301,0)),INDEX(表單!$B$2:$B$301,MATCH($A310,表單!$A$2:$A$301,0)),IFERROR(INDEX($M$2:$M$201,MATCH($A310,$L$2:$L$201,0)),"")))</f>
        <v/>
      </c>
      <c r="C310" s="15">
        <f>IF($A310="","",IF(ISNUMBER(MATCH($A310,表單!$A$2:$A$301,0)),IF(TRIM(INDEX(表單!$D$2:$D$301,MATCH($A310,表單!$A$2:$A$301,0)))="","（分項工程層）",INDEX(表單!$D$2:$D$301,MATCH($A310,表單!$A$2:$A$301,0))),IFERROR(INDEX($N$2:$N$201,MATCH($A310,$L$2:$L$201,0)),"")))</f>
        <v/>
      </c>
      <c r="D310" s="15">
        <f>IF($A310="","",IF(ISNUMBER(MATCH($A310,表單!$A$2:$A$301,0)),"線上表單",IFERROR(INDEX($O$2:$O$201,MATCH($A310,$L$2:$L$201,0)),"")))</f>
        <v/>
      </c>
      <c r="E310" s="15">
        <f>IF($A310="","",IF(ISNUMBER(MATCH($A310,表單!$A$2:$A$301,0)),"本檔","系統"))</f>
        <v/>
      </c>
      <c r="J310">
        <f>IF(309&lt;=COUNTA($L$2:$L$201),INDEX($L$2:$L$201,309),IFERROR(INDEX(表單!$A$2:$A$301,MATCH(309-COUNTA($L$2:$L$201),$H$2:$H$301,0)),""))</f>
        <v/>
      </c>
    </row>
    <row r="311">
      <c r="A311" s="15">
        <f>IF($J311="","",$J311)</f>
        <v/>
      </c>
      <c r="B311" s="15">
        <f>IF($A311="","",IF(ISNUMBER(MATCH($A311,表單!$A$2:$A$301,0)),INDEX(表單!$B$2:$B$301,MATCH($A311,表單!$A$2:$A$301,0)),IFERROR(INDEX($M$2:$M$201,MATCH($A311,$L$2:$L$201,0)),"")))</f>
        <v/>
      </c>
      <c r="C311" s="15">
        <f>IF($A311="","",IF(ISNUMBER(MATCH($A311,表單!$A$2:$A$301,0)),IF(TRIM(INDEX(表單!$D$2:$D$301,MATCH($A311,表單!$A$2:$A$301,0)))="","（分項工程層）",INDEX(表單!$D$2:$D$301,MATCH($A311,表單!$A$2:$A$301,0))),IFERROR(INDEX($N$2:$N$201,MATCH($A311,$L$2:$L$201,0)),"")))</f>
        <v/>
      </c>
      <c r="D311" s="15">
        <f>IF($A311="","",IF(ISNUMBER(MATCH($A311,表單!$A$2:$A$301,0)),"線上表單",IFERROR(INDEX($O$2:$O$201,MATCH($A311,$L$2:$L$201,0)),"")))</f>
        <v/>
      </c>
      <c r="E311" s="15">
        <f>IF($A311="","",IF(ISNUMBER(MATCH($A311,表單!$A$2:$A$301,0)),"本檔","系統"))</f>
        <v/>
      </c>
      <c r="J311">
        <f>IF(310&lt;=COUNTA($L$2:$L$201),INDEX($L$2:$L$201,310),IFERROR(INDEX(表單!$A$2:$A$301,MATCH(310-COUNTA($L$2:$L$201),$H$2:$H$301,0)),""))</f>
        <v/>
      </c>
    </row>
    <row r="312">
      <c r="A312" s="15">
        <f>IF($J312="","",$J312)</f>
        <v/>
      </c>
      <c r="B312" s="15">
        <f>IF($A312="","",IF(ISNUMBER(MATCH($A312,表單!$A$2:$A$301,0)),INDEX(表單!$B$2:$B$301,MATCH($A312,表單!$A$2:$A$301,0)),IFERROR(INDEX($M$2:$M$201,MATCH($A312,$L$2:$L$201,0)),"")))</f>
        <v/>
      </c>
      <c r="C312" s="15">
        <f>IF($A312="","",IF(ISNUMBER(MATCH($A312,表單!$A$2:$A$301,0)),IF(TRIM(INDEX(表單!$D$2:$D$301,MATCH($A312,表單!$A$2:$A$301,0)))="","（分項工程層）",INDEX(表單!$D$2:$D$301,MATCH($A312,表單!$A$2:$A$301,0))),IFERROR(INDEX($N$2:$N$201,MATCH($A312,$L$2:$L$201,0)),"")))</f>
        <v/>
      </c>
      <c r="D312" s="15">
        <f>IF($A312="","",IF(ISNUMBER(MATCH($A312,表單!$A$2:$A$301,0)),"線上表單",IFERROR(INDEX($O$2:$O$201,MATCH($A312,$L$2:$L$201,0)),"")))</f>
        <v/>
      </c>
      <c r="E312" s="15">
        <f>IF($A312="","",IF(ISNUMBER(MATCH($A312,表單!$A$2:$A$301,0)),"本檔","系統"))</f>
        <v/>
      </c>
      <c r="J312">
        <f>IF(311&lt;=COUNTA($L$2:$L$201),INDEX($L$2:$L$201,311),IFERROR(INDEX(表單!$A$2:$A$301,MATCH(311-COUNTA($L$2:$L$201),$H$2:$H$301,0)),""))</f>
        <v/>
      </c>
    </row>
    <row r="313">
      <c r="A313" s="15">
        <f>IF($J313="","",$J313)</f>
        <v/>
      </c>
      <c r="B313" s="15">
        <f>IF($A313="","",IF(ISNUMBER(MATCH($A313,表單!$A$2:$A$301,0)),INDEX(表單!$B$2:$B$301,MATCH($A313,表單!$A$2:$A$301,0)),IFERROR(INDEX($M$2:$M$201,MATCH($A313,$L$2:$L$201,0)),"")))</f>
        <v/>
      </c>
      <c r="C313" s="15">
        <f>IF($A313="","",IF(ISNUMBER(MATCH($A313,表單!$A$2:$A$301,0)),IF(TRIM(INDEX(表單!$D$2:$D$301,MATCH($A313,表單!$A$2:$A$301,0)))="","（分項工程層）",INDEX(表單!$D$2:$D$301,MATCH($A313,表單!$A$2:$A$301,0))),IFERROR(INDEX($N$2:$N$201,MATCH($A313,$L$2:$L$201,0)),"")))</f>
        <v/>
      </c>
      <c r="D313" s="15">
        <f>IF($A313="","",IF(ISNUMBER(MATCH($A313,表單!$A$2:$A$301,0)),"線上表單",IFERROR(INDEX($O$2:$O$201,MATCH($A313,$L$2:$L$201,0)),"")))</f>
        <v/>
      </c>
      <c r="E313" s="15">
        <f>IF($A313="","",IF(ISNUMBER(MATCH($A313,表單!$A$2:$A$301,0)),"本檔","系統"))</f>
        <v/>
      </c>
      <c r="J313">
        <f>IF(312&lt;=COUNTA($L$2:$L$201),INDEX($L$2:$L$201,312),IFERROR(INDEX(表單!$A$2:$A$301,MATCH(312-COUNTA($L$2:$L$201),$H$2:$H$301,0)),""))</f>
        <v/>
      </c>
    </row>
    <row r="314">
      <c r="A314" s="15">
        <f>IF($J314="","",$J314)</f>
        <v/>
      </c>
      <c r="B314" s="15">
        <f>IF($A314="","",IF(ISNUMBER(MATCH($A314,表單!$A$2:$A$301,0)),INDEX(表單!$B$2:$B$301,MATCH($A314,表單!$A$2:$A$301,0)),IFERROR(INDEX($M$2:$M$201,MATCH($A314,$L$2:$L$201,0)),"")))</f>
        <v/>
      </c>
      <c r="C314" s="15">
        <f>IF($A314="","",IF(ISNUMBER(MATCH($A314,表單!$A$2:$A$301,0)),IF(TRIM(INDEX(表單!$D$2:$D$301,MATCH($A314,表單!$A$2:$A$301,0)))="","（分項工程層）",INDEX(表單!$D$2:$D$301,MATCH($A314,表單!$A$2:$A$301,0))),IFERROR(INDEX($N$2:$N$201,MATCH($A314,$L$2:$L$201,0)),"")))</f>
        <v/>
      </c>
      <c r="D314" s="15">
        <f>IF($A314="","",IF(ISNUMBER(MATCH($A314,表單!$A$2:$A$301,0)),"線上表單",IFERROR(INDEX($O$2:$O$201,MATCH($A314,$L$2:$L$201,0)),"")))</f>
        <v/>
      </c>
      <c r="E314" s="15">
        <f>IF($A314="","",IF(ISNUMBER(MATCH($A314,表單!$A$2:$A$301,0)),"本檔","系統"))</f>
        <v/>
      </c>
      <c r="J314">
        <f>IF(313&lt;=COUNTA($L$2:$L$201),INDEX($L$2:$L$201,313),IFERROR(INDEX(表單!$A$2:$A$301,MATCH(313-COUNTA($L$2:$L$201),$H$2:$H$301,0)),""))</f>
        <v/>
      </c>
    </row>
    <row r="315">
      <c r="A315" s="15">
        <f>IF($J315="","",$J315)</f>
        <v/>
      </c>
      <c r="B315" s="15">
        <f>IF($A315="","",IF(ISNUMBER(MATCH($A315,表單!$A$2:$A$301,0)),INDEX(表單!$B$2:$B$301,MATCH($A315,表單!$A$2:$A$301,0)),IFERROR(INDEX($M$2:$M$201,MATCH($A315,$L$2:$L$201,0)),"")))</f>
        <v/>
      </c>
      <c r="C315" s="15">
        <f>IF($A315="","",IF(ISNUMBER(MATCH($A315,表單!$A$2:$A$301,0)),IF(TRIM(INDEX(表單!$D$2:$D$301,MATCH($A315,表單!$A$2:$A$301,0)))="","（分項工程層）",INDEX(表單!$D$2:$D$301,MATCH($A315,表單!$A$2:$A$301,0))),IFERROR(INDEX($N$2:$N$201,MATCH($A315,$L$2:$L$201,0)),"")))</f>
        <v/>
      </c>
      <c r="D315" s="15">
        <f>IF($A315="","",IF(ISNUMBER(MATCH($A315,表單!$A$2:$A$301,0)),"線上表單",IFERROR(INDEX($O$2:$O$201,MATCH($A315,$L$2:$L$201,0)),"")))</f>
        <v/>
      </c>
      <c r="E315" s="15">
        <f>IF($A315="","",IF(ISNUMBER(MATCH($A315,表單!$A$2:$A$301,0)),"本檔","系統"))</f>
        <v/>
      </c>
      <c r="J315">
        <f>IF(314&lt;=COUNTA($L$2:$L$201),INDEX($L$2:$L$201,314),IFERROR(INDEX(表單!$A$2:$A$301,MATCH(314-COUNTA($L$2:$L$201),$H$2:$H$301,0)),""))</f>
        <v/>
      </c>
    </row>
    <row r="316">
      <c r="A316" s="15">
        <f>IF($J316="","",$J316)</f>
        <v/>
      </c>
      <c r="B316" s="15">
        <f>IF($A316="","",IF(ISNUMBER(MATCH($A316,表單!$A$2:$A$301,0)),INDEX(表單!$B$2:$B$301,MATCH($A316,表單!$A$2:$A$301,0)),IFERROR(INDEX($M$2:$M$201,MATCH($A316,$L$2:$L$201,0)),"")))</f>
        <v/>
      </c>
      <c r="C316" s="15">
        <f>IF($A316="","",IF(ISNUMBER(MATCH($A316,表單!$A$2:$A$301,0)),IF(TRIM(INDEX(表單!$D$2:$D$301,MATCH($A316,表單!$A$2:$A$301,0)))="","（分項工程層）",INDEX(表單!$D$2:$D$301,MATCH($A316,表單!$A$2:$A$301,0))),IFERROR(INDEX($N$2:$N$201,MATCH($A316,$L$2:$L$201,0)),"")))</f>
        <v/>
      </c>
      <c r="D316" s="15">
        <f>IF($A316="","",IF(ISNUMBER(MATCH($A316,表單!$A$2:$A$301,0)),"線上表單",IFERROR(INDEX($O$2:$O$201,MATCH($A316,$L$2:$L$201,0)),"")))</f>
        <v/>
      </c>
      <c r="E316" s="15">
        <f>IF($A316="","",IF(ISNUMBER(MATCH($A316,表單!$A$2:$A$301,0)),"本檔","系統"))</f>
        <v/>
      </c>
      <c r="J316">
        <f>IF(315&lt;=COUNTA($L$2:$L$201),INDEX($L$2:$L$201,315),IFERROR(INDEX(表單!$A$2:$A$301,MATCH(315-COUNTA($L$2:$L$201),$H$2:$H$301,0)),""))</f>
        <v/>
      </c>
    </row>
    <row r="317">
      <c r="A317" s="15">
        <f>IF($J317="","",$J317)</f>
        <v/>
      </c>
      <c r="B317" s="15">
        <f>IF($A317="","",IF(ISNUMBER(MATCH($A317,表單!$A$2:$A$301,0)),INDEX(表單!$B$2:$B$301,MATCH($A317,表單!$A$2:$A$301,0)),IFERROR(INDEX($M$2:$M$201,MATCH($A317,$L$2:$L$201,0)),"")))</f>
        <v/>
      </c>
      <c r="C317" s="15">
        <f>IF($A317="","",IF(ISNUMBER(MATCH($A317,表單!$A$2:$A$301,0)),IF(TRIM(INDEX(表單!$D$2:$D$301,MATCH($A317,表單!$A$2:$A$301,0)))="","（分項工程層）",INDEX(表單!$D$2:$D$301,MATCH($A317,表單!$A$2:$A$301,0))),IFERROR(INDEX($N$2:$N$201,MATCH($A317,$L$2:$L$201,0)),"")))</f>
        <v/>
      </c>
      <c r="D317" s="15">
        <f>IF($A317="","",IF(ISNUMBER(MATCH($A317,表單!$A$2:$A$301,0)),"線上表單",IFERROR(INDEX($O$2:$O$201,MATCH($A317,$L$2:$L$201,0)),"")))</f>
        <v/>
      </c>
      <c r="E317" s="15">
        <f>IF($A317="","",IF(ISNUMBER(MATCH($A317,表單!$A$2:$A$301,0)),"本檔","系統"))</f>
        <v/>
      </c>
      <c r="J317">
        <f>IF(316&lt;=COUNTA($L$2:$L$201),INDEX($L$2:$L$201,316),IFERROR(INDEX(表單!$A$2:$A$301,MATCH(316-COUNTA($L$2:$L$201),$H$2:$H$301,0)),""))</f>
        <v/>
      </c>
    </row>
    <row r="318">
      <c r="A318" s="15">
        <f>IF($J318="","",$J318)</f>
        <v/>
      </c>
      <c r="B318" s="15">
        <f>IF($A318="","",IF(ISNUMBER(MATCH($A318,表單!$A$2:$A$301,0)),INDEX(表單!$B$2:$B$301,MATCH($A318,表單!$A$2:$A$301,0)),IFERROR(INDEX($M$2:$M$201,MATCH($A318,$L$2:$L$201,0)),"")))</f>
        <v/>
      </c>
      <c r="C318" s="15">
        <f>IF($A318="","",IF(ISNUMBER(MATCH($A318,表單!$A$2:$A$301,0)),IF(TRIM(INDEX(表單!$D$2:$D$301,MATCH($A318,表單!$A$2:$A$301,0)))="","（分項工程層）",INDEX(表單!$D$2:$D$301,MATCH($A318,表單!$A$2:$A$301,0))),IFERROR(INDEX($N$2:$N$201,MATCH($A318,$L$2:$L$201,0)),"")))</f>
        <v/>
      </c>
      <c r="D318" s="15">
        <f>IF($A318="","",IF(ISNUMBER(MATCH($A318,表單!$A$2:$A$301,0)),"線上表單",IFERROR(INDEX($O$2:$O$201,MATCH($A318,$L$2:$L$201,0)),"")))</f>
        <v/>
      </c>
      <c r="E318" s="15">
        <f>IF($A318="","",IF(ISNUMBER(MATCH($A318,表單!$A$2:$A$301,0)),"本檔","系統"))</f>
        <v/>
      </c>
      <c r="J318">
        <f>IF(317&lt;=COUNTA($L$2:$L$201),INDEX($L$2:$L$201,317),IFERROR(INDEX(表單!$A$2:$A$301,MATCH(317-COUNTA($L$2:$L$201),$H$2:$H$301,0)),""))</f>
        <v/>
      </c>
    </row>
    <row r="319">
      <c r="A319" s="15">
        <f>IF($J319="","",$J319)</f>
        <v/>
      </c>
      <c r="B319" s="15">
        <f>IF($A319="","",IF(ISNUMBER(MATCH($A319,表單!$A$2:$A$301,0)),INDEX(表單!$B$2:$B$301,MATCH($A319,表單!$A$2:$A$301,0)),IFERROR(INDEX($M$2:$M$201,MATCH($A319,$L$2:$L$201,0)),"")))</f>
        <v/>
      </c>
      <c r="C319" s="15">
        <f>IF($A319="","",IF(ISNUMBER(MATCH($A319,表單!$A$2:$A$301,0)),IF(TRIM(INDEX(表單!$D$2:$D$301,MATCH($A319,表單!$A$2:$A$301,0)))="","（分項工程層）",INDEX(表單!$D$2:$D$301,MATCH($A319,表單!$A$2:$A$301,0))),IFERROR(INDEX($N$2:$N$201,MATCH($A319,$L$2:$L$201,0)),"")))</f>
        <v/>
      </c>
      <c r="D319" s="15">
        <f>IF($A319="","",IF(ISNUMBER(MATCH($A319,表單!$A$2:$A$301,0)),"線上表單",IFERROR(INDEX($O$2:$O$201,MATCH($A319,$L$2:$L$201,0)),"")))</f>
        <v/>
      </c>
      <c r="E319" s="15">
        <f>IF($A319="","",IF(ISNUMBER(MATCH($A319,表單!$A$2:$A$301,0)),"本檔","系統"))</f>
        <v/>
      </c>
      <c r="J319">
        <f>IF(318&lt;=COUNTA($L$2:$L$201),INDEX($L$2:$L$201,318),IFERROR(INDEX(表單!$A$2:$A$301,MATCH(318-COUNTA($L$2:$L$201),$H$2:$H$301,0)),""))</f>
        <v/>
      </c>
    </row>
    <row r="320">
      <c r="A320" s="15">
        <f>IF($J320="","",$J320)</f>
        <v/>
      </c>
      <c r="B320" s="15">
        <f>IF($A320="","",IF(ISNUMBER(MATCH($A320,表單!$A$2:$A$301,0)),INDEX(表單!$B$2:$B$301,MATCH($A320,表單!$A$2:$A$301,0)),IFERROR(INDEX($M$2:$M$201,MATCH($A320,$L$2:$L$201,0)),"")))</f>
        <v/>
      </c>
      <c r="C320" s="15">
        <f>IF($A320="","",IF(ISNUMBER(MATCH($A320,表單!$A$2:$A$301,0)),IF(TRIM(INDEX(表單!$D$2:$D$301,MATCH($A320,表單!$A$2:$A$301,0)))="","（分項工程層）",INDEX(表單!$D$2:$D$301,MATCH($A320,表單!$A$2:$A$301,0))),IFERROR(INDEX($N$2:$N$201,MATCH($A320,$L$2:$L$201,0)),"")))</f>
        <v/>
      </c>
      <c r="D320" s="15">
        <f>IF($A320="","",IF(ISNUMBER(MATCH($A320,表單!$A$2:$A$301,0)),"線上表單",IFERROR(INDEX($O$2:$O$201,MATCH($A320,$L$2:$L$201,0)),"")))</f>
        <v/>
      </c>
      <c r="E320" s="15">
        <f>IF($A320="","",IF(ISNUMBER(MATCH($A320,表單!$A$2:$A$301,0)),"本檔","系統"))</f>
        <v/>
      </c>
      <c r="J320">
        <f>IF(319&lt;=COUNTA($L$2:$L$201),INDEX($L$2:$L$201,319),IFERROR(INDEX(表單!$A$2:$A$301,MATCH(319-COUNTA($L$2:$L$201),$H$2:$H$301,0)),""))</f>
        <v/>
      </c>
    </row>
    <row r="321">
      <c r="A321" s="15">
        <f>IF($J321="","",$J321)</f>
        <v/>
      </c>
      <c r="B321" s="15">
        <f>IF($A321="","",IF(ISNUMBER(MATCH($A321,表單!$A$2:$A$301,0)),INDEX(表單!$B$2:$B$301,MATCH($A321,表單!$A$2:$A$301,0)),IFERROR(INDEX($M$2:$M$201,MATCH($A321,$L$2:$L$201,0)),"")))</f>
        <v/>
      </c>
      <c r="C321" s="15">
        <f>IF($A321="","",IF(ISNUMBER(MATCH($A321,表單!$A$2:$A$301,0)),IF(TRIM(INDEX(表單!$D$2:$D$301,MATCH($A321,表單!$A$2:$A$301,0)))="","（分項工程層）",INDEX(表單!$D$2:$D$301,MATCH($A321,表單!$A$2:$A$301,0))),IFERROR(INDEX($N$2:$N$201,MATCH($A321,$L$2:$L$201,0)),"")))</f>
        <v/>
      </c>
      <c r="D321" s="15">
        <f>IF($A321="","",IF(ISNUMBER(MATCH($A321,表單!$A$2:$A$301,0)),"線上表單",IFERROR(INDEX($O$2:$O$201,MATCH($A321,$L$2:$L$201,0)),"")))</f>
        <v/>
      </c>
      <c r="E321" s="15">
        <f>IF($A321="","",IF(ISNUMBER(MATCH($A321,表單!$A$2:$A$301,0)),"本檔","系統"))</f>
        <v/>
      </c>
      <c r="J321">
        <f>IF(320&lt;=COUNTA($L$2:$L$201),INDEX($L$2:$L$201,320),IFERROR(INDEX(表單!$A$2:$A$301,MATCH(320-COUNTA($L$2:$L$201),$H$2:$H$301,0)),""))</f>
        <v/>
      </c>
    </row>
    <row r="322">
      <c r="A322" s="15">
        <f>IF($J322="","",$J322)</f>
        <v/>
      </c>
      <c r="B322" s="15">
        <f>IF($A322="","",IF(ISNUMBER(MATCH($A322,表單!$A$2:$A$301,0)),INDEX(表單!$B$2:$B$301,MATCH($A322,表單!$A$2:$A$301,0)),IFERROR(INDEX($M$2:$M$201,MATCH($A322,$L$2:$L$201,0)),"")))</f>
        <v/>
      </c>
      <c r="C322" s="15">
        <f>IF($A322="","",IF(ISNUMBER(MATCH($A322,表單!$A$2:$A$301,0)),IF(TRIM(INDEX(表單!$D$2:$D$301,MATCH($A322,表單!$A$2:$A$301,0)))="","（分項工程層）",INDEX(表單!$D$2:$D$301,MATCH($A322,表單!$A$2:$A$301,0))),IFERROR(INDEX($N$2:$N$201,MATCH($A322,$L$2:$L$201,0)),"")))</f>
        <v/>
      </c>
      <c r="D322" s="15">
        <f>IF($A322="","",IF(ISNUMBER(MATCH($A322,表單!$A$2:$A$301,0)),"線上表單",IFERROR(INDEX($O$2:$O$201,MATCH($A322,$L$2:$L$201,0)),"")))</f>
        <v/>
      </c>
      <c r="E322" s="15">
        <f>IF($A322="","",IF(ISNUMBER(MATCH($A322,表單!$A$2:$A$301,0)),"本檔","系統"))</f>
        <v/>
      </c>
      <c r="J322">
        <f>IF(321&lt;=COUNTA($L$2:$L$201),INDEX($L$2:$L$201,321),IFERROR(INDEX(表單!$A$2:$A$301,MATCH(321-COUNTA($L$2:$L$201),$H$2:$H$301,0)),""))</f>
        <v/>
      </c>
    </row>
    <row r="323">
      <c r="A323" s="15">
        <f>IF($J323="","",$J323)</f>
        <v/>
      </c>
      <c r="B323" s="15">
        <f>IF($A323="","",IF(ISNUMBER(MATCH($A323,表單!$A$2:$A$301,0)),INDEX(表單!$B$2:$B$301,MATCH($A323,表單!$A$2:$A$301,0)),IFERROR(INDEX($M$2:$M$201,MATCH($A323,$L$2:$L$201,0)),"")))</f>
        <v/>
      </c>
      <c r="C323" s="15">
        <f>IF($A323="","",IF(ISNUMBER(MATCH($A323,表單!$A$2:$A$301,0)),IF(TRIM(INDEX(表單!$D$2:$D$301,MATCH($A323,表單!$A$2:$A$301,0)))="","（分項工程層）",INDEX(表單!$D$2:$D$301,MATCH($A323,表單!$A$2:$A$301,0))),IFERROR(INDEX($N$2:$N$201,MATCH($A323,$L$2:$L$201,0)),"")))</f>
        <v/>
      </c>
      <c r="D323" s="15">
        <f>IF($A323="","",IF(ISNUMBER(MATCH($A323,表單!$A$2:$A$301,0)),"線上表單",IFERROR(INDEX($O$2:$O$201,MATCH($A323,$L$2:$L$201,0)),"")))</f>
        <v/>
      </c>
      <c r="E323" s="15">
        <f>IF($A323="","",IF(ISNUMBER(MATCH($A323,表單!$A$2:$A$301,0)),"本檔","系統"))</f>
        <v/>
      </c>
      <c r="J323">
        <f>IF(322&lt;=COUNTA($L$2:$L$201),INDEX($L$2:$L$201,322),IFERROR(INDEX(表單!$A$2:$A$301,MATCH(322-COUNTA($L$2:$L$201),$H$2:$H$301,0)),""))</f>
        <v/>
      </c>
    </row>
    <row r="324">
      <c r="A324" s="15">
        <f>IF($J324="","",$J324)</f>
        <v/>
      </c>
      <c r="B324" s="15">
        <f>IF($A324="","",IF(ISNUMBER(MATCH($A324,表單!$A$2:$A$301,0)),INDEX(表單!$B$2:$B$301,MATCH($A324,表單!$A$2:$A$301,0)),IFERROR(INDEX($M$2:$M$201,MATCH($A324,$L$2:$L$201,0)),"")))</f>
        <v/>
      </c>
      <c r="C324" s="15">
        <f>IF($A324="","",IF(ISNUMBER(MATCH($A324,表單!$A$2:$A$301,0)),IF(TRIM(INDEX(表單!$D$2:$D$301,MATCH($A324,表單!$A$2:$A$301,0)))="","（分項工程層）",INDEX(表單!$D$2:$D$301,MATCH($A324,表單!$A$2:$A$301,0))),IFERROR(INDEX($N$2:$N$201,MATCH($A324,$L$2:$L$201,0)),"")))</f>
        <v/>
      </c>
      <c r="D324" s="15">
        <f>IF($A324="","",IF(ISNUMBER(MATCH($A324,表單!$A$2:$A$301,0)),"線上表單",IFERROR(INDEX($O$2:$O$201,MATCH($A324,$L$2:$L$201,0)),"")))</f>
        <v/>
      </c>
      <c r="E324" s="15">
        <f>IF($A324="","",IF(ISNUMBER(MATCH($A324,表單!$A$2:$A$301,0)),"本檔","系統"))</f>
        <v/>
      </c>
      <c r="J324">
        <f>IF(323&lt;=COUNTA($L$2:$L$201),INDEX($L$2:$L$201,323),IFERROR(INDEX(表單!$A$2:$A$301,MATCH(323-COUNTA($L$2:$L$201),$H$2:$H$301,0)),""))</f>
        <v/>
      </c>
    </row>
    <row r="325">
      <c r="A325" s="15">
        <f>IF($J325="","",$J325)</f>
        <v/>
      </c>
      <c r="B325" s="15">
        <f>IF($A325="","",IF(ISNUMBER(MATCH($A325,表單!$A$2:$A$301,0)),INDEX(表單!$B$2:$B$301,MATCH($A325,表單!$A$2:$A$301,0)),IFERROR(INDEX($M$2:$M$201,MATCH($A325,$L$2:$L$201,0)),"")))</f>
        <v/>
      </c>
      <c r="C325" s="15">
        <f>IF($A325="","",IF(ISNUMBER(MATCH($A325,表單!$A$2:$A$301,0)),IF(TRIM(INDEX(表單!$D$2:$D$301,MATCH($A325,表單!$A$2:$A$301,0)))="","（分項工程層）",INDEX(表單!$D$2:$D$301,MATCH($A325,表單!$A$2:$A$301,0))),IFERROR(INDEX($N$2:$N$201,MATCH($A325,$L$2:$L$201,0)),"")))</f>
        <v/>
      </c>
      <c r="D325" s="15">
        <f>IF($A325="","",IF(ISNUMBER(MATCH($A325,表單!$A$2:$A$301,0)),"線上表單",IFERROR(INDEX($O$2:$O$201,MATCH($A325,$L$2:$L$201,0)),"")))</f>
        <v/>
      </c>
      <c r="E325" s="15">
        <f>IF($A325="","",IF(ISNUMBER(MATCH($A325,表單!$A$2:$A$301,0)),"本檔","系統"))</f>
        <v/>
      </c>
      <c r="J325">
        <f>IF(324&lt;=COUNTA($L$2:$L$201),INDEX($L$2:$L$201,324),IFERROR(INDEX(表單!$A$2:$A$301,MATCH(324-COUNTA($L$2:$L$201),$H$2:$H$301,0)),""))</f>
        <v/>
      </c>
    </row>
    <row r="326">
      <c r="A326" s="15">
        <f>IF($J326="","",$J326)</f>
        <v/>
      </c>
      <c r="B326" s="15">
        <f>IF($A326="","",IF(ISNUMBER(MATCH($A326,表單!$A$2:$A$301,0)),INDEX(表單!$B$2:$B$301,MATCH($A326,表單!$A$2:$A$301,0)),IFERROR(INDEX($M$2:$M$201,MATCH($A326,$L$2:$L$201,0)),"")))</f>
        <v/>
      </c>
      <c r="C326" s="15">
        <f>IF($A326="","",IF(ISNUMBER(MATCH($A326,表單!$A$2:$A$301,0)),IF(TRIM(INDEX(表單!$D$2:$D$301,MATCH($A326,表單!$A$2:$A$301,0)))="","（分項工程層）",INDEX(表單!$D$2:$D$301,MATCH($A326,表單!$A$2:$A$301,0))),IFERROR(INDEX($N$2:$N$201,MATCH($A326,$L$2:$L$201,0)),"")))</f>
        <v/>
      </c>
      <c r="D326" s="15">
        <f>IF($A326="","",IF(ISNUMBER(MATCH($A326,表單!$A$2:$A$301,0)),"線上表單",IFERROR(INDEX($O$2:$O$201,MATCH($A326,$L$2:$L$201,0)),"")))</f>
        <v/>
      </c>
      <c r="E326" s="15">
        <f>IF($A326="","",IF(ISNUMBER(MATCH($A326,表單!$A$2:$A$301,0)),"本檔","系統"))</f>
        <v/>
      </c>
      <c r="J326">
        <f>IF(325&lt;=COUNTA($L$2:$L$201),INDEX($L$2:$L$201,325),IFERROR(INDEX(表單!$A$2:$A$301,MATCH(325-COUNTA($L$2:$L$201),$H$2:$H$301,0)),""))</f>
        <v/>
      </c>
    </row>
    <row r="327">
      <c r="A327" s="15">
        <f>IF($J327="","",$J327)</f>
        <v/>
      </c>
      <c r="B327" s="15">
        <f>IF($A327="","",IF(ISNUMBER(MATCH($A327,表單!$A$2:$A$301,0)),INDEX(表單!$B$2:$B$301,MATCH($A327,表單!$A$2:$A$301,0)),IFERROR(INDEX($M$2:$M$201,MATCH($A327,$L$2:$L$201,0)),"")))</f>
        <v/>
      </c>
      <c r="C327" s="15">
        <f>IF($A327="","",IF(ISNUMBER(MATCH($A327,表單!$A$2:$A$301,0)),IF(TRIM(INDEX(表單!$D$2:$D$301,MATCH($A327,表單!$A$2:$A$301,0)))="","（分項工程層）",INDEX(表單!$D$2:$D$301,MATCH($A327,表單!$A$2:$A$301,0))),IFERROR(INDEX($N$2:$N$201,MATCH($A327,$L$2:$L$201,0)),"")))</f>
        <v/>
      </c>
      <c r="D327" s="15">
        <f>IF($A327="","",IF(ISNUMBER(MATCH($A327,表單!$A$2:$A$301,0)),"線上表單",IFERROR(INDEX($O$2:$O$201,MATCH($A327,$L$2:$L$201,0)),"")))</f>
        <v/>
      </c>
      <c r="E327" s="15">
        <f>IF($A327="","",IF(ISNUMBER(MATCH($A327,表單!$A$2:$A$301,0)),"本檔","系統"))</f>
        <v/>
      </c>
      <c r="J327">
        <f>IF(326&lt;=COUNTA($L$2:$L$201),INDEX($L$2:$L$201,326),IFERROR(INDEX(表單!$A$2:$A$301,MATCH(326-COUNTA($L$2:$L$201),$H$2:$H$301,0)),""))</f>
        <v/>
      </c>
    </row>
    <row r="328">
      <c r="A328" s="15">
        <f>IF($J328="","",$J328)</f>
        <v/>
      </c>
      <c r="B328" s="15">
        <f>IF($A328="","",IF(ISNUMBER(MATCH($A328,表單!$A$2:$A$301,0)),INDEX(表單!$B$2:$B$301,MATCH($A328,表單!$A$2:$A$301,0)),IFERROR(INDEX($M$2:$M$201,MATCH($A328,$L$2:$L$201,0)),"")))</f>
        <v/>
      </c>
      <c r="C328" s="15">
        <f>IF($A328="","",IF(ISNUMBER(MATCH($A328,表單!$A$2:$A$301,0)),IF(TRIM(INDEX(表單!$D$2:$D$301,MATCH($A328,表單!$A$2:$A$301,0)))="","（分項工程層）",INDEX(表單!$D$2:$D$301,MATCH($A328,表單!$A$2:$A$301,0))),IFERROR(INDEX($N$2:$N$201,MATCH($A328,$L$2:$L$201,0)),"")))</f>
        <v/>
      </c>
      <c r="D328" s="15">
        <f>IF($A328="","",IF(ISNUMBER(MATCH($A328,表單!$A$2:$A$301,0)),"線上表單",IFERROR(INDEX($O$2:$O$201,MATCH($A328,$L$2:$L$201,0)),"")))</f>
        <v/>
      </c>
      <c r="E328" s="15">
        <f>IF($A328="","",IF(ISNUMBER(MATCH($A328,表單!$A$2:$A$301,0)),"本檔","系統"))</f>
        <v/>
      </c>
      <c r="J328">
        <f>IF(327&lt;=COUNTA($L$2:$L$201),INDEX($L$2:$L$201,327),IFERROR(INDEX(表單!$A$2:$A$301,MATCH(327-COUNTA($L$2:$L$201),$H$2:$H$301,0)),""))</f>
        <v/>
      </c>
    </row>
    <row r="329">
      <c r="A329" s="15">
        <f>IF($J329="","",$J329)</f>
        <v/>
      </c>
      <c r="B329" s="15">
        <f>IF($A329="","",IF(ISNUMBER(MATCH($A329,表單!$A$2:$A$301,0)),INDEX(表單!$B$2:$B$301,MATCH($A329,表單!$A$2:$A$301,0)),IFERROR(INDEX($M$2:$M$201,MATCH($A329,$L$2:$L$201,0)),"")))</f>
        <v/>
      </c>
      <c r="C329" s="15">
        <f>IF($A329="","",IF(ISNUMBER(MATCH($A329,表單!$A$2:$A$301,0)),IF(TRIM(INDEX(表單!$D$2:$D$301,MATCH($A329,表單!$A$2:$A$301,0)))="","（分項工程層）",INDEX(表單!$D$2:$D$301,MATCH($A329,表單!$A$2:$A$301,0))),IFERROR(INDEX($N$2:$N$201,MATCH($A329,$L$2:$L$201,0)),"")))</f>
        <v/>
      </c>
      <c r="D329" s="15">
        <f>IF($A329="","",IF(ISNUMBER(MATCH($A329,表單!$A$2:$A$301,0)),"線上表單",IFERROR(INDEX($O$2:$O$201,MATCH($A329,$L$2:$L$201,0)),"")))</f>
        <v/>
      </c>
      <c r="E329" s="15">
        <f>IF($A329="","",IF(ISNUMBER(MATCH($A329,表單!$A$2:$A$301,0)),"本檔","系統"))</f>
        <v/>
      </c>
      <c r="J329">
        <f>IF(328&lt;=COUNTA($L$2:$L$201),INDEX($L$2:$L$201,328),IFERROR(INDEX(表單!$A$2:$A$301,MATCH(328-COUNTA($L$2:$L$201),$H$2:$H$301,0)),""))</f>
        <v/>
      </c>
    </row>
    <row r="330">
      <c r="A330" s="15">
        <f>IF($J330="","",$J330)</f>
        <v/>
      </c>
      <c r="B330" s="15">
        <f>IF($A330="","",IF(ISNUMBER(MATCH($A330,表單!$A$2:$A$301,0)),INDEX(表單!$B$2:$B$301,MATCH($A330,表單!$A$2:$A$301,0)),IFERROR(INDEX($M$2:$M$201,MATCH($A330,$L$2:$L$201,0)),"")))</f>
        <v/>
      </c>
      <c r="C330" s="15">
        <f>IF($A330="","",IF(ISNUMBER(MATCH($A330,表單!$A$2:$A$301,0)),IF(TRIM(INDEX(表單!$D$2:$D$301,MATCH($A330,表單!$A$2:$A$301,0)))="","（分項工程層）",INDEX(表單!$D$2:$D$301,MATCH($A330,表單!$A$2:$A$301,0))),IFERROR(INDEX($N$2:$N$201,MATCH($A330,$L$2:$L$201,0)),"")))</f>
        <v/>
      </c>
      <c r="D330" s="15">
        <f>IF($A330="","",IF(ISNUMBER(MATCH($A330,表單!$A$2:$A$301,0)),"線上表單",IFERROR(INDEX($O$2:$O$201,MATCH($A330,$L$2:$L$201,0)),"")))</f>
        <v/>
      </c>
      <c r="E330" s="15">
        <f>IF($A330="","",IF(ISNUMBER(MATCH($A330,表單!$A$2:$A$301,0)),"本檔","系統"))</f>
        <v/>
      </c>
      <c r="J330">
        <f>IF(329&lt;=COUNTA($L$2:$L$201),INDEX($L$2:$L$201,329),IFERROR(INDEX(表單!$A$2:$A$301,MATCH(329-COUNTA($L$2:$L$201),$H$2:$H$301,0)),""))</f>
        <v/>
      </c>
    </row>
    <row r="331">
      <c r="A331" s="15">
        <f>IF($J331="","",$J331)</f>
        <v/>
      </c>
      <c r="B331" s="15">
        <f>IF($A331="","",IF(ISNUMBER(MATCH($A331,表單!$A$2:$A$301,0)),INDEX(表單!$B$2:$B$301,MATCH($A331,表單!$A$2:$A$301,0)),IFERROR(INDEX($M$2:$M$201,MATCH($A331,$L$2:$L$201,0)),"")))</f>
        <v/>
      </c>
      <c r="C331" s="15">
        <f>IF($A331="","",IF(ISNUMBER(MATCH($A331,表單!$A$2:$A$301,0)),IF(TRIM(INDEX(表單!$D$2:$D$301,MATCH($A331,表單!$A$2:$A$301,0)))="","（分項工程層）",INDEX(表單!$D$2:$D$301,MATCH($A331,表單!$A$2:$A$301,0))),IFERROR(INDEX($N$2:$N$201,MATCH($A331,$L$2:$L$201,0)),"")))</f>
        <v/>
      </c>
      <c r="D331" s="15">
        <f>IF($A331="","",IF(ISNUMBER(MATCH($A331,表單!$A$2:$A$301,0)),"線上表單",IFERROR(INDEX($O$2:$O$201,MATCH($A331,$L$2:$L$201,0)),"")))</f>
        <v/>
      </c>
      <c r="E331" s="15">
        <f>IF($A331="","",IF(ISNUMBER(MATCH($A331,表單!$A$2:$A$301,0)),"本檔","系統"))</f>
        <v/>
      </c>
      <c r="J331">
        <f>IF(330&lt;=COUNTA($L$2:$L$201),INDEX($L$2:$L$201,330),IFERROR(INDEX(表單!$A$2:$A$301,MATCH(330-COUNTA($L$2:$L$201),$H$2:$H$301,0)),""))</f>
        <v/>
      </c>
    </row>
    <row r="332">
      <c r="A332" s="15">
        <f>IF($J332="","",$J332)</f>
        <v/>
      </c>
      <c r="B332" s="15">
        <f>IF($A332="","",IF(ISNUMBER(MATCH($A332,表單!$A$2:$A$301,0)),INDEX(表單!$B$2:$B$301,MATCH($A332,表單!$A$2:$A$301,0)),IFERROR(INDEX($M$2:$M$201,MATCH($A332,$L$2:$L$201,0)),"")))</f>
        <v/>
      </c>
      <c r="C332" s="15">
        <f>IF($A332="","",IF(ISNUMBER(MATCH($A332,表單!$A$2:$A$301,0)),IF(TRIM(INDEX(表單!$D$2:$D$301,MATCH($A332,表單!$A$2:$A$301,0)))="","（分項工程層）",INDEX(表單!$D$2:$D$301,MATCH($A332,表單!$A$2:$A$301,0))),IFERROR(INDEX($N$2:$N$201,MATCH($A332,$L$2:$L$201,0)),"")))</f>
        <v/>
      </c>
      <c r="D332" s="15">
        <f>IF($A332="","",IF(ISNUMBER(MATCH($A332,表單!$A$2:$A$301,0)),"線上表單",IFERROR(INDEX($O$2:$O$201,MATCH($A332,$L$2:$L$201,0)),"")))</f>
        <v/>
      </c>
      <c r="E332" s="15">
        <f>IF($A332="","",IF(ISNUMBER(MATCH($A332,表單!$A$2:$A$301,0)),"本檔","系統"))</f>
        <v/>
      </c>
      <c r="J332">
        <f>IF(331&lt;=COUNTA($L$2:$L$201),INDEX($L$2:$L$201,331),IFERROR(INDEX(表單!$A$2:$A$301,MATCH(331-COUNTA($L$2:$L$201),$H$2:$H$301,0)),""))</f>
        <v/>
      </c>
    </row>
    <row r="333">
      <c r="A333" s="15">
        <f>IF($J333="","",$J333)</f>
        <v/>
      </c>
      <c r="B333" s="15">
        <f>IF($A333="","",IF(ISNUMBER(MATCH($A333,表單!$A$2:$A$301,0)),INDEX(表單!$B$2:$B$301,MATCH($A333,表單!$A$2:$A$301,0)),IFERROR(INDEX($M$2:$M$201,MATCH($A333,$L$2:$L$201,0)),"")))</f>
        <v/>
      </c>
      <c r="C333" s="15">
        <f>IF($A333="","",IF(ISNUMBER(MATCH($A333,表單!$A$2:$A$301,0)),IF(TRIM(INDEX(表單!$D$2:$D$301,MATCH($A333,表單!$A$2:$A$301,0)))="","（分項工程層）",INDEX(表單!$D$2:$D$301,MATCH($A333,表單!$A$2:$A$301,0))),IFERROR(INDEX($N$2:$N$201,MATCH($A333,$L$2:$L$201,0)),"")))</f>
        <v/>
      </c>
      <c r="D333" s="15">
        <f>IF($A333="","",IF(ISNUMBER(MATCH($A333,表單!$A$2:$A$301,0)),"線上表單",IFERROR(INDEX($O$2:$O$201,MATCH($A333,$L$2:$L$201,0)),"")))</f>
        <v/>
      </c>
      <c r="E333" s="15">
        <f>IF($A333="","",IF(ISNUMBER(MATCH($A333,表單!$A$2:$A$301,0)),"本檔","系統"))</f>
        <v/>
      </c>
      <c r="J333">
        <f>IF(332&lt;=COUNTA($L$2:$L$201),INDEX($L$2:$L$201,332),IFERROR(INDEX(表單!$A$2:$A$301,MATCH(332-COUNTA($L$2:$L$201),$H$2:$H$301,0)),""))</f>
        <v/>
      </c>
    </row>
    <row r="334">
      <c r="A334" s="15">
        <f>IF($J334="","",$J334)</f>
        <v/>
      </c>
      <c r="B334" s="15">
        <f>IF($A334="","",IF(ISNUMBER(MATCH($A334,表單!$A$2:$A$301,0)),INDEX(表單!$B$2:$B$301,MATCH($A334,表單!$A$2:$A$301,0)),IFERROR(INDEX($M$2:$M$201,MATCH($A334,$L$2:$L$201,0)),"")))</f>
        <v/>
      </c>
      <c r="C334" s="15">
        <f>IF($A334="","",IF(ISNUMBER(MATCH($A334,表單!$A$2:$A$301,0)),IF(TRIM(INDEX(表單!$D$2:$D$301,MATCH($A334,表單!$A$2:$A$301,0)))="","（分項工程層）",INDEX(表單!$D$2:$D$301,MATCH($A334,表單!$A$2:$A$301,0))),IFERROR(INDEX($N$2:$N$201,MATCH($A334,$L$2:$L$201,0)),"")))</f>
        <v/>
      </c>
      <c r="D334" s="15">
        <f>IF($A334="","",IF(ISNUMBER(MATCH($A334,表單!$A$2:$A$301,0)),"線上表單",IFERROR(INDEX($O$2:$O$201,MATCH($A334,$L$2:$L$201,0)),"")))</f>
        <v/>
      </c>
      <c r="E334" s="15">
        <f>IF($A334="","",IF(ISNUMBER(MATCH($A334,表單!$A$2:$A$301,0)),"本檔","系統"))</f>
        <v/>
      </c>
      <c r="J334">
        <f>IF(333&lt;=COUNTA($L$2:$L$201),INDEX($L$2:$L$201,333),IFERROR(INDEX(表單!$A$2:$A$301,MATCH(333-COUNTA($L$2:$L$201),$H$2:$H$301,0)),""))</f>
        <v/>
      </c>
    </row>
    <row r="335">
      <c r="A335" s="15">
        <f>IF($J335="","",$J335)</f>
        <v/>
      </c>
      <c r="B335" s="15">
        <f>IF($A335="","",IF(ISNUMBER(MATCH($A335,表單!$A$2:$A$301,0)),INDEX(表單!$B$2:$B$301,MATCH($A335,表單!$A$2:$A$301,0)),IFERROR(INDEX($M$2:$M$201,MATCH($A335,$L$2:$L$201,0)),"")))</f>
        <v/>
      </c>
      <c r="C335" s="15">
        <f>IF($A335="","",IF(ISNUMBER(MATCH($A335,表單!$A$2:$A$301,0)),IF(TRIM(INDEX(表單!$D$2:$D$301,MATCH($A335,表單!$A$2:$A$301,0)))="","（分項工程層）",INDEX(表單!$D$2:$D$301,MATCH($A335,表單!$A$2:$A$301,0))),IFERROR(INDEX($N$2:$N$201,MATCH($A335,$L$2:$L$201,0)),"")))</f>
        <v/>
      </c>
      <c r="D335" s="15">
        <f>IF($A335="","",IF(ISNUMBER(MATCH($A335,表單!$A$2:$A$301,0)),"線上表單",IFERROR(INDEX($O$2:$O$201,MATCH($A335,$L$2:$L$201,0)),"")))</f>
        <v/>
      </c>
      <c r="E335" s="15">
        <f>IF($A335="","",IF(ISNUMBER(MATCH($A335,表單!$A$2:$A$301,0)),"本檔","系統"))</f>
        <v/>
      </c>
      <c r="J335">
        <f>IF(334&lt;=COUNTA($L$2:$L$201),INDEX($L$2:$L$201,334),IFERROR(INDEX(表單!$A$2:$A$301,MATCH(334-COUNTA($L$2:$L$201),$H$2:$H$301,0)),""))</f>
        <v/>
      </c>
    </row>
    <row r="336">
      <c r="A336" s="15">
        <f>IF($J336="","",$J336)</f>
        <v/>
      </c>
      <c r="B336" s="15">
        <f>IF($A336="","",IF(ISNUMBER(MATCH($A336,表單!$A$2:$A$301,0)),INDEX(表單!$B$2:$B$301,MATCH($A336,表單!$A$2:$A$301,0)),IFERROR(INDEX($M$2:$M$201,MATCH($A336,$L$2:$L$201,0)),"")))</f>
        <v/>
      </c>
      <c r="C336" s="15">
        <f>IF($A336="","",IF(ISNUMBER(MATCH($A336,表單!$A$2:$A$301,0)),IF(TRIM(INDEX(表單!$D$2:$D$301,MATCH($A336,表單!$A$2:$A$301,0)))="","（分項工程層）",INDEX(表單!$D$2:$D$301,MATCH($A336,表單!$A$2:$A$301,0))),IFERROR(INDEX($N$2:$N$201,MATCH($A336,$L$2:$L$201,0)),"")))</f>
        <v/>
      </c>
      <c r="D336" s="15">
        <f>IF($A336="","",IF(ISNUMBER(MATCH($A336,表單!$A$2:$A$301,0)),"線上表單",IFERROR(INDEX($O$2:$O$201,MATCH($A336,$L$2:$L$201,0)),"")))</f>
        <v/>
      </c>
      <c r="E336" s="15">
        <f>IF($A336="","",IF(ISNUMBER(MATCH($A336,表單!$A$2:$A$301,0)),"本檔","系統"))</f>
        <v/>
      </c>
      <c r="J336">
        <f>IF(335&lt;=COUNTA($L$2:$L$201),INDEX($L$2:$L$201,335),IFERROR(INDEX(表單!$A$2:$A$301,MATCH(335-COUNTA($L$2:$L$201),$H$2:$H$301,0)),""))</f>
        <v/>
      </c>
    </row>
    <row r="337">
      <c r="A337" s="15">
        <f>IF($J337="","",$J337)</f>
        <v/>
      </c>
      <c r="B337" s="15">
        <f>IF($A337="","",IF(ISNUMBER(MATCH($A337,表單!$A$2:$A$301,0)),INDEX(表單!$B$2:$B$301,MATCH($A337,表單!$A$2:$A$301,0)),IFERROR(INDEX($M$2:$M$201,MATCH($A337,$L$2:$L$201,0)),"")))</f>
        <v/>
      </c>
      <c r="C337" s="15">
        <f>IF($A337="","",IF(ISNUMBER(MATCH($A337,表單!$A$2:$A$301,0)),IF(TRIM(INDEX(表單!$D$2:$D$301,MATCH($A337,表單!$A$2:$A$301,0)))="","（分項工程層）",INDEX(表單!$D$2:$D$301,MATCH($A337,表單!$A$2:$A$301,0))),IFERROR(INDEX($N$2:$N$201,MATCH($A337,$L$2:$L$201,0)),"")))</f>
        <v/>
      </c>
      <c r="D337" s="15">
        <f>IF($A337="","",IF(ISNUMBER(MATCH($A337,表單!$A$2:$A$301,0)),"線上表單",IFERROR(INDEX($O$2:$O$201,MATCH($A337,$L$2:$L$201,0)),"")))</f>
        <v/>
      </c>
      <c r="E337" s="15">
        <f>IF($A337="","",IF(ISNUMBER(MATCH($A337,表單!$A$2:$A$301,0)),"本檔","系統"))</f>
        <v/>
      </c>
      <c r="J337">
        <f>IF(336&lt;=COUNTA($L$2:$L$201),INDEX($L$2:$L$201,336),IFERROR(INDEX(表單!$A$2:$A$301,MATCH(336-COUNTA($L$2:$L$201),$H$2:$H$301,0)),""))</f>
        <v/>
      </c>
    </row>
    <row r="338">
      <c r="A338" s="15">
        <f>IF($J338="","",$J338)</f>
        <v/>
      </c>
      <c r="B338" s="15">
        <f>IF($A338="","",IF(ISNUMBER(MATCH($A338,表單!$A$2:$A$301,0)),INDEX(表單!$B$2:$B$301,MATCH($A338,表單!$A$2:$A$301,0)),IFERROR(INDEX($M$2:$M$201,MATCH($A338,$L$2:$L$201,0)),"")))</f>
        <v/>
      </c>
      <c r="C338" s="15">
        <f>IF($A338="","",IF(ISNUMBER(MATCH($A338,表單!$A$2:$A$301,0)),IF(TRIM(INDEX(表單!$D$2:$D$301,MATCH($A338,表單!$A$2:$A$301,0)))="","（分項工程層）",INDEX(表單!$D$2:$D$301,MATCH($A338,表單!$A$2:$A$301,0))),IFERROR(INDEX($N$2:$N$201,MATCH($A338,$L$2:$L$201,0)),"")))</f>
        <v/>
      </c>
      <c r="D338" s="15">
        <f>IF($A338="","",IF(ISNUMBER(MATCH($A338,表單!$A$2:$A$301,0)),"線上表單",IFERROR(INDEX($O$2:$O$201,MATCH($A338,$L$2:$L$201,0)),"")))</f>
        <v/>
      </c>
      <c r="E338" s="15">
        <f>IF($A338="","",IF(ISNUMBER(MATCH($A338,表單!$A$2:$A$301,0)),"本檔","系統"))</f>
        <v/>
      </c>
      <c r="J338">
        <f>IF(337&lt;=COUNTA($L$2:$L$201),INDEX($L$2:$L$201,337),IFERROR(INDEX(表單!$A$2:$A$301,MATCH(337-COUNTA($L$2:$L$201),$H$2:$H$301,0)),""))</f>
        <v/>
      </c>
    </row>
    <row r="339">
      <c r="A339" s="15">
        <f>IF($J339="","",$J339)</f>
        <v/>
      </c>
      <c r="B339" s="15">
        <f>IF($A339="","",IF(ISNUMBER(MATCH($A339,表單!$A$2:$A$301,0)),INDEX(表單!$B$2:$B$301,MATCH($A339,表單!$A$2:$A$301,0)),IFERROR(INDEX($M$2:$M$201,MATCH($A339,$L$2:$L$201,0)),"")))</f>
        <v/>
      </c>
      <c r="C339" s="15">
        <f>IF($A339="","",IF(ISNUMBER(MATCH($A339,表單!$A$2:$A$301,0)),IF(TRIM(INDEX(表單!$D$2:$D$301,MATCH($A339,表單!$A$2:$A$301,0)))="","（分項工程層）",INDEX(表單!$D$2:$D$301,MATCH($A339,表單!$A$2:$A$301,0))),IFERROR(INDEX($N$2:$N$201,MATCH($A339,$L$2:$L$201,0)),"")))</f>
        <v/>
      </c>
      <c r="D339" s="15">
        <f>IF($A339="","",IF(ISNUMBER(MATCH($A339,表單!$A$2:$A$301,0)),"線上表單",IFERROR(INDEX($O$2:$O$201,MATCH($A339,$L$2:$L$201,0)),"")))</f>
        <v/>
      </c>
      <c r="E339" s="15">
        <f>IF($A339="","",IF(ISNUMBER(MATCH($A339,表單!$A$2:$A$301,0)),"本檔","系統"))</f>
        <v/>
      </c>
      <c r="J339">
        <f>IF(338&lt;=COUNTA($L$2:$L$201),INDEX($L$2:$L$201,338),IFERROR(INDEX(表單!$A$2:$A$301,MATCH(338-COUNTA($L$2:$L$201),$H$2:$H$301,0)),""))</f>
        <v/>
      </c>
    </row>
    <row r="340">
      <c r="A340" s="15">
        <f>IF($J340="","",$J340)</f>
        <v/>
      </c>
      <c r="B340" s="15">
        <f>IF($A340="","",IF(ISNUMBER(MATCH($A340,表單!$A$2:$A$301,0)),INDEX(表單!$B$2:$B$301,MATCH($A340,表單!$A$2:$A$301,0)),IFERROR(INDEX($M$2:$M$201,MATCH($A340,$L$2:$L$201,0)),"")))</f>
        <v/>
      </c>
      <c r="C340" s="15">
        <f>IF($A340="","",IF(ISNUMBER(MATCH($A340,表單!$A$2:$A$301,0)),IF(TRIM(INDEX(表單!$D$2:$D$301,MATCH($A340,表單!$A$2:$A$301,0)))="","（分項工程層）",INDEX(表單!$D$2:$D$301,MATCH($A340,表單!$A$2:$A$301,0))),IFERROR(INDEX($N$2:$N$201,MATCH($A340,$L$2:$L$201,0)),"")))</f>
        <v/>
      </c>
      <c r="D340" s="15">
        <f>IF($A340="","",IF(ISNUMBER(MATCH($A340,表單!$A$2:$A$301,0)),"線上表單",IFERROR(INDEX($O$2:$O$201,MATCH($A340,$L$2:$L$201,0)),"")))</f>
        <v/>
      </c>
      <c r="E340" s="15">
        <f>IF($A340="","",IF(ISNUMBER(MATCH($A340,表單!$A$2:$A$301,0)),"本檔","系統"))</f>
        <v/>
      </c>
      <c r="J340">
        <f>IF(339&lt;=COUNTA($L$2:$L$201),INDEX($L$2:$L$201,339),IFERROR(INDEX(表單!$A$2:$A$301,MATCH(339-COUNTA($L$2:$L$201),$H$2:$H$301,0)),""))</f>
        <v/>
      </c>
    </row>
    <row r="341">
      <c r="A341" s="15">
        <f>IF($J341="","",$J341)</f>
        <v/>
      </c>
      <c r="B341" s="15">
        <f>IF($A341="","",IF(ISNUMBER(MATCH($A341,表單!$A$2:$A$301,0)),INDEX(表單!$B$2:$B$301,MATCH($A341,表單!$A$2:$A$301,0)),IFERROR(INDEX($M$2:$M$201,MATCH($A341,$L$2:$L$201,0)),"")))</f>
        <v/>
      </c>
      <c r="C341" s="15">
        <f>IF($A341="","",IF(ISNUMBER(MATCH($A341,表單!$A$2:$A$301,0)),IF(TRIM(INDEX(表單!$D$2:$D$301,MATCH($A341,表單!$A$2:$A$301,0)))="","（分項工程層）",INDEX(表單!$D$2:$D$301,MATCH($A341,表單!$A$2:$A$301,0))),IFERROR(INDEX($N$2:$N$201,MATCH($A341,$L$2:$L$201,0)),"")))</f>
        <v/>
      </c>
      <c r="D341" s="15">
        <f>IF($A341="","",IF(ISNUMBER(MATCH($A341,表單!$A$2:$A$301,0)),"線上表單",IFERROR(INDEX($O$2:$O$201,MATCH($A341,$L$2:$L$201,0)),"")))</f>
        <v/>
      </c>
      <c r="E341" s="15">
        <f>IF($A341="","",IF(ISNUMBER(MATCH($A341,表單!$A$2:$A$301,0)),"本檔","系統"))</f>
        <v/>
      </c>
      <c r="J341">
        <f>IF(340&lt;=COUNTA($L$2:$L$201),INDEX($L$2:$L$201,340),IFERROR(INDEX(表單!$A$2:$A$301,MATCH(340-COUNTA($L$2:$L$201),$H$2:$H$301,0)),""))</f>
        <v/>
      </c>
    </row>
    <row r="342">
      <c r="A342" s="15">
        <f>IF($J342="","",$J342)</f>
        <v/>
      </c>
      <c r="B342" s="15">
        <f>IF($A342="","",IF(ISNUMBER(MATCH($A342,表單!$A$2:$A$301,0)),INDEX(表單!$B$2:$B$301,MATCH($A342,表單!$A$2:$A$301,0)),IFERROR(INDEX($M$2:$M$201,MATCH($A342,$L$2:$L$201,0)),"")))</f>
        <v/>
      </c>
      <c r="C342" s="15">
        <f>IF($A342="","",IF(ISNUMBER(MATCH($A342,表單!$A$2:$A$301,0)),IF(TRIM(INDEX(表單!$D$2:$D$301,MATCH($A342,表單!$A$2:$A$301,0)))="","（分項工程層）",INDEX(表單!$D$2:$D$301,MATCH($A342,表單!$A$2:$A$301,0))),IFERROR(INDEX($N$2:$N$201,MATCH($A342,$L$2:$L$201,0)),"")))</f>
        <v/>
      </c>
      <c r="D342" s="15">
        <f>IF($A342="","",IF(ISNUMBER(MATCH($A342,表單!$A$2:$A$301,0)),"線上表單",IFERROR(INDEX($O$2:$O$201,MATCH($A342,$L$2:$L$201,0)),"")))</f>
        <v/>
      </c>
      <c r="E342" s="15">
        <f>IF($A342="","",IF(ISNUMBER(MATCH($A342,表單!$A$2:$A$301,0)),"本檔","系統"))</f>
        <v/>
      </c>
      <c r="J342">
        <f>IF(341&lt;=COUNTA($L$2:$L$201),INDEX($L$2:$L$201,341),IFERROR(INDEX(表單!$A$2:$A$301,MATCH(341-COUNTA($L$2:$L$201),$H$2:$H$301,0)),""))</f>
        <v/>
      </c>
    </row>
    <row r="343">
      <c r="A343" s="15">
        <f>IF($J343="","",$J343)</f>
        <v/>
      </c>
      <c r="B343" s="15">
        <f>IF($A343="","",IF(ISNUMBER(MATCH($A343,表單!$A$2:$A$301,0)),INDEX(表單!$B$2:$B$301,MATCH($A343,表單!$A$2:$A$301,0)),IFERROR(INDEX($M$2:$M$201,MATCH($A343,$L$2:$L$201,0)),"")))</f>
        <v/>
      </c>
      <c r="C343" s="15">
        <f>IF($A343="","",IF(ISNUMBER(MATCH($A343,表單!$A$2:$A$301,0)),IF(TRIM(INDEX(表單!$D$2:$D$301,MATCH($A343,表單!$A$2:$A$301,0)))="","（分項工程層）",INDEX(表單!$D$2:$D$301,MATCH($A343,表單!$A$2:$A$301,0))),IFERROR(INDEX($N$2:$N$201,MATCH($A343,$L$2:$L$201,0)),"")))</f>
        <v/>
      </c>
      <c r="D343" s="15">
        <f>IF($A343="","",IF(ISNUMBER(MATCH($A343,表單!$A$2:$A$301,0)),"線上表單",IFERROR(INDEX($O$2:$O$201,MATCH($A343,$L$2:$L$201,0)),"")))</f>
        <v/>
      </c>
      <c r="E343" s="15">
        <f>IF($A343="","",IF(ISNUMBER(MATCH($A343,表單!$A$2:$A$301,0)),"本檔","系統"))</f>
        <v/>
      </c>
      <c r="J343">
        <f>IF(342&lt;=COUNTA($L$2:$L$201),INDEX($L$2:$L$201,342),IFERROR(INDEX(表單!$A$2:$A$301,MATCH(342-COUNTA($L$2:$L$201),$H$2:$H$301,0)),""))</f>
        <v/>
      </c>
    </row>
    <row r="344">
      <c r="A344" s="15">
        <f>IF($J344="","",$J344)</f>
        <v/>
      </c>
      <c r="B344" s="15">
        <f>IF($A344="","",IF(ISNUMBER(MATCH($A344,表單!$A$2:$A$301,0)),INDEX(表單!$B$2:$B$301,MATCH($A344,表單!$A$2:$A$301,0)),IFERROR(INDEX($M$2:$M$201,MATCH($A344,$L$2:$L$201,0)),"")))</f>
        <v/>
      </c>
      <c r="C344" s="15">
        <f>IF($A344="","",IF(ISNUMBER(MATCH($A344,表單!$A$2:$A$301,0)),IF(TRIM(INDEX(表單!$D$2:$D$301,MATCH($A344,表單!$A$2:$A$301,0)))="","（分項工程層）",INDEX(表單!$D$2:$D$301,MATCH($A344,表單!$A$2:$A$301,0))),IFERROR(INDEX($N$2:$N$201,MATCH($A344,$L$2:$L$201,0)),"")))</f>
        <v/>
      </c>
      <c r="D344" s="15">
        <f>IF($A344="","",IF(ISNUMBER(MATCH($A344,表單!$A$2:$A$301,0)),"線上表單",IFERROR(INDEX($O$2:$O$201,MATCH($A344,$L$2:$L$201,0)),"")))</f>
        <v/>
      </c>
      <c r="E344" s="15">
        <f>IF($A344="","",IF(ISNUMBER(MATCH($A344,表單!$A$2:$A$301,0)),"本檔","系統"))</f>
        <v/>
      </c>
      <c r="J344">
        <f>IF(343&lt;=COUNTA($L$2:$L$201),INDEX($L$2:$L$201,343),IFERROR(INDEX(表單!$A$2:$A$301,MATCH(343-COUNTA($L$2:$L$201),$H$2:$H$301,0)),""))</f>
        <v/>
      </c>
    </row>
    <row r="345">
      <c r="A345" s="15">
        <f>IF($J345="","",$J345)</f>
        <v/>
      </c>
      <c r="B345" s="15">
        <f>IF($A345="","",IF(ISNUMBER(MATCH($A345,表單!$A$2:$A$301,0)),INDEX(表單!$B$2:$B$301,MATCH($A345,表單!$A$2:$A$301,0)),IFERROR(INDEX($M$2:$M$201,MATCH($A345,$L$2:$L$201,0)),"")))</f>
        <v/>
      </c>
      <c r="C345" s="15">
        <f>IF($A345="","",IF(ISNUMBER(MATCH($A345,表單!$A$2:$A$301,0)),IF(TRIM(INDEX(表單!$D$2:$D$301,MATCH($A345,表單!$A$2:$A$301,0)))="","（分項工程層）",INDEX(表單!$D$2:$D$301,MATCH($A345,表單!$A$2:$A$301,0))),IFERROR(INDEX($N$2:$N$201,MATCH($A345,$L$2:$L$201,0)),"")))</f>
        <v/>
      </c>
      <c r="D345" s="15">
        <f>IF($A345="","",IF(ISNUMBER(MATCH($A345,表單!$A$2:$A$301,0)),"線上表單",IFERROR(INDEX($O$2:$O$201,MATCH($A345,$L$2:$L$201,0)),"")))</f>
        <v/>
      </c>
      <c r="E345" s="15">
        <f>IF($A345="","",IF(ISNUMBER(MATCH($A345,表單!$A$2:$A$301,0)),"本檔","系統"))</f>
        <v/>
      </c>
      <c r="J345">
        <f>IF(344&lt;=COUNTA($L$2:$L$201),INDEX($L$2:$L$201,344),IFERROR(INDEX(表單!$A$2:$A$301,MATCH(344-COUNTA($L$2:$L$201),$H$2:$H$301,0)),""))</f>
        <v/>
      </c>
    </row>
    <row r="346">
      <c r="A346" s="15">
        <f>IF($J346="","",$J346)</f>
        <v/>
      </c>
      <c r="B346" s="15">
        <f>IF($A346="","",IF(ISNUMBER(MATCH($A346,表單!$A$2:$A$301,0)),INDEX(表單!$B$2:$B$301,MATCH($A346,表單!$A$2:$A$301,0)),IFERROR(INDEX($M$2:$M$201,MATCH($A346,$L$2:$L$201,0)),"")))</f>
        <v/>
      </c>
      <c r="C346" s="15">
        <f>IF($A346="","",IF(ISNUMBER(MATCH($A346,表單!$A$2:$A$301,0)),IF(TRIM(INDEX(表單!$D$2:$D$301,MATCH($A346,表單!$A$2:$A$301,0)))="","（分項工程層）",INDEX(表單!$D$2:$D$301,MATCH($A346,表單!$A$2:$A$301,0))),IFERROR(INDEX($N$2:$N$201,MATCH($A346,$L$2:$L$201,0)),"")))</f>
        <v/>
      </c>
      <c r="D346" s="15">
        <f>IF($A346="","",IF(ISNUMBER(MATCH($A346,表單!$A$2:$A$301,0)),"線上表單",IFERROR(INDEX($O$2:$O$201,MATCH($A346,$L$2:$L$201,0)),"")))</f>
        <v/>
      </c>
      <c r="E346" s="15">
        <f>IF($A346="","",IF(ISNUMBER(MATCH($A346,表單!$A$2:$A$301,0)),"本檔","系統"))</f>
        <v/>
      </c>
      <c r="J346">
        <f>IF(345&lt;=COUNTA($L$2:$L$201),INDEX($L$2:$L$201,345),IFERROR(INDEX(表單!$A$2:$A$301,MATCH(345-COUNTA($L$2:$L$201),$H$2:$H$301,0)),""))</f>
        <v/>
      </c>
    </row>
    <row r="347">
      <c r="A347" s="15">
        <f>IF($J347="","",$J347)</f>
        <v/>
      </c>
      <c r="B347" s="15">
        <f>IF($A347="","",IF(ISNUMBER(MATCH($A347,表單!$A$2:$A$301,0)),INDEX(表單!$B$2:$B$301,MATCH($A347,表單!$A$2:$A$301,0)),IFERROR(INDEX($M$2:$M$201,MATCH($A347,$L$2:$L$201,0)),"")))</f>
        <v/>
      </c>
      <c r="C347" s="15">
        <f>IF($A347="","",IF(ISNUMBER(MATCH($A347,表單!$A$2:$A$301,0)),IF(TRIM(INDEX(表單!$D$2:$D$301,MATCH($A347,表單!$A$2:$A$301,0)))="","（分項工程層）",INDEX(表單!$D$2:$D$301,MATCH($A347,表單!$A$2:$A$301,0))),IFERROR(INDEX($N$2:$N$201,MATCH($A347,$L$2:$L$201,0)),"")))</f>
        <v/>
      </c>
      <c r="D347" s="15">
        <f>IF($A347="","",IF(ISNUMBER(MATCH($A347,表單!$A$2:$A$301,0)),"線上表單",IFERROR(INDEX($O$2:$O$201,MATCH($A347,$L$2:$L$201,0)),"")))</f>
        <v/>
      </c>
      <c r="E347" s="15">
        <f>IF($A347="","",IF(ISNUMBER(MATCH($A347,表單!$A$2:$A$301,0)),"本檔","系統"))</f>
        <v/>
      </c>
      <c r="J347">
        <f>IF(346&lt;=COUNTA($L$2:$L$201),INDEX($L$2:$L$201,346),IFERROR(INDEX(表單!$A$2:$A$301,MATCH(346-COUNTA($L$2:$L$201),$H$2:$H$301,0)),""))</f>
        <v/>
      </c>
    </row>
    <row r="348">
      <c r="A348" s="15">
        <f>IF($J348="","",$J348)</f>
        <v/>
      </c>
      <c r="B348" s="15">
        <f>IF($A348="","",IF(ISNUMBER(MATCH($A348,表單!$A$2:$A$301,0)),INDEX(表單!$B$2:$B$301,MATCH($A348,表單!$A$2:$A$301,0)),IFERROR(INDEX($M$2:$M$201,MATCH($A348,$L$2:$L$201,0)),"")))</f>
        <v/>
      </c>
      <c r="C348" s="15">
        <f>IF($A348="","",IF(ISNUMBER(MATCH($A348,表單!$A$2:$A$301,0)),IF(TRIM(INDEX(表單!$D$2:$D$301,MATCH($A348,表單!$A$2:$A$301,0)))="","（分項工程層）",INDEX(表單!$D$2:$D$301,MATCH($A348,表單!$A$2:$A$301,0))),IFERROR(INDEX($N$2:$N$201,MATCH($A348,$L$2:$L$201,0)),"")))</f>
        <v/>
      </c>
      <c r="D348" s="15">
        <f>IF($A348="","",IF(ISNUMBER(MATCH($A348,表單!$A$2:$A$301,0)),"線上表單",IFERROR(INDEX($O$2:$O$201,MATCH($A348,$L$2:$L$201,0)),"")))</f>
        <v/>
      </c>
      <c r="E348" s="15">
        <f>IF($A348="","",IF(ISNUMBER(MATCH($A348,表單!$A$2:$A$301,0)),"本檔","系統"))</f>
        <v/>
      </c>
      <c r="J348">
        <f>IF(347&lt;=COUNTA($L$2:$L$201),INDEX($L$2:$L$201,347),IFERROR(INDEX(表單!$A$2:$A$301,MATCH(347-COUNTA($L$2:$L$201),$H$2:$H$301,0)),""))</f>
        <v/>
      </c>
    </row>
    <row r="349">
      <c r="A349" s="15">
        <f>IF($J349="","",$J349)</f>
        <v/>
      </c>
      <c r="B349" s="15">
        <f>IF($A349="","",IF(ISNUMBER(MATCH($A349,表單!$A$2:$A$301,0)),INDEX(表單!$B$2:$B$301,MATCH($A349,表單!$A$2:$A$301,0)),IFERROR(INDEX($M$2:$M$201,MATCH($A349,$L$2:$L$201,0)),"")))</f>
        <v/>
      </c>
      <c r="C349" s="15">
        <f>IF($A349="","",IF(ISNUMBER(MATCH($A349,表單!$A$2:$A$301,0)),IF(TRIM(INDEX(表單!$D$2:$D$301,MATCH($A349,表單!$A$2:$A$301,0)))="","（分項工程層）",INDEX(表單!$D$2:$D$301,MATCH($A349,表單!$A$2:$A$301,0))),IFERROR(INDEX($N$2:$N$201,MATCH($A349,$L$2:$L$201,0)),"")))</f>
        <v/>
      </c>
      <c r="D349" s="15">
        <f>IF($A349="","",IF(ISNUMBER(MATCH($A349,表單!$A$2:$A$301,0)),"線上表單",IFERROR(INDEX($O$2:$O$201,MATCH($A349,$L$2:$L$201,0)),"")))</f>
        <v/>
      </c>
      <c r="E349" s="15">
        <f>IF($A349="","",IF(ISNUMBER(MATCH($A349,表單!$A$2:$A$301,0)),"本檔","系統"))</f>
        <v/>
      </c>
      <c r="J349">
        <f>IF(348&lt;=COUNTA($L$2:$L$201),INDEX($L$2:$L$201,348),IFERROR(INDEX(表單!$A$2:$A$301,MATCH(348-COUNTA($L$2:$L$201),$H$2:$H$301,0)),""))</f>
        <v/>
      </c>
    </row>
    <row r="350">
      <c r="A350" s="15">
        <f>IF($J350="","",$J350)</f>
        <v/>
      </c>
      <c r="B350" s="15">
        <f>IF($A350="","",IF(ISNUMBER(MATCH($A350,表單!$A$2:$A$301,0)),INDEX(表單!$B$2:$B$301,MATCH($A350,表單!$A$2:$A$301,0)),IFERROR(INDEX($M$2:$M$201,MATCH($A350,$L$2:$L$201,0)),"")))</f>
        <v/>
      </c>
      <c r="C350" s="15">
        <f>IF($A350="","",IF(ISNUMBER(MATCH($A350,表單!$A$2:$A$301,0)),IF(TRIM(INDEX(表單!$D$2:$D$301,MATCH($A350,表單!$A$2:$A$301,0)))="","（分項工程層）",INDEX(表單!$D$2:$D$301,MATCH($A350,表單!$A$2:$A$301,0))),IFERROR(INDEX($N$2:$N$201,MATCH($A350,$L$2:$L$201,0)),"")))</f>
        <v/>
      </c>
      <c r="D350" s="15">
        <f>IF($A350="","",IF(ISNUMBER(MATCH($A350,表單!$A$2:$A$301,0)),"線上表單",IFERROR(INDEX($O$2:$O$201,MATCH($A350,$L$2:$L$201,0)),"")))</f>
        <v/>
      </c>
      <c r="E350" s="15">
        <f>IF($A350="","",IF(ISNUMBER(MATCH($A350,表單!$A$2:$A$301,0)),"本檔","系統"))</f>
        <v/>
      </c>
      <c r="J350">
        <f>IF(349&lt;=COUNTA($L$2:$L$201),INDEX($L$2:$L$201,349),IFERROR(INDEX(表單!$A$2:$A$301,MATCH(349-COUNTA($L$2:$L$201),$H$2:$H$301,0)),""))</f>
        <v/>
      </c>
    </row>
    <row r="351">
      <c r="A351" s="15">
        <f>IF($J351="","",$J351)</f>
        <v/>
      </c>
      <c r="B351" s="15">
        <f>IF($A351="","",IF(ISNUMBER(MATCH($A351,表單!$A$2:$A$301,0)),INDEX(表單!$B$2:$B$301,MATCH($A351,表單!$A$2:$A$301,0)),IFERROR(INDEX($M$2:$M$201,MATCH($A351,$L$2:$L$201,0)),"")))</f>
        <v/>
      </c>
      <c r="C351" s="15">
        <f>IF($A351="","",IF(ISNUMBER(MATCH($A351,表單!$A$2:$A$301,0)),IF(TRIM(INDEX(表單!$D$2:$D$301,MATCH($A351,表單!$A$2:$A$301,0)))="","（分項工程層）",INDEX(表單!$D$2:$D$301,MATCH($A351,表單!$A$2:$A$301,0))),IFERROR(INDEX($N$2:$N$201,MATCH($A351,$L$2:$L$201,0)),"")))</f>
        <v/>
      </c>
      <c r="D351" s="15">
        <f>IF($A351="","",IF(ISNUMBER(MATCH($A351,表單!$A$2:$A$301,0)),"線上表單",IFERROR(INDEX($O$2:$O$201,MATCH($A351,$L$2:$L$201,0)),"")))</f>
        <v/>
      </c>
      <c r="E351" s="15">
        <f>IF($A351="","",IF(ISNUMBER(MATCH($A351,表單!$A$2:$A$301,0)),"本檔","系統"))</f>
        <v/>
      </c>
      <c r="J351">
        <f>IF(350&lt;=COUNTA($L$2:$L$201),INDEX($L$2:$L$201,350),IFERROR(INDEX(表單!$A$2:$A$301,MATCH(350-COUNTA($L$2:$L$201),$H$2:$H$301,0)),""))</f>
        <v/>
      </c>
    </row>
    <row r="352">
      <c r="A352" s="15">
        <f>IF($J352="","",$J352)</f>
        <v/>
      </c>
      <c r="B352" s="15">
        <f>IF($A352="","",IF(ISNUMBER(MATCH($A352,表單!$A$2:$A$301,0)),INDEX(表單!$B$2:$B$301,MATCH($A352,表單!$A$2:$A$301,0)),IFERROR(INDEX($M$2:$M$201,MATCH($A352,$L$2:$L$201,0)),"")))</f>
        <v/>
      </c>
      <c r="C352" s="15">
        <f>IF($A352="","",IF(ISNUMBER(MATCH($A352,表單!$A$2:$A$301,0)),IF(TRIM(INDEX(表單!$D$2:$D$301,MATCH($A352,表單!$A$2:$A$301,0)))="","（分項工程層）",INDEX(表單!$D$2:$D$301,MATCH($A352,表單!$A$2:$A$301,0))),IFERROR(INDEX($N$2:$N$201,MATCH($A352,$L$2:$L$201,0)),"")))</f>
        <v/>
      </c>
      <c r="D352" s="15">
        <f>IF($A352="","",IF(ISNUMBER(MATCH($A352,表單!$A$2:$A$301,0)),"線上表單",IFERROR(INDEX($O$2:$O$201,MATCH($A352,$L$2:$L$201,0)),"")))</f>
        <v/>
      </c>
      <c r="E352" s="15">
        <f>IF($A352="","",IF(ISNUMBER(MATCH($A352,表單!$A$2:$A$301,0)),"本檔","系統"))</f>
        <v/>
      </c>
      <c r="J352">
        <f>IF(351&lt;=COUNTA($L$2:$L$201),INDEX($L$2:$L$201,351),IFERROR(INDEX(表單!$A$2:$A$301,MATCH(351-COUNTA($L$2:$L$201),$H$2:$H$301,0)),""))</f>
        <v/>
      </c>
    </row>
    <row r="353">
      <c r="A353" s="15">
        <f>IF($J353="","",$J353)</f>
        <v/>
      </c>
      <c r="B353" s="15">
        <f>IF($A353="","",IF(ISNUMBER(MATCH($A353,表單!$A$2:$A$301,0)),INDEX(表單!$B$2:$B$301,MATCH($A353,表單!$A$2:$A$301,0)),IFERROR(INDEX($M$2:$M$201,MATCH($A353,$L$2:$L$201,0)),"")))</f>
        <v/>
      </c>
      <c r="C353" s="15">
        <f>IF($A353="","",IF(ISNUMBER(MATCH($A353,表單!$A$2:$A$301,0)),IF(TRIM(INDEX(表單!$D$2:$D$301,MATCH($A353,表單!$A$2:$A$301,0)))="","（分項工程層）",INDEX(表單!$D$2:$D$301,MATCH($A353,表單!$A$2:$A$301,0))),IFERROR(INDEX($N$2:$N$201,MATCH($A353,$L$2:$L$201,0)),"")))</f>
        <v/>
      </c>
      <c r="D353" s="15">
        <f>IF($A353="","",IF(ISNUMBER(MATCH($A353,表單!$A$2:$A$301,0)),"線上表單",IFERROR(INDEX($O$2:$O$201,MATCH($A353,$L$2:$L$201,0)),"")))</f>
        <v/>
      </c>
      <c r="E353" s="15">
        <f>IF($A353="","",IF(ISNUMBER(MATCH($A353,表單!$A$2:$A$301,0)),"本檔","系統"))</f>
        <v/>
      </c>
      <c r="J353">
        <f>IF(352&lt;=COUNTA($L$2:$L$201),INDEX($L$2:$L$201,352),IFERROR(INDEX(表單!$A$2:$A$301,MATCH(352-COUNTA($L$2:$L$201),$H$2:$H$301,0)),""))</f>
        <v/>
      </c>
    </row>
    <row r="354">
      <c r="A354" s="15">
        <f>IF($J354="","",$J354)</f>
        <v/>
      </c>
      <c r="B354" s="15">
        <f>IF($A354="","",IF(ISNUMBER(MATCH($A354,表單!$A$2:$A$301,0)),INDEX(表單!$B$2:$B$301,MATCH($A354,表單!$A$2:$A$301,0)),IFERROR(INDEX($M$2:$M$201,MATCH($A354,$L$2:$L$201,0)),"")))</f>
        <v/>
      </c>
      <c r="C354" s="15">
        <f>IF($A354="","",IF(ISNUMBER(MATCH($A354,表單!$A$2:$A$301,0)),IF(TRIM(INDEX(表單!$D$2:$D$301,MATCH($A354,表單!$A$2:$A$301,0)))="","（分項工程層）",INDEX(表單!$D$2:$D$301,MATCH($A354,表單!$A$2:$A$301,0))),IFERROR(INDEX($N$2:$N$201,MATCH($A354,$L$2:$L$201,0)),"")))</f>
        <v/>
      </c>
      <c r="D354" s="15">
        <f>IF($A354="","",IF(ISNUMBER(MATCH($A354,表單!$A$2:$A$301,0)),"線上表單",IFERROR(INDEX($O$2:$O$201,MATCH($A354,$L$2:$L$201,0)),"")))</f>
        <v/>
      </c>
      <c r="E354" s="15">
        <f>IF($A354="","",IF(ISNUMBER(MATCH($A354,表單!$A$2:$A$301,0)),"本檔","系統"))</f>
        <v/>
      </c>
      <c r="J354">
        <f>IF(353&lt;=COUNTA($L$2:$L$201),INDEX($L$2:$L$201,353),IFERROR(INDEX(表單!$A$2:$A$301,MATCH(353-COUNTA($L$2:$L$201),$H$2:$H$301,0)),""))</f>
        <v/>
      </c>
    </row>
    <row r="355">
      <c r="A355" s="15">
        <f>IF($J355="","",$J355)</f>
        <v/>
      </c>
      <c r="B355" s="15">
        <f>IF($A355="","",IF(ISNUMBER(MATCH($A355,表單!$A$2:$A$301,0)),INDEX(表單!$B$2:$B$301,MATCH($A355,表單!$A$2:$A$301,0)),IFERROR(INDEX($M$2:$M$201,MATCH($A355,$L$2:$L$201,0)),"")))</f>
        <v/>
      </c>
      <c r="C355" s="15">
        <f>IF($A355="","",IF(ISNUMBER(MATCH($A355,表單!$A$2:$A$301,0)),IF(TRIM(INDEX(表單!$D$2:$D$301,MATCH($A355,表單!$A$2:$A$301,0)))="","（分項工程層）",INDEX(表單!$D$2:$D$301,MATCH($A355,表單!$A$2:$A$301,0))),IFERROR(INDEX($N$2:$N$201,MATCH($A355,$L$2:$L$201,0)),"")))</f>
        <v/>
      </c>
      <c r="D355" s="15">
        <f>IF($A355="","",IF(ISNUMBER(MATCH($A355,表單!$A$2:$A$301,0)),"線上表單",IFERROR(INDEX($O$2:$O$201,MATCH($A355,$L$2:$L$201,0)),"")))</f>
        <v/>
      </c>
      <c r="E355" s="15">
        <f>IF($A355="","",IF(ISNUMBER(MATCH($A355,表單!$A$2:$A$301,0)),"本檔","系統"))</f>
        <v/>
      </c>
      <c r="J355">
        <f>IF(354&lt;=COUNTA($L$2:$L$201),INDEX($L$2:$L$201,354),IFERROR(INDEX(表單!$A$2:$A$301,MATCH(354-COUNTA($L$2:$L$201),$H$2:$H$301,0)),""))</f>
        <v/>
      </c>
    </row>
    <row r="356">
      <c r="A356" s="15">
        <f>IF($J356="","",$J356)</f>
        <v/>
      </c>
      <c r="B356" s="15">
        <f>IF($A356="","",IF(ISNUMBER(MATCH($A356,表單!$A$2:$A$301,0)),INDEX(表單!$B$2:$B$301,MATCH($A356,表單!$A$2:$A$301,0)),IFERROR(INDEX($M$2:$M$201,MATCH($A356,$L$2:$L$201,0)),"")))</f>
        <v/>
      </c>
      <c r="C356" s="15">
        <f>IF($A356="","",IF(ISNUMBER(MATCH($A356,表單!$A$2:$A$301,0)),IF(TRIM(INDEX(表單!$D$2:$D$301,MATCH($A356,表單!$A$2:$A$301,0)))="","（分項工程層）",INDEX(表單!$D$2:$D$301,MATCH($A356,表單!$A$2:$A$301,0))),IFERROR(INDEX($N$2:$N$201,MATCH($A356,$L$2:$L$201,0)),"")))</f>
        <v/>
      </c>
      <c r="D356" s="15">
        <f>IF($A356="","",IF(ISNUMBER(MATCH($A356,表單!$A$2:$A$301,0)),"線上表單",IFERROR(INDEX($O$2:$O$201,MATCH($A356,$L$2:$L$201,0)),"")))</f>
        <v/>
      </c>
      <c r="E356" s="15">
        <f>IF($A356="","",IF(ISNUMBER(MATCH($A356,表單!$A$2:$A$301,0)),"本檔","系統"))</f>
        <v/>
      </c>
      <c r="J356">
        <f>IF(355&lt;=COUNTA($L$2:$L$201),INDEX($L$2:$L$201,355),IFERROR(INDEX(表單!$A$2:$A$301,MATCH(355-COUNTA($L$2:$L$201),$H$2:$H$301,0)),""))</f>
        <v/>
      </c>
    </row>
    <row r="357">
      <c r="A357" s="15">
        <f>IF($J357="","",$J357)</f>
        <v/>
      </c>
      <c r="B357" s="15">
        <f>IF($A357="","",IF(ISNUMBER(MATCH($A357,表單!$A$2:$A$301,0)),INDEX(表單!$B$2:$B$301,MATCH($A357,表單!$A$2:$A$301,0)),IFERROR(INDEX($M$2:$M$201,MATCH($A357,$L$2:$L$201,0)),"")))</f>
        <v/>
      </c>
      <c r="C357" s="15">
        <f>IF($A357="","",IF(ISNUMBER(MATCH($A357,表單!$A$2:$A$301,0)),IF(TRIM(INDEX(表單!$D$2:$D$301,MATCH($A357,表單!$A$2:$A$301,0)))="","（分項工程層）",INDEX(表單!$D$2:$D$301,MATCH($A357,表單!$A$2:$A$301,0))),IFERROR(INDEX($N$2:$N$201,MATCH($A357,$L$2:$L$201,0)),"")))</f>
        <v/>
      </c>
      <c r="D357" s="15">
        <f>IF($A357="","",IF(ISNUMBER(MATCH($A357,表單!$A$2:$A$301,0)),"線上表單",IFERROR(INDEX($O$2:$O$201,MATCH($A357,$L$2:$L$201,0)),"")))</f>
        <v/>
      </c>
      <c r="E357" s="15">
        <f>IF($A357="","",IF(ISNUMBER(MATCH($A357,表單!$A$2:$A$301,0)),"本檔","系統"))</f>
        <v/>
      </c>
      <c r="J357">
        <f>IF(356&lt;=COUNTA($L$2:$L$201),INDEX($L$2:$L$201,356),IFERROR(INDEX(表單!$A$2:$A$301,MATCH(356-COUNTA($L$2:$L$201),$H$2:$H$301,0)),""))</f>
        <v/>
      </c>
    </row>
    <row r="358">
      <c r="A358" s="15">
        <f>IF($J358="","",$J358)</f>
        <v/>
      </c>
      <c r="B358" s="15">
        <f>IF($A358="","",IF(ISNUMBER(MATCH($A358,表單!$A$2:$A$301,0)),INDEX(表單!$B$2:$B$301,MATCH($A358,表單!$A$2:$A$301,0)),IFERROR(INDEX($M$2:$M$201,MATCH($A358,$L$2:$L$201,0)),"")))</f>
        <v/>
      </c>
      <c r="C358" s="15">
        <f>IF($A358="","",IF(ISNUMBER(MATCH($A358,表單!$A$2:$A$301,0)),IF(TRIM(INDEX(表單!$D$2:$D$301,MATCH($A358,表單!$A$2:$A$301,0)))="","（分項工程層）",INDEX(表單!$D$2:$D$301,MATCH($A358,表單!$A$2:$A$301,0))),IFERROR(INDEX($N$2:$N$201,MATCH($A358,$L$2:$L$201,0)),"")))</f>
        <v/>
      </c>
      <c r="D358" s="15">
        <f>IF($A358="","",IF(ISNUMBER(MATCH($A358,表單!$A$2:$A$301,0)),"線上表單",IFERROR(INDEX($O$2:$O$201,MATCH($A358,$L$2:$L$201,0)),"")))</f>
        <v/>
      </c>
      <c r="E358" s="15">
        <f>IF($A358="","",IF(ISNUMBER(MATCH($A358,表單!$A$2:$A$301,0)),"本檔","系統"))</f>
        <v/>
      </c>
      <c r="J358">
        <f>IF(357&lt;=COUNTA($L$2:$L$201),INDEX($L$2:$L$201,357),IFERROR(INDEX(表單!$A$2:$A$301,MATCH(357-COUNTA($L$2:$L$201),$H$2:$H$301,0)),""))</f>
        <v/>
      </c>
    </row>
    <row r="359">
      <c r="A359" s="15">
        <f>IF($J359="","",$J359)</f>
        <v/>
      </c>
      <c r="B359" s="15">
        <f>IF($A359="","",IF(ISNUMBER(MATCH($A359,表單!$A$2:$A$301,0)),INDEX(表單!$B$2:$B$301,MATCH($A359,表單!$A$2:$A$301,0)),IFERROR(INDEX($M$2:$M$201,MATCH($A359,$L$2:$L$201,0)),"")))</f>
        <v/>
      </c>
      <c r="C359" s="15">
        <f>IF($A359="","",IF(ISNUMBER(MATCH($A359,表單!$A$2:$A$301,0)),IF(TRIM(INDEX(表單!$D$2:$D$301,MATCH($A359,表單!$A$2:$A$301,0)))="","（分項工程層）",INDEX(表單!$D$2:$D$301,MATCH($A359,表單!$A$2:$A$301,0))),IFERROR(INDEX($N$2:$N$201,MATCH($A359,$L$2:$L$201,0)),"")))</f>
        <v/>
      </c>
      <c r="D359" s="15">
        <f>IF($A359="","",IF(ISNUMBER(MATCH($A359,表單!$A$2:$A$301,0)),"線上表單",IFERROR(INDEX($O$2:$O$201,MATCH($A359,$L$2:$L$201,0)),"")))</f>
        <v/>
      </c>
      <c r="E359" s="15">
        <f>IF($A359="","",IF(ISNUMBER(MATCH($A359,表單!$A$2:$A$301,0)),"本檔","系統"))</f>
        <v/>
      </c>
      <c r="J359">
        <f>IF(358&lt;=COUNTA($L$2:$L$201),INDEX($L$2:$L$201,358),IFERROR(INDEX(表單!$A$2:$A$301,MATCH(358-COUNTA($L$2:$L$201),$H$2:$H$301,0)),""))</f>
        <v/>
      </c>
    </row>
    <row r="360">
      <c r="A360" s="15">
        <f>IF($J360="","",$J360)</f>
        <v/>
      </c>
      <c r="B360" s="15">
        <f>IF($A360="","",IF(ISNUMBER(MATCH($A360,表單!$A$2:$A$301,0)),INDEX(表單!$B$2:$B$301,MATCH($A360,表單!$A$2:$A$301,0)),IFERROR(INDEX($M$2:$M$201,MATCH($A360,$L$2:$L$201,0)),"")))</f>
        <v/>
      </c>
      <c r="C360" s="15">
        <f>IF($A360="","",IF(ISNUMBER(MATCH($A360,表單!$A$2:$A$301,0)),IF(TRIM(INDEX(表單!$D$2:$D$301,MATCH($A360,表單!$A$2:$A$301,0)))="","（分項工程層）",INDEX(表單!$D$2:$D$301,MATCH($A360,表單!$A$2:$A$301,0))),IFERROR(INDEX($N$2:$N$201,MATCH($A360,$L$2:$L$201,0)),"")))</f>
        <v/>
      </c>
      <c r="D360" s="15">
        <f>IF($A360="","",IF(ISNUMBER(MATCH($A360,表單!$A$2:$A$301,0)),"線上表單",IFERROR(INDEX($O$2:$O$201,MATCH($A360,$L$2:$L$201,0)),"")))</f>
        <v/>
      </c>
      <c r="E360" s="15">
        <f>IF($A360="","",IF(ISNUMBER(MATCH($A360,表單!$A$2:$A$301,0)),"本檔","系統"))</f>
        <v/>
      </c>
      <c r="J360">
        <f>IF(359&lt;=COUNTA($L$2:$L$201),INDEX($L$2:$L$201,359),IFERROR(INDEX(表單!$A$2:$A$301,MATCH(359-COUNTA($L$2:$L$201),$H$2:$H$301,0)),""))</f>
        <v/>
      </c>
    </row>
    <row r="361">
      <c r="A361" s="15">
        <f>IF($J361="","",$J361)</f>
        <v/>
      </c>
      <c r="B361" s="15">
        <f>IF($A361="","",IF(ISNUMBER(MATCH($A361,表單!$A$2:$A$301,0)),INDEX(表單!$B$2:$B$301,MATCH($A361,表單!$A$2:$A$301,0)),IFERROR(INDEX($M$2:$M$201,MATCH($A361,$L$2:$L$201,0)),"")))</f>
        <v/>
      </c>
      <c r="C361" s="15">
        <f>IF($A361="","",IF(ISNUMBER(MATCH($A361,表單!$A$2:$A$301,0)),IF(TRIM(INDEX(表單!$D$2:$D$301,MATCH($A361,表單!$A$2:$A$301,0)))="","（分項工程層）",INDEX(表單!$D$2:$D$301,MATCH($A361,表單!$A$2:$A$301,0))),IFERROR(INDEX($N$2:$N$201,MATCH($A361,$L$2:$L$201,0)),"")))</f>
        <v/>
      </c>
      <c r="D361" s="15">
        <f>IF($A361="","",IF(ISNUMBER(MATCH($A361,表單!$A$2:$A$301,0)),"線上表單",IFERROR(INDEX($O$2:$O$201,MATCH($A361,$L$2:$L$201,0)),"")))</f>
        <v/>
      </c>
      <c r="E361" s="15">
        <f>IF($A361="","",IF(ISNUMBER(MATCH($A361,表單!$A$2:$A$301,0)),"本檔","系統"))</f>
        <v/>
      </c>
      <c r="J361">
        <f>IF(360&lt;=COUNTA($L$2:$L$201),INDEX($L$2:$L$201,360),IFERROR(INDEX(表單!$A$2:$A$301,MATCH(360-COUNTA($L$2:$L$201),$H$2:$H$301,0)),""))</f>
        <v/>
      </c>
    </row>
    <row r="362">
      <c r="A362" s="15">
        <f>IF($J362="","",$J362)</f>
        <v/>
      </c>
      <c r="B362" s="15">
        <f>IF($A362="","",IF(ISNUMBER(MATCH($A362,表單!$A$2:$A$301,0)),INDEX(表單!$B$2:$B$301,MATCH($A362,表單!$A$2:$A$301,0)),IFERROR(INDEX($M$2:$M$201,MATCH($A362,$L$2:$L$201,0)),"")))</f>
        <v/>
      </c>
      <c r="C362" s="15">
        <f>IF($A362="","",IF(ISNUMBER(MATCH($A362,表單!$A$2:$A$301,0)),IF(TRIM(INDEX(表單!$D$2:$D$301,MATCH($A362,表單!$A$2:$A$301,0)))="","（分項工程層）",INDEX(表單!$D$2:$D$301,MATCH($A362,表單!$A$2:$A$301,0))),IFERROR(INDEX($N$2:$N$201,MATCH($A362,$L$2:$L$201,0)),"")))</f>
        <v/>
      </c>
      <c r="D362" s="15">
        <f>IF($A362="","",IF(ISNUMBER(MATCH($A362,表單!$A$2:$A$301,0)),"線上表單",IFERROR(INDEX($O$2:$O$201,MATCH($A362,$L$2:$L$201,0)),"")))</f>
        <v/>
      </c>
      <c r="E362" s="15">
        <f>IF($A362="","",IF(ISNUMBER(MATCH($A362,表單!$A$2:$A$301,0)),"本檔","系統"))</f>
        <v/>
      </c>
      <c r="J362">
        <f>IF(361&lt;=COUNTA($L$2:$L$201),INDEX($L$2:$L$201,361),IFERROR(INDEX(表單!$A$2:$A$301,MATCH(361-COUNTA($L$2:$L$201),$H$2:$H$301,0)),""))</f>
        <v/>
      </c>
    </row>
    <row r="363">
      <c r="A363" s="15">
        <f>IF($J363="","",$J363)</f>
        <v/>
      </c>
      <c r="B363" s="15">
        <f>IF($A363="","",IF(ISNUMBER(MATCH($A363,表單!$A$2:$A$301,0)),INDEX(表單!$B$2:$B$301,MATCH($A363,表單!$A$2:$A$301,0)),IFERROR(INDEX($M$2:$M$201,MATCH($A363,$L$2:$L$201,0)),"")))</f>
        <v/>
      </c>
      <c r="C363" s="15">
        <f>IF($A363="","",IF(ISNUMBER(MATCH($A363,表單!$A$2:$A$301,0)),IF(TRIM(INDEX(表單!$D$2:$D$301,MATCH($A363,表單!$A$2:$A$301,0)))="","（分項工程層）",INDEX(表單!$D$2:$D$301,MATCH($A363,表單!$A$2:$A$301,0))),IFERROR(INDEX($N$2:$N$201,MATCH($A363,$L$2:$L$201,0)),"")))</f>
        <v/>
      </c>
      <c r="D363" s="15">
        <f>IF($A363="","",IF(ISNUMBER(MATCH($A363,表單!$A$2:$A$301,0)),"線上表單",IFERROR(INDEX($O$2:$O$201,MATCH($A363,$L$2:$L$201,0)),"")))</f>
        <v/>
      </c>
      <c r="E363" s="15">
        <f>IF($A363="","",IF(ISNUMBER(MATCH($A363,表單!$A$2:$A$301,0)),"本檔","系統"))</f>
        <v/>
      </c>
      <c r="J363">
        <f>IF(362&lt;=COUNTA($L$2:$L$201),INDEX($L$2:$L$201,362),IFERROR(INDEX(表單!$A$2:$A$301,MATCH(362-COUNTA($L$2:$L$201),$H$2:$H$301,0)),""))</f>
        <v/>
      </c>
    </row>
    <row r="364">
      <c r="A364" s="15">
        <f>IF($J364="","",$J364)</f>
        <v/>
      </c>
      <c r="B364" s="15">
        <f>IF($A364="","",IF(ISNUMBER(MATCH($A364,表單!$A$2:$A$301,0)),INDEX(表單!$B$2:$B$301,MATCH($A364,表單!$A$2:$A$301,0)),IFERROR(INDEX($M$2:$M$201,MATCH($A364,$L$2:$L$201,0)),"")))</f>
        <v/>
      </c>
      <c r="C364" s="15">
        <f>IF($A364="","",IF(ISNUMBER(MATCH($A364,表單!$A$2:$A$301,0)),IF(TRIM(INDEX(表單!$D$2:$D$301,MATCH($A364,表單!$A$2:$A$301,0)))="","（分項工程層）",INDEX(表單!$D$2:$D$301,MATCH($A364,表單!$A$2:$A$301,0))),IFERROR(INDEX($N$2:$N$201,MATCH($A364,$L$2:$L$201,0)),"")))</f>
        <v/>
      </c>
      <c r="D364" s="15">
        <f>IF($A364="","",IF(ISNUMBER(MATCH($A364,表單!$A$2:$A$301,0)),"線上表單",IFERROR(INDEX($O$2:$O$201,MATCH($A364,$L$2:$L$201,0)),"")))</f>
        <v/>
      </c>
      <c r="E364" s="15">
        <f>IF($A364="","",IF(ISNUMBER(MATCH($A364,表單!$A$2:$A$301,0)),"本檔","系統"))</f>
        <v/>
      </c>
      <c r="J364">
        <f>IF(363&lt;=COUNTA($L$2:$L$201),INDEX($L$2:$L$201,363),IFERROR(INDEX(表單!$A$2:$A$301,MATCH(363-COUNTA($L$2:$L$201),$H$2:$H$301,0)),""))</f>
        <v/>
      </c>
    </row>
    <row r="365">
      <c r="A365" s="15">
        <f>IF($J365="","",$J365)</f>
        <v/>
      </c>
      <c r="B365" s="15">
        <f>IF($A365="","",IF(ISNUMBER(MATCH($A365,表單!$A$2:$A$301,0)),INDEX(表單!$B$2:$B$301,MATCH($A365,表單!$A$2:$A$301,0)),IFERROR(INDEX($M$2:$M$201,MATCH($A365,$L$2:$L$201,0)),"")))</f>
        <v/>
      </c>
      <c r="C365" s="15">
        <f>IF($A365="","",IF(ISNUMBER(MATCH($A365,表單!$A$2:$A$301,0)),IF(TRIM(INDEX(表單!$D$2:$D$301,MATCH($A365,表單!$A$2:$A$301,0)))="","（分項工程層）",INDEX(表單!$D$2:$D$301,MATCH($A365,表單!$A$2:$A$301,0))),IFERROR(INDEX($N$2:$N$201,MATCH($A365,$L$2:$L$201,0)),"")))</f>
        <v/>
      </c>
      <c r="D365" s="15">
        <f>IF($A365="","",IF(ISNUMBER(MATCH($A365,表單!$A$2:$A$301,0)),"線上表單",IFERROR(INDEX($O$2:$O$201,MATCH($A365,$L$2:$L$201,0)),"")))</f>
        <v/>
      </c>
      <c r="E365" s="15">
        <f>IF($A365="","",IF(ISNUMBER(MATCH($A365,表單!$A$2:$A$301,0)),"本檔","系統"))</f>
        <v/>
      </c>
      <c r="J365">
        <f>IF(364&lt;=COUNTA($L$2:$L$201),INDEX($L$2:$L$201,364),IFERROR(INDEX(表單!$A$2:$A$301,MATCH(364-COUNTA($L$2:$L$201),$H$2:$H$301,0)),""))</f>
        <v/>
      </c>
    </row>
    <row r="366">
      <c r="A366" s="15">
        <f>IF($J366="","",$J366)</f>
        <v/>
      </c>
      <c r="B366" s="15">
        <f>IF($A366="","",IF(ISNUMBER(MATCH($A366,表單!$A$2:$A$301,0)),INDEX(表單!$B$2:$B$301,MATCH($A366,表單!$A$2:$A$301,0)),IFERROR(INDEX($M$2:$M$201,MATCH($A366,$L$2:$L$201,0)),"")))</f>
        <v/>
      </c>
      <c r="C366" s="15">
        <f>IF($A366="","",IF(ISNUMBER(MATCH($A366,表單!$A$2:$A$301,0)),IF(TRIM(INDEX(表單!$D$2:$D$301,MATCH($A366,表單!$A$2:$A$301,0)))="","（分項工程層）",INDEX(表單!$D$2:$D$301,MATCH($A366,表單!$A$2:$A$301,0))),IFERROR(INDEX($N$2:$N$201,MATCH($A366,$L$2:$L$201,0)),"")))</f>
        <v/>
      </c>
      <c r="D366" s="15">
        <f>IF($A366="","",IF(ISNUMBER(MATCH($A366,表單!$A$2:$A$301,0)),"線上表單",IFERROR(INDEX($O$2:$O$201,MATCH($A366,$L$2:$L$201,0)),"")))</f>
        <v/>
      </c>
      <c r="E366" s="15">
        <f>IF($A366="","",IF(ISNUMBER(MATCH($A366,表單!$A$2:$A$301,0)),"本檔","系統"))</f>
        <v/>
      </c>
      <c r="J366">
        <f>IF(365&lt;=COUNTA($L$2:$L$201),INDEX($L$2:$L$201,365),IFERROR(INDEX(表單!$A$2:$A$301,MATCH(365-COUNTA($L$2:$L$201),$H$2:$H$301,0)),""))</f>
        <v/>
      </c>
    </row>
    <row r="367">
      <c r="A367" s="15">
        <f>IF($J367="","",$J367)</f>
        <v/>
      </c>
      <c r="B367" s="15">
        <f>IF($A367="","",IF(ISNUMBER(MATCH($A367,表單!$A$2:$A$301,0)),INDEX(表單!$B$2:$B$301,MATCH($A367,表單!$A$2:$A$301,0)),IFERROR(INDEX($M$2:$M$201,MATCH($A367,$L$2:$L$201,0)),"")))</f>
        <v/>
      </c>
      <c r="C367" s="15">
        <f>IF($A367="","",IF(ISNUMBER(MATCH($A367,表單!$A$2:$A$301,0)),IF(TRIM(INDEX(表單!$D$2:$D$301,MATCH($A367,表單!$A$2:$A$301,0)))="","（分項工程層）",INDEX(表單!$D$2:$D$301,MATCH($A367,表單!$A$2:$A$301,0))),IFERROR(INDEX($N$2:$N$201,MATCH($A367,$L$2:$L$201,0)),"")))</f>
        <v/>
      </c>
      <c r="D367" s="15">
        <f>IF($A367="","",IF(ISNUMBER(MATCH($A367,表單!$A$2:$A$301,0)),"線上表單",IFERROR(INDEX($O$2:$O$201,MATCH($A367,$L$2:$L$201,0)),"")))</f>
        <v/>
      </c>
      <c r="E367" s="15">
        <f>IF($A367="","",IF(ISNUMBER(MATCH($A367,表單!$A$2:$A$301,0)),"本檔","系統"))</f>
        <v/>
      </c>
      <c r="J367">
        <f>IF(366&lt;=COUNTA($L$2:$L$201),INDEX($L$2:$L$201,366),IFERROR(INDEX(表單!$A$2:$A$301,MATCH(366-COUNTA($L$2:$L$201),$H$2:$H$301,0)),""))</f>
        <v/>
      </c>
    </row>
    <row r="368">
      <c r="A368" s="15">
        <f>IF($J368="","",$J368)</f>
        <v/>
      </c>
      <c r="B368" s="15">
        <f>IF($A368="","",IF(ISNUMBER(MATCH($A368,表單!$A$2:$A$301,0)),INDEX(表單!$B$2:$B$301,MATCH($A368,表單!$A$2:$A$301,0)),IFERROR(INDEX($M$2:$M$201,MATCH($A368,$L$2:$L$201,0)),"")))</f>
        <v/>
      </c>
      <c r="C368" s="15">
        <f>IF($A368="","",IF(ISNUMBER(MATCH($A368,表單!$A$2:$A$301,0)),IF(TRIM(INDEX(表單!$D$2:$D$301,MATCH($A368,表單!$A$2:$A$301,0)))="","（分項工程層）",INDEX(表單!$D$2:$D$301,MATCH($A368,表單!$A$2:$A$301,0))),IFERROR(INDEX($N$2:$N$201,MATCH($A368,$L$2:$L$201,0)),"")))</f>
        <v/>
      </c>
      <c r="D368" s="15">
        <f>IF($A368="","",IF(ISNUMBER(MATCH($A368,表單!$A$2:$A$301,0)),"線上表單",IFERROR(INDEX($O$2:$O$201,MATCH($A368,$L$2:$L$201,0)),"")))</f>
        <v/>
      </c>
      <c r="E368" s="15">
        <f>IF($A368="","",IF(ISNUMBER(MATCH($A368,表單!$A$2:$A$301,0)),"本檔","系統"))</f>
        <v/>
      </c>
      <c r="J368">
        <f>IF(367&lt;=COUNTA($L$2:$L$201),INDEX($L$2:$L$201,367),IFERROR(INDEX(表單!$A$2:$A$301,MATCH(367-COUNTA($L$2:$L$201),$H$2:$H$301,0)),""))</f>
        <v/>
      </c>
    </row>
    <row r="369">
      <c r="A369" s="15">
        <f>IF($J369="","",$J369)</f>
        <v/>
      </c>
      <c r="B369" s="15">
        <f>IF($A369="","",IF(ISNUMBER(MATCH($A369,表單!$A$2:$A$301,0)),INDEX(表單!$B$2:$B$301,MATCH($A369,表單!$A$2:$A$301,0)),IFERROR(INDEX($M$2:$M$201,MATCH($A369,$L$2:$L$201,0)),"")))</f>
        <v/>
      </c>
      <c r="C369" s="15">
        <f>IF($A369="","",IF(ISNUMBER(MATCH($A369,表單!$A$2:$A$301,0)),IF(TRIM(INDEX(表單!$D$2:$D$301,MATCH($A369,表單!$A$2:$A$301,0)))="","（分項工程層）",INDEX(表單!$D$2:$D$301,MATCH($A369,表單!$A$2:$A$301,0))),IFERROR(INDEX($N$2:$N$201,MATCH($A369,$L$2:$L$201,0)),"")))</f>
        <v/>
      </c>
      <c r="D369" s="15">
        <f>IF($A369="","",IF(ISNUMBER(MATCH($A369,表單!$A$2:$A$301,0)),"線上表單",IFERROR(INDEX($O$2:$O$201,MATCH($A369,$L$2:$L$201,0)),"")))</f>
        <v/>
      </c>
      <c r="E369" s="15">
        <f>IF($A369="","",IF(ISNUMBER(MATCH($A369,表單!$A$2:$A$301,0)),"本檔","系統"))</f>
        <v/>
      </c>
      <c r="J369">
        <f>IF(368&lt;=COUNTA($L$2:$L$201),INDEX($L$2:$L$201,368),IFERROR(INDEX(表單!$A$2:$A$301,MATCH(368-COUNTA($L$2:$L$201),$H$2:$H$301,0)),""))</f>
        <v/>
      </c>
    </row>
    <row r="370">
      <c r="A370" s="15">
        <f>IF($J370="","",$J370)</f>
        <v/>
      </c>
      <c r="B370" s="15">
        <f>IF($A370="","",IF(ISNUMBER(MATCH($A370,表單!$A$2:$A$301,0)),INDEX(表單!$B$2:$B$301,MATCH($A370,表單!$A$2:$A$301,0)),IFERROR(INDEX($M$2:$M$201,MATCH($A370,$L$2:$L$201,0)),"")))</f>
        <v/>
      </c>
      <c r="C370" s="15">
        <f>IF($A370="","",IF(ISNUMBER(MATCH($A370,表單!$A$2:$A$301,0)),IF(TRIM(INDEX(表單!$D$2:$D$301,MATCH($A370,表單!$A$2:$A$301,0)))="","（分項工程層）",INDEX(表單!$D$2:$D$301,MATCH($A370,表單!$A$2:$A$301,0))),IFERROR(INDEX($N$2:$N$201,MATCH($A370,$L$2:$L$201,0)),"")))</f>
        <v/>
      </c>
      <c r="D370" s="15">
        <f>IF($A370="","",IF(ISNUMBER(MATCH($A370,表單!$A$2:$A$301,0)),"線上表單",IFERROR(INDEX($O$2:$O$201,MATCH($A370,$L$2:$L$201,0)),"")))</f>
        <v/>
      </c>
      <c r="E370" s="15">
        <f>IF($A370="","",IF(ISNUMBER(MATCH($A370,表單!$A$2:$A$301,0)),"本檔","系統"))</f>
        <v/>
      </c>
      <c r="J370">
        <f>IF(369&lt;=COUNTA($L$2:$L$201),INDEX($L$2:$L$201,369),IFERROR(INDEX(表單!$A$2:$A$301,MATCH(369-COUNTA($L$2:$L$201),$H$2:$H$301,0)),""))</f>
        <v/>
      </c>
    </row>
    <row r="371">
      <c r="A371" s="15">
        <f>IF($J371="","",$J371)</f>
        <v/>
      </c>
      <c r="B371" s="15">
        <f>IF($A371="","",IF(ISNUMBER(MATCH($A371,表單!$A$2:$A$301,0)),INDEX(表單!$B$2:$B$301,MATCH($A371,表單!$A$2:$A$301,0)),IFERROR(INDEX($M$2:$M$201,MATCH($A371,$L$2:$L$201,0)),"")))</f>
        <v/>
      </c>
      <c r="C371" s="15">
        <f>IF($A371="","",IF(ISNUMBER(MATCH($A371,表單!$A$2:$A$301,0)),IF(TRIM(INDEX(表單!$D$2:$D$301,MATCH($A371,表單!$A$2:$A$301,0)))="","（分項工程層）",INDEX(表單!$D$2:$D$301,MATCH($A371,表單!$A$2:$A$301,0))),IFERROR(INDEX($N$2:$N$201,MATCH($A371,$L$2:$L$201,0)),"")))</f>
        <v/>
      </c>
      <c r="D371" s="15">
        <f>IF($A371="","",IF(ISNUMBER(MATCH($A371,表單!$A$2:$A$301,0)),"線上表單",IFERROR(INDEX($O$2:$O$201,MATCH($A371,$L$2:$L$201,0)),"")))</f>
        <v/>
      </c>
      <c r="E371" s="15">
        <f>IF($A371="","",IF(ISNUMBER(MATCH($A371,表單!$A$2:$A$301,0)),"本檔","系統"))</f>
        <v/>
      </c>
      <c r="J371">
        <f>IF(370&lt;=COUNTA($L$2:$L$201),INDEX($L$2:$L$201,370),IFERROR(INDEX(表單!$A$2:$A$301,MATCH(370-COUNTA($L$2:$L$201),$H$2:$H$301,0)),""))</f>
        <v/>
      </c>
    </row>
    <row r="372">
      <c r="A372" s="15">
        <f>IF($J372="","",$J372)</f>
        <v/>
      </c>
      <c r="B372" s="15">
        <f>IF($A372="","",IF(ISNUMBER(MATCH($A372,表單!$A$2:$A$301,0)),INDEX(表單!$B$2:$B$301,MATCH($A372,表單!$A$2:$A$301,0)),IFERROR(INDEX($M$2:$M$201,MATCH($A372,$L$2:$L$201,0)),"")))</f>
        <v/>
      </c>
      <c r="C372" s="15">
        <f>IF($A372="","",IF(ISNUMBER(MATCH($A372,表單!$A$2:$A$301,0)),IF(TRIM(INDEX(表單!$D$2:$D$301,MATCH($A372,表單!$A$2:$A$301,0)))="","（分項工程層）",INDEX(表單!$D$2:$D$301,MATCH($A372,表單!$A$2:$A$301,0))),IFERROR(INDEX($N$2:$N$201,MATCH($A372,$L$2:$L$201,0)),"")))</f>
        <v/>
      </c>
      <c r="D372" s="15">
        <f>IF($A372="","",IF(ISNUMBER(MATCH($A372,表單!$A$2:$A$301,0)),"線上表單",IFERROR(INDEX($O$2:$O$201,MATCH($A372,$L$2:$L$201,0)),"")))</f>
        <v/>
      </c>
      <c r="E372" s="15">
        <f>IF($A372="","",IF(ISNUMBER(MATCH($A372,表單!$A$2:$A$301,0)),"本檔","系統"))</f>
        <v/>
      </c>
      <c r="J372">
        <f>IF(371&lt;=COUNTA($L$2:$L$201),INDEX($L$2:$L$201,371),IFERROR(INDEX(表單!$A$2:$A$301,MATCH(371-COUNTA($L$2:$L$201),$H$2:$H$301,0)),""))</f>
        <v/>
      </c>
    </row>
    <row r="373">
      <c r="A373" s="15">
        <f>IF($J373="","",$J373)</f>
        <v/>
      </c>
      <c r="B373" s="15">
        <f>IF($A373="","",IF(ISNUMBER(MATCH($A373,表單!$A$2:$A$301,0)),INDEX(表單!$B$2:$B$301,MATCH($A373,表單!$A$2:$A$301,0)),IFERROR(INDEX($M$2:$M$201,MATCH($A373,$L$2:$L$201,0)),"")))</f>
        <v/>
      </c>
      <c r="C373" s="15">
        <f>IF($A373="","",IF(ISNUMBER(MATCH($A373,表單!$A$2:$A$301,0)),IF(TRIM(INDEX(表單!$D$2:$D$301,MATCH($A373,表單!$A$2:$A$301,0)))="","（分項工程層）",INDEX(表單!$D$2:$D$301,MATCH($A373,表單!$A$2:$A$301,0))),IFERROR(INDEX($N$2:$N$201,MATCH($A373,$L$2:$L$201,0)),"")))</f>
        <v/>
      </c>
      <c r="D373" s="15">
        <f>IF($A373="","",IF(ISNUMBER(MATCH($A373,表單!$A$2:$A$301,0)),"線上表單",IFERROR(INDEX($O$2:$O$201,MATCH($A373,$L$2:$L$201,0)),"")))</f>
        <v/>
      </c>
      <c r="E373" s="15">
        <f>IF($A373="","",IF(ISNUMBER(MATCH($A373,表單!$A$2:$A$301,0)),"本檔","系統"))</f>
        <v/>
      </c>
      <c r="J373">
        <f>IF(372&lt;=COUNTA($L$2:$L$201),INDEX($L$2:$L$201,372),IFERROR(INDEX(表單!$A$2:$A$301,MATCH(372-COUNTA($L$2:$L$201),$H$2:$H$301,0)),""))</f>
        <v/>
      </c>
    </row>
    <row r="374">
      <c r="A374" s="15">
        <f>IF($J374="","",$J374)</f>
        <v/>
      </c>
      <c r="B374" s="15">
        <f>IF($A374="","",IF(ISNUMBER(MATCH($A374,表單!$A$2:$A$301,0)),INDEX(表單!$B$2:$B$301,MATCH($A374,表單!$A$2:$A$301,0)),IFERROR(INDEX($M$2:$M$201,MATCH($A374,$L$2:$L$201,0)),"")))</f>
        <v/>
      </c>
      <c r="C374" s="15">
        <f>IF($A374="","",IF(ISNUMBER(MATCH($A374,表單!$A$2:$A$301,0)),IF(TRIM(INDEX(表單!$D$2:$D$301,MATCH($A374,表單!$A$2:$A$301,0)))="","（分項工程層）",INDEX(表單!$D$2:$D$301,MATCH($A374,表單!$A$2:$A$301,0))),IFERROR(INDEX($N$2:$N$201,MATCH($A374,$L$2:$L$201,0)),"")))</f>
        <v/>
      </c>
      <c r="D374" s="15">
        <f>IF($A374="","",IF(ISNUMBER(MATCH($A374,表單!$A$2:$A$301,0)),"線上表單",IFERROR(INDEX($O$2:$O$201,MATCH($A374,$L$2:$L$201,0)),"")))</f>
        <v/>
      </c>
      <c r="E374" s="15">
        <f>IF($A374="","",IF(ISNUMBER(MATCH($A374,表單!$A$2:$A$301,0)),"本檔","系統"))</f>
        <v/>
      </c>
      <c r="J374">
        <f>IF(373&lt;=COUNTA($L$2:$L$201),INDEX($L$2:$L$201,373),IFERROR(INDEX(表單!$A$2:$A$301,MATCH(373-COUNTA($L$2:$L$201),$H$2:$H$301,0)),""))</f>
        <v/>
      </c>
    </row>
    <row r="375">
      <c r="A375" s="15">
        <f>IF($J375="","",$J375)</f>
        <v/>
      </c>
      <c r="B375" s="15">
        <f>IF($A375="","",IF(ISNUMBER(MATCH($A375,表單!$A$2:$A$301,0)),INDEX(表單!$B$2:$B$301,MATCH($A375,表單!$A$2:$A$301,0)),IFERROR(INDEX($M$2:$M$201,MATCH($A375,$L$2:$L$201,0)),"")))</f>
        <v/>
      </c>
      <c r="C375" s="15">
        <f>IF($A375="","",IF(ISNUMBER(MATCH($A375,表單!$A$2:$A$301,0)),IF(TRIM(INDEX(表單!$D$2:$D$301,MATCH($A375,表單!$A$2:$A$301,0)))="","（分項工程層）",INDEX(表單!$D$2:$D$301,MATCH($A375,表單!$A$2:$A$301,0))),IFERROR(INDEX($N$2:$N$201,MATCH($A375,$L$2:$L$201,0)),"")))</f>
        <v/>
      </c>
      <c r="D375" s="15">
        <f>IF($A375="","",IF(ISNUMBER(MATCH($A375,表單!$A$2:$A$301,0)),"線上表單",IFERROR(INDEX($O$2:$O$201,MATCH($A375,$L$2:$L$201,0)),"")))</f>
        <v/>
      </c>
      <c r="E375" s="15">
        <f>IF($A375="","",IF(ISNUMBER(MATCH($A375,表單!$A$2:$A$301,0)),"本檔","系統"))</f>
        <v/>
      </c>
      <c r="J375">
        <f>IF(374&lt;=COUNTA($L$2:$L$201),INDEX($L$2:$L$201,374),IFERROR(INDEX(表單!$A$2:$A$301,MATCH(374-COUNTA($L$2:$L$201),$H$2:$H$301,0)),""))</f>
        <v/>
      </c>
    </row>
    <row r="376">
      <c r="A376" s="15">
        <f>IF($J376="","",$J376)</f>
        <v/>
      </c>
      <c r="B376" s="15">
        <f>IF($A376="","",IF(ISNUMBER(MATCH($A376,表單!$A$2:$A$301,0)),INDEX(表單!$B$2:$B$301,MATCH($A376,表單!$A$2:$A$301,0)),IFERROR(INDEX($M$2:$M$201,MATCH($A376,$L$2:$L$201,0)),"")))</f>
        <v/>
      </c>
      <c r="C376" s="15">
        <f>IF($A376="","",IF(ISNUMBER(MATCH($A376,表單!$A$2:$A$301,0)),IF(TRIM(INDEX(表單!$D$2:$D$301,MATCH($A376,表單!$A$2:$A$301,0)))="","（分項工程層）",INDEX(表單!$D$2:$D$301,MATCH($A376,表單!$A$2:$A$301,0))),IFERROR(INDEX($N$2:$N$201,MATCH($A376,$L$2:$L$201,0)),"")))</f>
        <v/>
      </c>
      <c r="D376" s="15">
        <f>IF($A376="","",IF(ISNUMBER(MATCH($A376,表單!$A$2:$A$301,0)),"線上表單",IFERROR(INDEX($O$2:$O$201,MATCH($A376,$L$2:$L$201,0)),"")))</f>
        <v/>
      </c>
      <c r="E376" s="15">
        <f>IF($A376="","",IF(ISNUMBER(MATCH($A376,表單!$A$2:$A$301,0)),"本檔","系統"))</f>
        <v/>
      </c>
      <c r="J376">
        <f>IF(375&lt;=COUNTA($L$2:$L$201),INDEX($L$2:$L$201,375),IFERROR(INDEX(表單!$A$2:$A$301,MATCH(375-COUNTA($L$2:$L$201),$H$2:$H$301,0)),""))</f>
        <v/>
      </c>
    </row>
    <row r="377">
      <c r="A377" s="15">
        <f>IF($J377="","",$J377)</f>
        <v/>
      </c>
      <c r="B377" s="15">
        <f>IF($A377="","",IF(ISNUMBER(MATCH($A377,表單!$A$2:$A$301,0)),INDEX(表單!$B$2:$B$301,MATCH($A377,表單!$A$2:$A$301,0)),IFERROR(INDEX($M$2:$M$201,MATCH($A377,$L$2:$L$201,0)),"")))</f>
        <v/>
      </c>
      <c r="C377" s="15">
        <f>IF($A377="","",IF(ISNUMBER(MATCH($A377,表單!$A$2:$A$301,0)),IF(TRIM(INDEX(表單!$D$2:$D$301,MATCH($A377,表單!$A$2:$A$301,0)))="","（分項工程層）",INDEX(表單!$D$2:$D$301,MATCH($A377,表單!$A$2:$A$301,0))),IFERROR(INDEX($N$2:$N$201,MATCH($A377,$L$2:$L$201,0)),"")))</f>
        <v/>
      </c>
      <c r="D377" s="15">
        <f>IF($A377="","",IF(ISNUMBER(MATCH($A377,表單!$A$2:$A$301,0)),"線上表單",IFERROR(INDEX($O$2:$O$201,MATCH($A377,$L$2:$L$201,0)),"")))</f>
        <v/>
      </c>
      <c r="E377" s="15">
        <f>IF($A377="","",IF(ISNUMBER(MATCH($A377,表單!$A$2:$A$301,0)),"本檔","系統"))</f>
        <v/>
      </c>
      <c r="J377">
        <f>IF(376&lt;=COUNTA($L$2:$L$201),INDEX($L$2:$L$201,376),IFERROR(INDEX(表單!$A$2:$A$301,MATCH(376-COUNTA($L$2:$L$201),$H$2:$H$301,0)),""))</f>
        <v/>
      </c>
    </row>
    <row r="378">
      <c r="A378" s="15">
        <f>IF($J378="","",$J378)</f>
        <v/>
      </c>
      <c r="B378" s="15">
        <f>IF($A378="","",IF(ISNUMBER(MATCH($A378,表單!$A$2:$A$301,0)),INDEX(表單!$B$2:$B$301,MATCH($A378,表單!$A$2:$A$301,0)),IFERROR(INDEX($M$2:$M$201,MATCH($A378,$L$2:$L$201,0)),"")))</f>
        <v/>
      </c>
      <c r="C378" s="15">
        <f>IF($A378="","",IF(ISNUMBER(MATCH($A378,表單!$A$2:$A$301,0)),IF(TRIM(INDEX(表單!$D$2:$D$301,MATCH($A378,表單!$A$2:$A$301,0)))="","（分項工程層）",INDEX(表單!$D$2:$D$301,MATCH($A378,表單!$A$2:$A$301,0))),IFERROR(INDEX($N$2:$N$201,MATCH($A378,$L$2:$L$201,0)),"")))</f>
        <v/>
      </c>
      <c r="D378" s="15">
        <f>IF($A378="","",IF(ISNUMBER(MATCH($A378,表單!$A$2:$A$301,0)),"線上表單",IFERROR(INDEX($O$2:$O$201,MATCH($A378,$L$2:$L$201,0)),"")))</f>
        <v/>
      </c>
      <c r="E378" s="15">
        <f>IF($A378="","",IF(ISNUMBER(MATCH($A378,表單!$A$2:$A$301,0)),"本檔","系統"))</f>
        <v/>
      </c>
      <c r="J378">
        <f>IF(377&lt;=COUNTA($L$2:$L$201),INDEX($L$2:$L$201,377),IFERROR(INDEX(表單!$A$2:$A$301,MATCH(377-COUNTA($L$2:$L$201),$H$2:$H$301,0)),""))</f>
        <v/>
      </c>
    </row>
    <row r="379">
      <c r="A379" s="15">
        <f>IF($J379="","",$J379)</f>
        <v/>
      </c>
      <c r="B379" s="15">
        <f>IF($A379="","",IF(ISNUMBER(MATCH($A379,表單!$A$2:$A$301,0)),INDEX(表單!$B$2:$B$301,MATCH($A379,表單!$A$2:$A$301,0)),IFERROR(INDEX($M$2:$M$201,MATCH($A379,$L$2:$L$201,0)),"")))</f>
        <v/>
      </c>
      <c r="C379" s="15">
        <f>IF($A379="","",IF(ISNUMBER(MATCH($A379,表單!$A$2:$A$301,0)),IF(TRIM(INDEX(表單!$D$2:$D$301,MATCH($A379,表單!$A$2:$A$301,0)))="","（分項工程層）",INDEX(表單!$D$2:$D$301,MATCH($A379,表單!$A$2:$A$301,0))),IFERROR(INDEX($N$2:$N$201,MATCH($A379,$L$2:$L$201,0)),"")))</f>
        <v/>
      </c>
      <c r="D379" s="15">
        <f>IF($A379="","",IF(ISNUMBER(MATCH($A379,表單!$A$2:$A$301,0)),"線上表單",IFERROR(INDEX($O$2:$O$201,MATCH($A379,$L$2:$L$201,0)),"")))</f>
        <v/>
      </c>
      <c r="E379" s="15">
        <f>IF($A379="","",IF(ISNUMBER(MATCH($A379,表單!$A$2:$A$301,0)),"本檔","系統"))</f>
        <v/>
      </c>
      <c r="J379">
        <f>IF(378&lt;=COUNTA($L$2:$L$201),INDEX($L$2:$L$201,378),IFERROR(INDEX(表單!$A$2:$A$301,MATCH(378-COUNTA($L$2:$L$201),$H$2:$H$301,0)),""))</f>
        <v/>
      </c>
    </row>
    <row r="380">
      <c r="A380" s="15">
        <f>IF($J380="","",$J380)</f>
        <v/>
      </c>
      <c r="B380" s="15">
        <f>IF($A380="","",IF(ISNUMBER(MATCH($A380,表單!$A$2:$A$301,0)),INDEX(表單!$B$2:$B$301,MATCH($A380,表單!$A$2:$A$301,0)),IFERROR(INDEX($M$2:$M$201,MATCH($A380,$L$2:$L$201,0)),"")))</f>
        <v/>
      </c>
      <c r="C380" s="15">
        <f>IF($A380="","",IF(ISNUMBER(MATCH($A380,表單!$A$2:$A$301,0)),IF(TRIM(INDEX(表單!$D$2:$D$301,MATCH($A380,表單!$A$2:$A$301,0)))="","（分項工程層）",INDEX(表單!$D$2:$D$301,MATCH($A380,表單!$A$2:$A$301,0))),IFERROR(INDEX($N$2:$N$201,MATCH($A380,$L$2:$L$201,0)),"")))</f>
        <v/>
      </c>
      <c r="D380" s="15">
        <f>IF($A380="","",IF(ISNUMBER(MATCH($A380,表單!$A$2:$A$301,0)),"線上表單",IFERROR(INDEX($O$2:$O$201,MATCH($A380,$L$2:$L$201,0)),"")))</f>
        <v/>
      </c>
      <c r="E380" s="15">
        <f>IF($A380="","",IF(ISNUMBER(MATCH($A380,表單!$A$2:$A$301,0)),"本檔","系統"))</f>
        <v/>
      </c>
      <c r="J380">
        <f>IF(379&lt;=COUNTA($L$2:$L$201),INDEX($L$2:$L$201,379),IFERROR(INDEX(表單!$A$2:$A$301,MATCH(379-COUNTA($L$2:$L$201),$H$2:$H$301,0)),""))</f>
        <v/>
      </c>
    </row>
    <row r="381">
      <c r="A381" s="15">
        <f>IF($J381="","",$J381)</f>
        <v/>
      </c>
      <c r="B381" s="15">
        <f>IF($A381="","",IF(ISNUMBER(MATCH($A381,表單!$A$2:$A$301,0)),INDEX(表單!$B$2:$B$301,MATCH($A381,表單!$A$2:$A$301,0)),IFERROR(INDEX($M$2:$M$201,MATCH($A381,$L$2:$L$201,0)),"")))</f>
        <v/>
      </c>
      <c r="C381" s="15">
        <f>IF($A381="","",IF(ISNUMBER(MATCH($A381,表單!$A$2:$A$301,0)),IF(TRIM(INDEX(表單!$D$2:$D$301,MATCH($A381,表單!$A$2:$A$301,0)))="","（分項工程層）",INDEX(表單!$D$2:$D$301,MATCH($A381,表單!$A$2:$A$301,0))),IFERROR(INDEX($N$2:$N$201,MATCH($A381,$L$2:$L$201,0)),"")))</f>
        <v/>
      </c>
      <c r="D381" s="15">
        <f>IF($A381="","",IF(ISNUMBER(MATCH($A381,表單!$A$2:$A$301,0)),"線上表單",IFERROR(INDEX($O$2:$O$201,MATCH($A381,$L$2:$L$201,0)),"")))</f>
        <v/>
      </c>
      <c r="E381" s="15">
        <f>IF($A381="","",IF(ISNUMBER(MATCH($A381,表單!$A$2:$A$301,0)),"本檔","系統"))</f>
        <v/>
      </c>
      <c r="J381">
        <f>IF(380&lt;=COUNTA($L$2:$L$201),INDEX($L$2:$L$201,380),IFERROR(INDEX(表單!$A$2:$A$301,MATCH(380-COUNTA($L$2:$L$201),$H$2:$H$301,0)),""))</f>
        <v/>
      </c>
    </row>
    <row r="382">
      <c r="A382" s="15">
        <f>IF($J382="","",$J382)</f>
        <v/>
      </c>
      <c r="B382" s="15">
        <f>IF($A382="","",IF(ISNUMBER(MATCH($A382,表單!$A$2:$A$301,0)),INDEX(表單!$B$2:$B$301,MATCH($A382,表單!$A$2:$A$301,0)),IFERROR(INDEX($M$2:$M$201,MATCH($A382,$L$2:$L$201,0)),"")))</f>
        <v/>
      </c>
      <c r="C382" s="15">
        <f>IF($A382="","",IF(ISNUMBER(MATCH($A382,表單!$A$2:$A$301,0)),IF(TRIM(INDEX(表單!$D$2:$D$301,MATCH($A382,表單!$A$2:$A$301,0)))="","（分項工程層）",INDEX(表單!$D$2:$D$301,MATCH($A382,表單!$A$2:$A$301,0))),IFERROR(INDEX($N$2:$N$201,MATCH($A382,$L$2:$L$201,0)),"")))</f>
        <v/>
      </c>
      <c r="D382" s="15">
        <f>IF($A382="","",IF(ISNUMBER(MATCH($A382,表單!$A$2:$A$301,0)),"線上表單",IFERROR(INDEX($O$2:$O$201,MATCH($A382,$L$2:$L$201,0)),"")))</f>
        <v/>
      </c>
      <c r="E382" s="15">
        <f>IF($A382="","",IF(ISNUMBER(MATCH($A382,表單!$A$2:$A$301,0)),"本檔","系統"))</f>
        <v/>
      </c>
      <c r="J382">
        <f>IF(381&lt;=COUNTA($L$2:$L$201),INDEX($L$2:$L$201,381),IFERROR(INDEX(表單!$A$2:$A$301,MATCH(381-COUNTA($L$2:$L$201),$H$2:$H$301,0)),""))</f>
        <v/>
      </c>
    </row>
    <row r="383">
      <c r="A383" s="15">
        <f>IF($J383="","",$J383)</f>
        <v/>
      </c>
      <c r="B383" s="15">
        <f>IF($A383="","",IF(ISNUMBER(MATCH($A383,表單!$A$2:$A$301,0)),INDEX(表單!$B$2:$B$301,MATCH($A383,表單!$A$2:$A$301,0)),IFERROR(INDEX($M$2:$M$201,MATCH($A383,$L$2:$L$201,0)),"")))</f>
        <v/>
      </c>
      <c r="C383" s="15">
        <f>IF($A383="","",IF(ISNUMBER(MATCH($A383,表單!$A$2:$A$301,0)),IF(TRIM(INDEX(表單!$D$2:$D$301,MATCH($A383,表單!$A$2:$A$301,0)))="","（分項工程層）",INDEX(表單!$D$2:$D$301,MATCH($A383,表單!$A$2:$A$301,0))),IFERROR(INDEX($N$2:$N$201,MATCH($A383,$L$2:$L$201,0)),"")))</f>
        <v/>
      </c>
      <c r="D383" s="15">
        <f>IF($A383="","",IF(ISNUMBER(MATCH($A383,表單!$A$2:$A$301,0)),"線上表單",IFERROR(INDEX($O$2:$O$201,MATCH($A383,$L$2:$L$201,0)),"")))</f>
        <v/>
      </c>
      <c r="E383" s="15">
        <f>IF($A383="","",IF(ISNUMBER(MATCH($A383,表單!$A$2:$A$301,0)),"本檔","系統"))</f>
        <v/>
      </c>
      <c r="J383">
        <f>IF(382&lt;=COUNTA($L$2:$L$201),INDEX($L$2:$L$201,382),IFERROR(INDEX(表單!$A$2:$A$301,MATCH(382-COUNTA($L$2:$L$201),$H$2:$H$301,0)),""))</f>
        <v/>
      </c>
    </row>
    <row r="384">
      <c r="A384" s="15">
        <f>IF($J384="","",$J384)</f>
        <v/>
      </c>
      <c r="B384" s="15">
        <f>IF($A384="","",IF(ISNUMBER(MATCH($A384,表單!$A$2:$A$301,0)),INDEX(表單!$B$2:$B$301,MATCH($A384,表單!$A$2:$A$301,0)),IFERROR(INDEX($M$2:$M$201,MATCH($A384,$L$2:$L$201,0)),"")))</f>
        <v/>
      </c>
      <c r="C384" s="15">
        <f>IF($A384="","",IF(ISNUMBER(MATCH($A384,表單!$A$2:$A$301,0)),IF(TRIM(INDEX(表單!$D$2:$D$301,MATCH($A384,表單!$A$2:$A$301,0)))="","（分項工程層）",INDEX(表單!$D$2:$D$301,MATCH($A384,表單!$A$2:$A$301,0))),IFERROR(INDEX($N$2:$N$201,MATCH($A384,$L$2:$L$201,0)),"")))</f>
        <v/>
      </c>
      <c r="D384" s="15">
        <f>IF($A384="","",IF(ISNUMBER(MATCH($A384,表單!$A$2:$A$301,0)),"線上表單",IFERROR(INDEX($O$2:$O$201,MATCH($A384,$L$2:$L$201,0)),"")))</f>
        <v/>
      </c>
      <c r="E384" s="15">
        <f>IF($A384="","",IF(ISNUMBER(MATCH($A384,表單!$A$2:$A$301,0)),"本檔","系統"))</f>
        <v/>
      </c>
      <c r="J384">
        <f>IF(383&lt;=COUNTA($L$2:$L$201),INDEX($L$2:$L$201,383),IFERROR(INDEX(表單!$A$2:$A$301,MATCH(383-COUNTA($L$2:$L$201),$H$2:$H$301,0)),""))</f>
        <v/>
      </c>
    </row>
    <row r="385">
      <c r="A385" s="15">
        <f>IF($J385="","",$J385)</f>
        <v/>
      </c>
      <c r="B385" s="15">
        <f>IF($A385="","",IF(ISNUMBER(MATCH($A385,表單!$A$2:$A$301,0)),INDEX(表單!$B$2:$B$301,MATCH($A385,表單!$A$2:$A$301,0)),IFERROR(INDEX($M$2:$M$201,MATCH($A385,$L$2:$L$201,0)),"")))</f>
        <v/>
      </c>
      <c r="C385" s="15">
        <f>IF($A385="","",IF(ISNUMBER(MATCH($A385,表單!$A$2:$A$301,0)),IF(TRIM(INDEX(表單!$D$2:$D$301,MATCH($A385,表單!$A$2:$A$301,0)))="","（分項工程層）",INDEX(表單!$D$2:$D$301,MATCH($A385,表單!$A$2:$A$301,0))),IFERROR(INDEX($N$2:$N$201,MATCH($A385,$L$2:$L$201,0)),"")))</f>
        <v/>
      </c>
      <c r="D385" s="15">
        <f>IF($A385="","",IF(ISNUMBER(MATCH($A385,表單!$A$2:$A$301,0)),"線上表單",IFERROR(INDEX($O$2:$O$201,MATCH($A385,$L$2:$L$201,0)),"")))</f>
        <v/>
      </c>
      <c r="E385" s="15">
        <f>IF($A385="","",IF(ISNUMBER(MATCH($A385,表單!$A$2:$A$301,0)),"本檔","系統"))</f>
        <v/>
      </c>
      <c r="J385">
        <f>IF(384&lt;=COUNTA($L$2:$L$201),INDEX($L$2:$L$201,384),IFERROR(INDEX(表單!$A$2:$A$301,MATCH(384-COUNTA($L$2:$L$201),$H$2:$H$301,0)),""))</f>
        <v/>
      </c>
    </row>
    <row r="386">
      <c r="A386" s="15">
        <f>IF($J386="","",$J386)</f>
        <v/>
      </c>
      <c r="B386" s="15">
        <f>IF($A386="","",IF(ISNUMBER(MATCH($A386,表單!$A$2:$A$301,0)),INDEX(表單!$B$2:$B$301,MATCH($A386,表單!$A$2:$A$301,0)),IFERROR(INDEX($M$2:$M$201,MATCH($A386,$L$2:$L$201,0)),"")))</f>
        <v/>
      </c>
      <c r="C386" s="15">
        <f>IF($A386="","",IF(ISNUMBER(MATCH($A386,表單!$A$2:$A$301,0)),IF(TRIM(INDEX(表單!$D$2:$D$301,MATCH($A386,表單!$A$2:$A$301,0)))="","（分項工程層）",INDEX(表單!$D$2:$D$301,MATCH($A386,表單!$A$2:$A$301,0))),IFERROR(INDEX($N$2:$N$201,MATCH($A386,$L$2:$L$201,0)),"")))</f>
        <v/>
      </c>
      <c r="D386" s="15">
        <f>IF($A386="","",IF(ISNUMBER(MATCH($A386,表單!$A$2:$A$301,0)),"線上表單",IFERROR(INDEX($O$2:$O$201,MATCH($A386,$L$2:$L$201,0)),"")))</f>
        <v/>
      </c>
      <c r="E386" s="15">
        <f>IF($A386="","",IF(ISNUMBER(MATCH($A386,表單!$A$2:$A$301,0)),"本檔","系統"))</f>
        <v/>
      </c>
      <c r="J386">
        <f>IF(385&lt;=COUNTA($L$2:$L$201),INDEX($L$2:$L$201,385),IFERROR(INDEX(表單!$A$2:$A$301,MATCH(385-COUNTA($L$2:$L$201),$H$2:$H$301,0)),""))</f>
        <v/>
      </c>
    </row>
    <row r="387">
      <c r="A387" s="15">
        <f>IF($J387="","",$J387)</f>
        <v/>
      </c>
      <c r="B387" s="15">
        <f>IF($A387="","",IF(ISNUMBER(MATCH($A387,表單!$A$2:$A$301,0)),INDEX(表單!$B$2:$B$301,MATCH($A387,表單!$A$2:$A$301,0)),IFERROR(INDEX($M$2:$M$201,MATCH($A387,$L$2:$L$201,0)),"")))</f>
        <v/>
      </c>
      <c r="C387" s="15">
        <f>IF($A387="","",IF(ISNUMBER(MATCH($A387,表單!$A$2:$A$301,0)),IF(TRIM(INDEX(表單!$D$2:$D$301,MATCH($A387,表單!$A$2:$A$301,0)))="","（分項工程層）",INDEX(表單!$D$2:$D$301,MATCH($A387,表單!$A$2:$A$301,0))),IFERROR(INDEX($N$2:$N$201,MATCH($A387,$L$2:$L$201,0)),"")))</f>
        <v/>
      </c>
      <c r="D387" s="15">
        <f>IF($A387="","",IF(ISNUMBER(MATCH($A387,表單!$A$2:$A$301,0)),"線上表單",IFERROR(INDEX($O$2:$O$201,MATCH($A387,$L$2:$L$201,0)),"")))</f>
        <v/>
      </c>
      <c r="E387" s="15">
        <f>IF($A387="","",IF(ISNUMBER(MATCH($A387,表單!$A$2:$A$301,0)),"本檔","系統"))</f>
        <v/>
      </c>
      <c r="J387">
        <f>IF(386&lt;=COUNTA($L$2:$L$201),INDEX($L$2:$L$201,386),IFERROR(INDEX(表單!$A$2:$A$301,MATCH(386-COUNTA($L$2:$L$201),$H$2:$H$301,0)),""))</f>
        <v/>
      </c>
    </row>
    <row r="388">
      <c r="A388" s="15">
        <f>IF($J388="","",$J388)</f>
        <v/>
      </c>
      <c r="B388" s="15">
        <f>IF($A388="","",IF(ISNUMBER(MATCH($A388,表單!$A$2:$A$301,0)),INDEX(表單!$B$2:$B$301,MATCH($A388,表單!$A$2:$A$301,0)),IFERROR(INDEX($M$2:$M$201,MATCH($A388,$L$2:$L$201,0)),"")))</f>
        <v/>
      </c>
      <c r="C388" s="15">
        <f>IF($A388="","",IF(ISNUMBER(MATCH($A388,表單!$A$2:$A$301,0)),IF(TRIM(INDEX(表單!$D$2:$D$301,MATCH($A388,表單!$A$2:$A$301,0)))="","（分項工程層）",INDEX(表單!$D$2:$D$301,MATCH($A388,表單!$A$2:$A$301,0))),IFERROR(INDEX($N$2:$N$201,MATCH($A388,$L$2:$L$201,0)),"")))</f>
        <v/>
      </c>
      <c r="D388" s="15">
        <f>IF($A388="","",IF(ISNUMBER(MATCH($A388,表單!$A$2:$A$301,0)),"線上表單",IFERROR(INDEX($O$2:$O$201,MATCH($A388,$L$2:$L$201,0)),"")))</f>
        <v/>
      </c>
      <c r="E388" s="15">
        <f>IF($A388="","",IF(ISNUMBER(MATCH($A388,表單!$A$2:$A$301,0)),"本檔","系統"))</f>
        <v/>
      </c>
      <c r="J388">
        <f>IF(387&lt;=COUNTA($L$2:$L$201),INDEX($L$2:$L$201,387),IFERROR(INDEX(表單!$A$2:$A$301,MATCH(387-COUNTA($L$2:$L$201),$H$2:$H$301,0)),""))</f>
        <v/>
      </c>
    </row>
    <row r="389">
      <c r="A389" s="15">
        <f>IF($J389="","",$J389)</f>
        <v/>
      </c>
      <c r="B389" s="15">
        <f>IF($A389="","",IF(ISNUMBER(MATCH($A389,表單!$A$2:$A$301,0)),INDEX(表單!$B$2:$B$301,MATCH($A389,表單!$A$2:$A$301,0)),IFERROR(INDEX($M$2:$M$201,MATCH($A389,$L$2:$L$201,0)),"")))</f>
        <v/>
      </c>
      <c r="C389" s="15">
        <f>IF($A389="","",IF(ISNUMBER(MATCH($A389,表單!$A$2:$A$301,0)),IF(TRIM(INDEX(表單!$D$2:$D$301,MATCH($A389,表單!$A$2:$A$301,0)))="","（分項工程層）",INDEX(表單!$D$2:$D$301,MATCH($A389,表單!$A$2:$A$301,0))),IFERROR(INDEX($N$2:$N$201,MATCH($A389,$L$2:$L$201,0)),"")))</f>
        <v/>
      </c>
      <c r="D389" s="15">
        <f>IF($A389="","",IF(ISNUMBER(MATCH($A389,表單!$A$2:$A$301,0)),"線上表單",IFERROR(INDEX($O$2:$O$201,MATCH($A389,$L$2:$L$201,0)),"")))</f>
        <v/>
      </c>
      <c r="E389" s="15">
        <f>IF($A389="","",IF(ISNUMBER(MATCH($A389,表單!$A$2:$A$301,0)),"本檔","系統"))</f>
        <v/>
      </c>
      <c r="J389">
        <f>IF(388&lt;=COUNTA($L$2:$L$201),INDEX($L$2:$L$201,388),IFERROR(INDEX(表單!$A$2:$A$301,MATCH(388-COUNTA($L$2:$L$201),$H$2:$H$301,0)),""))</f>
        <v/>
      </c>
    </row>
    <row r="390">
      <c r="A390" s="15">
        <f>IF($J390="","",$J390)</f>
        <v/>
      </c>
      <c r="B390" s="15">
        <f>IF($A390="","",IF(ISNUMBER(MATCH($A390,表單!$A$2:$A$301,0)),INDEX(表單!$B$2:$B$301,MATCH($A390,表單!$A$2:$A$301,0)),IFERROR(INDEX($M$2:$M$201,MATCH($A390,$L$2:$L$201,0)),"")))</f>
        <v/>
      </c>
      <c r="C390" s="15">
        <f>IF($A390="","",IF(ISNUMBER(MATCH($A390,表單!$A$2:$A$301,0)),IF(TRIM(INDEX(表單!$D$2:$D$301,MATCH($A390,表單!$A$2:$A$301,0)))="","（分項工程層）",INDEX(表單!$D$2:$D$301,MATCH($A390,表單!$A$2:$A$301,0))),IFERROR(INDEX($N$2:$N$201,MATCH($A390,$L$2:$L$201,0)),"")))</f>
        <v/>
      </c>
      <c r="D390" s="15">
        <f>IF($A390="","",IF(ISNUMBER(MATCH($A390,表單!$A$2:$A$301,0)),"線上表單",IFERROR(INDEX($O$2:$O$201,MATCH($A390,$L$2:$L$201,0)),"")))</f>
        <v/>
      </c>
      <c r="E390" s="15">
        <f>IF($A390="","",IF(ISNUMBER(MATCH($A390,表單!$A$2:$A$301,0)),"本檔","系統"))</f>
        <v/>
      </c>
      <c r="J390">
        <f>IF(389&lt;=COUNTA($L$2:$L$201),INDEX($L$2:$L$201,389),IFERROR(INDEX(表單!$A$2:$A$301,MATCH(389-COUNTA($L$2:$L$201),$H$2:$H$301,0)),""))</f>
        <v/>
      </c>
    </row>
    <row r="391">
      <c r="A391" s="15">
        <f>IF($J391="","",$J391)</f>
        <v/>
      </c>
      <c r="B391" s="15">
        <f>IF($A391="","",IF(ISNUMBER(MATCH($A391,表單!$A$2:$A$301,0)),INDEX(表單!$B$2:$B$301,MATCH($A391,表單!$A$2:$A$301,0)),IFERROR(INDEX($M$2:$M$201,MATCH($A391,$L$2:$L$201,0)),"")))</f>
        <v/>
      </c>
      <c r="C391" s="15">
        <f>IF($A391="","",IF(ISNUMBER(MATCH($A391,表單!$A$2:$A$301,0)),IF(TRIM(INDEX(表單!$D$2:$D$301,MATCH($A391,表單!$A$2:$A$301,0)))="","（分項工程層）",INDEX(表單!$D$2:$D$301,MATCH($A391,表單!$A$2:$A$301,0))),IFERROR(INDEX($N$2:$N$201,MATCH($A391,$L$2:$L$201,0)),"")))</f>
        <v/>
      </c>
      <c r="D391" s="15">
        <f>IF($A391="","",IF(ISNUMBER(MATCH($A391,表單!$A$2:$A$301,0)),"線上表單",IFERROR(INDEX($O$2:$O$201,MATCH($A391,$L$2:$L$201,0)),"")))</f>
        <v/>
      </c>
      <c r="E391" s="15">
        <f>IF($A391="","",IF(ISNUMBER(MATCH($A391,表單!$A$2:$A$301,0)),"本檔","系統"))</f>
        <v/>
      </c>
      <c r="J391">
        <f>IF(390&lt;=COUNTA($L$2:$L$201),INDEX($L$2:$L$201,390),IFERROR(INDEX(表單!$A$2:$A$301,MATCH(390-COUNTA($L$2:$L$201),$H$2:$H$301,0)),""))</f>
        <v/>
      </c>
    </row>
    <row r="392">
      <c r="A392" s="15">
        <f>IF($J392="","",$J392)</f>
        <v/>
      </c>
      <c r="B392" s="15">
        <f>IF($A392="","",IF(ISNUMBER(MATCH($A392,表單!$A$2:$A$301,0)),INDEX(表單!$B$2:$B$301,MATCH($A392,表單!$A$2:$A$301,0)),IFERROR(INDEX($M$2:$M$201,MATCH($A392,$L$2:$L$201,0)),"")))</f>
        <v/>
      </c>
      <c r="C392" s="15">
        <f>IF($A392="","",IF(ISNUMBER(MATCH($A392,表單!$A$2:$A$301,0)),IF(TRIM(INDEX(表單!$D$2:$D$301,MATCH($A392,表單!$A$2:$A$301,0)))="","（分項工程層）",INDEX(表單!$D$2:$D$301,MATCH($A392,表單!$A$2:$A$301,0))),IFERROR(INDEX($N$2:$N$201,MATCH($A392,$L$2:$L$201,0)),"")))</f>
        <v/>
      </c>
      <c r="D392" s="15">
        <f>IF($A392="","",IF(ISNUMBER(MATCH($A392,表單!$A$2:$A$301,0)),"線上表單",IFERROR(INDEX($O$2:$O$201,MATCH($A392,$L$2:$L$201,0)),"")))</f>
        <v/>
      </c>
      <c r="E392" s="15">
        <f>IF($A392="","",IF(ISNUMBER(MATCH($A392,表單!$A$2:$A$301,0)),"本檔","系統"))</f>
        <v/>
      </c>
      <c r="J392">
        <f>IF(391&lt;=COUNTA($L$2:$L$201),INDEX($L$2:$L$201,391),IFERROR(INDEX(表單!$A$2:$A$301,MATCH(391-COUNTA($L$2:$L$201),$H$2:$H$301,0)),""))</f>
        <v/>
      </c>
    </row>
    <row r="393">
      <c r="A393" s="15">
        <f>IF($J393="","",$J393)</f>
        <v/>
      </c>
      <c r="B393" s="15">
        <f>IF($A393="","",IF(ISNUMBER(MATCH($A393,表單!$A$2:$A$301,0)),INDEX(表單!$B$2:$B$301,MATCH($A393,表單!$A$2:$A$301,0)),IFERROR(INDEX($M$2:$M$201,MATCH($A393,$L$2:$L$201,0)),"")))</f>
        <v/>
      </c>
      <c r="C393" s="15">
        <f>IF($A393="","",IF(ISNUMBER(MATCH($A393,表單!$A$2:$A$301,0)),IF(TRIM(INDEX(表單!$D$2:$D$301,MATCH($A393,表單!$A$2:$A$301,0)))="","（分項工程層）",INDEX(表單!$D$2:$D$301,MATCH($A393,表單!$A$2:$A$301,0))),IFERROR(INDEX($N$2:$N$201,MATCH($A393,$L$2:$L$201,0)),"")))</f>
        <v/>
      </c>
      <c r="D393" s="15">
        <f>IF($A393="","",IF(ISNUMBER(MATCH($A393,表單!$A$2:$A$301,0)),"線上表單",IFERROR(INDEX($O$2:$O$201,MATCH($A393,$L$2:$L$201,0)),"")))</f>
        <v/>
      </c>
      <c r="E393" s="15">
        <f>IF($A393="","",IF(ISNUMBER(MATCH($A393,表單!$A$2:$A$301,0)),"本檔","系統"))</f>
        <v/>
      </c>
      <c r="J393">
        <f>IF(392&lt;=COUNTA($L$2:$L$201),INDEX($L$2:$L$201,392),IFERROR(INDEX(表單!$A$2:$A$301,MATCH(392-COUNTA($L$2:$L$201),$H$2:$H$301,0)),""))</f>
        <v/>
      </c>
    </row>
    <row r="394">
      <c r="A394" s="15">
        <f>IF($J394="","",$J394)</f>
        <v/>
      </c>
      <c r="B394" s="15">
        <f>IF($A394="","",IF(ISNUMBER(MATCH($A394,表單!$A$2:$A$301,0)),INDEX(表單!$B$2:$B$301,MATCH($A394,表單!$A$2:$A$301,0)),IFERROR(INDEX($M$2:$M$201,MATCH($A394,$L$2:$L$201,0)),"")))</f>
        <v/>
      </c>
      <c r="C394" s="15">
        <f>IF($A394="","",IF(ISNUMBER(MATCH($A394,表單!$A$2:$A$301,0)),IF(TRIM(INDEX(表單!$D$2:$D$301,MATCH($A394,表單!$A$2:$A$301,0)))="","（分項工程層）",INDEX(表單!$D$2:$D$301,MATCH($A394,表單!$A$2:$A$301,0))),IFERROR(INDEX($N$2:$N$201,MATCH($A394,$L$2:$L$201,0)),"")))</f>
        <v/>
      </c>
      <c r="D394" s="15">
        <f>IF($A394="","",IF(ISNUMBER(MATCH($A394,表單!$A$2:$A$301,0)),"線上表單",IFERROR(INDEX($O$2:$O$201,MATCH($A394,$L$2:$L$201,0)),"")))</f>
        <v/>
      </c>
      <c r="E394" s="15">
        <f>IF($A394="","",IF(ISNUMBER(MATCH($A394,表單!$A$2:$A$301,0)),"本檔","系統"))</f>
        <v/>
      </c>
      <c r="J394">
        <f>IF(393&lt;=COUNTA($L$2:$L$201),INDEX($L$2:$L$201,393),IFERROR(INDEX(表單!$A$2:$A$301,MATCH(393-COUNTA($L$2:$L$201),$H$2:$H$301,0)),""))</f>
        <v/>
      </c>
    </row>
    <row r="395">
      <c r="A395" s="15">
        <f>IF($J395="","",$J395)</f>
        <v/>
      </c>
      <c r="B395" s="15">
        <f>IF($A395="","",IF(ISNUMBER(MATCH($A395,表單!$A$2:$A$301,0)),INDEX(表單!$B$2:$B$301,MATCH($A395,表單!$A$2:$A$301,0)),IFERROR(INDEX($M$2:$M$201,MATCH($A395,$L$2:$L$201,0)),"")))</f>
        <v/>
      </c>
      <c r="C395" s="15">
        <f>IF($A395="","",IF(ISNUMBER(MATCH($A395,表單!$A$2:$A$301,0)),IF(TRIM(INDEX(表單!$D$2:$D$301,MATCH($A395,表單!$A$2:$A$301,0)))="","（分項工程層）",INDEX(表單!$D$2:$D$301,MATCH($A395,表單!$A$2:$A$301,0))),IFERROR(INDEX($N$2:$N$201,MATCH($A395,$L$2:$L$201,0)),"")))</f>
        <v/>
      </c>
      <c r="D395" s="15">
        <f>IF($A395="","",IF(ISNUMBER(MATCH($A395,表單!$A$2:$A$301,0)),"線上表單",IFERROR(INDEX($O$2:$O$201,MATCH($A395,$L$2:$L$201,0)),"")))</f>
        <v/>
      </c>
      <c r="E395" s="15">
        <f>IF($A395="","",IF(ISNUMBER(MATCH($A395,表單!$A$2:$A$301,0)),"本檔","系統"))</f>
        <v/>
      </c>
      <c r="J395">
        <f>IF(394&lt;=COUNTA($L$2:$L$201),INDEX($L$2:$L$201,394),IFERROR(INDEX(表單!$A$2:$A$301,MATCH(394-COUNTA($L$2:$L$201),$H$2:$H$301,0)),""))</f>
        <v/>
      </c>
    </row>
    <row r="396">
      <c r="A396" s="15">
        <f>IF($J396="","",$J396)</f>
        <v/>
      </c>
      <c r="B396" s="15">
        <f>IF($A396="","",IF(ISNUMBER(MATCH($A396,表單!$A$2:$A$301,0)),INDEX(表單!$B$2:$B$301,MATCH($A396,表單!$A$2:$A$301,0)),IFERROR(INDEX($M$2:$M$201,MATCH($A396,$L$2:$L$201,0)),"")))</f>
        <v/>
      </c>
      <c r="C396" s="15">
        <f>IF($A396="","",IF(ISNUMBER(MATCH($A396,表單!$A$2:$A$301,0)),IF(TRIM(INDEX(表單!$D$2:$D$301,MATCH($A396,表單!$A$2:$A$301,0)))="","（分項工程層）",INDEX(表單!$D$2:$D$301,MATCH($A396,表單!$A$2:$A$301,0))),IFERROR(INDEX($N$2:$N$201,MATCH($A396,$L$2:$L$201,0)),"")))</f>
        <v/>
      </c>
      <c r="D396" s="15">
        <f>IF($A396="","",IF(ISNUMBER(MATCH($A396,表單!$A$2:$A$301,0)),"線上表單",IFERROR(INDEX($O$2:$O$201,MATCH($A396,$L$2:$L$201,0)),"")))</f>
        <v/>
      </c>
      <c r="E396" s="15">
        <f>IF($A396="","",IF(ISNUMBER(MATCH($A396,表單!$A$2:$A$301,0)),"本檔","系統"))</f>
        <v/>
      </c>
      <c r="J396">
        <f>IF(395&lt;=COUNTA($L$2:$L$201),INDEX($L$2:$L$201,395),IFERROR(INDEX(表單!$A$2:$A$301,MATCH(395-COUNTA($L$2:$L$201),$H$2:$H$301,0)),""))</f>
        <v/>
      </c>
    </row>
    <row r="397">
      <c r="A397" s="15">
        <f>IF($J397="","",$J397)</f>
        <v/>
      </c>
      <c r="B397" s="15">
        <f>IF($A397="","",IF(ISNUMBER(MATCH($A397,表單!$A$2:$A$301,0)),INDEX(表單!$B$2:$B$301,MATCH($A397,表單!$A$2:$A$301,0)),IFERROR(INDEX($M$2:$M$201,MATCH($A397,$L$2:$L$201,0)),"")))</f>
        <v/>
      </c>
      <c r="C397" s="15">
        <f>IF($A397="","",IF(ISNUMBER(MATCH($A397,表單!$A$2:$A$301,0)),IF(TRIM(INDEX(表單!$D$2:$D$301,MATCH($A397,表單!$A$2:$A$301,0)))="","（分項工程層）",INDEX(表單!$D$2:$D$301,MATCH($A397,表單!$A$2:$A$301,0))),IFERROR(INDEX($N$2:$N$201,MATCH($A397,$L$2:$L$201,0)),"")))</f>
        <v/>
      </c>
      <c r="D397" s="15">
        <f>IF($A397="","",IF(ISNUMBER(MATCH($A397,表單!$A$2:$A$301,0)),"線上表單",IFERROR(INDEX($O$2:$O$201,MATCH($A397,$L$2:$L$201,0)),"")))</f>
        <v/>
      </c>
      <c r="E397" s="15">
        <f>IF($A397="","",IF(ISNUMBER(MATCH($A397,表單!$A$2:$A$301,0)),"本檔","系統"))</f>
        <v/>
      </c>
      <c r="J397">
        <f>IF(396&lt;=COUNTA($L$2:$L$201),INDEX($L$2:$L$201,396),IFERROR(INDEX(表單!$A$2:$A$301,MATCH(396-COUNTA($L$2:$L$201),$H$2:$H$301,0)),""))</f>
        <v/>
      </c>
    </row>
    <row r="398">
      <c r="A398" s="15">
        <f>IF($J398="","",$J398)</f>
        <v/>
      </c>
      <c r="B398" s="15">
        <f>IF($A398="","",IF(ISNUMBER(MATCH($A398,表單!$A$2:$A$301,0)),INDEX(表單!$B$2:$B$301,MATCH($A398,表單!$A$2:$A$301,0)),IFERROR(INDEX($M$2:$M$201,MATCH($A398,$L$2:$L$201,0)),"")))</f>
        <v/>
      </c>
      <c r="C398" s="15">
        <f>IF($A398="","",IF(ISNUMBER(MATCH($A398,表單!$A$2:$A$301,0)),IF(TRIM(INDEX(表單!$D$2:$D$301,MATCH($A398,表單!$A$2:$A$301,0)))="","（分項工程層）",INDEX(表單!$D$2:$D$301,MATCH($A398,表單!$A$2:$A$301,0))),IFERROR(INDEX($N$2:$N$201,MATCH($A398,$L$2:$L$201,0)),"")))</f>
        <v/>
      </c>
      <c r="D398" s="15">
        <f>IF($A398="","",IF(ISNUMBER(MATCH($A398,表單!$A$2:$A$301,0)),"線上表單",IFERROR(INDEX($O$2:$O$201,MATCH($A398,$L$2:$L$201,0)),"")))</f>
        <v/>
      </c>
      <c r="E398" s="15">
        <f>IF($A398="","",IF(ISNUMBER(MATCH($A398,表單!$A$2:$A$301,0)),"本檔","系統"))</f>
        <v/>
      </c>
      <c r="J398">
        <f>IF(397&lt;=COUNTA($L$2:$L$201),INDEX($L$2:$L$201,397),IFERROR(INDEX(表單!$A$2:$A$301,MATCH(397-COUNTA($L$2:$L$201),$H$2:$H$301,0)),""))</f>
        <v/>
      </c>
    </row>
    <row r="399">
      <c r="A399" s="15">
        <f>IF($J399="","",$J399)</f>
        <v/>
      </c>
      <c r="B399" s="15">
        <f>IF($A399="","",IF(ISNUMBER(MATCH($A399,表單!$A$2:$A$301,0)),INDEX(表單!$B$2:$B$301,MATCH($A399,表單!$A$2:$A$301,0)),IFERROR(INDEX($M$2:$M$201,MATCH($A399,$L$2:$L$201,0)),"")))</f>
        <v/>
      </c>
      <c r="C399" s="15">
        <f>IF($A399="","",IF(ISNUMBER(MATCH($A399,表單!$A$2:$A$301,0)),IF(TRIM(INDEX(表單!$D$2:$D$301,MATCH($A399,表單!$A$2:$A$301,0)))="","（分項工程層）",INDEX(表單!$D$2:$D$301,MATCH($A399,表單!$A$2:$A$301,0))),IFERROR(INDEX($N$2:$N$201,MATCH($A399,$L$2:$L$201,0)),"")))</f>
        <v/>
      </c>
      <c r="D399" s="15">
        <f>IF($A399="","",IF(ISNUMBER(MATCH($A399,表單!$A$2:$A$301,0)),"線上表單",IFERROR(INDEX($O$2:$O$201,MATCH($A399,$L$2:$L$201,0)),"")))</f>
        <v/>
      </c>
      <c r="E399" s="15">
        <f>IF($A399="","",IF(ISNUMBER(MATCH($A399,表單!$A$2:$A$301,0)),"本檔","系統"))</f>
        <v/>
      </c>
      <c r="J399">
        <f>IF(398&lt;=COUNTA($L$2:$L$201),INDEX($L$2:$L$201,398),IFERROR(INDEX(表單!$A$2:$A$301,MATCH(398-COUNTA($L$2:$L$201),$H$2:$H$301,0)),""))</f>
        <v/>
      </c>
    </row>
    <row r="400">
      <c r="A400" s="15">
        <f>IF($J400="","",$J400)</f>
        <v/>
      </c>
      <c r="B400" s="15">
        <f>IF($A400="","",IF(ISNUMBER(MATCH($A400,表單!$A$2:$A$301,0)),INDEX(表單!$B$2:$B$301,MATCH($A400,表單!$A$2:$A$301,0)),IFERROR(INDEX($M$2:$M$201,MATCH($A400,$L$2:$L$201,0)),"")))</f>
        <v/>
      </c>
      <c r="C400" s="15">
        <f>IF($A400="","",IF(ISNUMBER(MATCH($A400,表單!$A$2:$A$301,0)),IF(TRIM(INDEX(表單!$D$2:$D$301,MATCH($A400,表單!$A$2:$A$301,0)))="","（分項工程層）",INDEX(表單!$D$2:$D$301,MATCH($A400,表單!$A$2:$A$301,0))),IFERROR(INDEX($N$2:$N$201,MATCH($A400,$L$2:$L$201,0)),"")))</f>
        <v/>
      </c>
      <c r="D400" s="15">
        <f>IF($A400="","",IF(ISNUMBER(MATCH($A400,表單!$A$2:$A$301,0)),"線上表單",IFERROR(INDEX($O$2:$O$201,MATCH($A400,$L$2:$L$201,0)),"")))</f>
        <v/>
      </c>
      <c r="E400" s="15">
        <f>IF($A400="","",IF(ISNUMBER(MATCH($A400,表單!$A$2:$A$301,0)),"本檔","系統"))</f>
        <v/>
      </c>
      <c r="J400">
        <f>IF(399&lt;=COUNTA($L$2:$L$201),INDEX($L$2:$L$201,399),IFERROR(INDEX(表單!$A$2:$A$301,MATCH(399-COUNTA($L$2:$L$201),$H$2:$H$301,0)),""))</f>
        <v/>
      </c>
    </row>
    <row r="401">
      <c r="A401" s="15">
        <f>IF($J401="","",$J401)</f>
        <v/>
      </c>
      <c r="B401" s="15">
        <f>IF($A401="","",IF(ISNUMBER(MATCH($A401,表單!$A$2:$A$301,0)),INDEX(表單!$B$2:$B$301,MATCH($A401,表單!$A$2:$A$301,0)),IFERROR(INDEX($M$2:$M$201,MATCH($A401,$L$2:$L$201,0)),"")))</f>
        <v/>
      </c>
      <c r="C401" s="15">
        <f>IF($A401="","",IF(ISNUMBER(MATCH($A401,表單!$A$2:$A$301,0)),IF(TRIM(INDEX(表單!$D$2:$D$301,MATCH($A401,表單!$A$2:$A$301,0)))="","（分項工程層）",INDEX(表單!$D$2:$D$301,MATCH($A401,表單!$A$2:$A$301,0))),IFERROR(INDEX($N$2:$N$201,MATCH($A401,$L$2:$L$201,0)),"")))</f>
        <v/>
      </c>
      <c r="D401" s="15">
        <f>IF($A401="","",IF(ISNUMBER(MATCH($A401,表單!$A$2:$A$301,0)),"線上表單",IFERROR(INDEX($O$2:$O$201,MATCH($A401,$L$2:$L$201,0)),"")))</f>
        <v/>
      </c>
      <c r="E401" s="15">
        <f>IF($A401="","",IF(ISNUMBER(MATCH($A401,表單!$A$2:$A$301,0)),"本檔","系統"))</f>
        <v/>
      </c>
      <c r="J401">
        <f>IF(400&lt;=COUNTA($L$2:$L$201),INDEX($L$2:$L$201,400),IFERROR(INDEX(表單!$A$2:$A$301,MATCH(400-COUNTA($L$2:$L$201),$H$2:$H$301,0)),""))</f>
        <v/>
      </c>
    </row>
    <row r="402">
      <c r="A402" s="15">
        <f>IF($J402="","",$J402)</f>
        <v/>
      </c>
      <c r="B402" s="15">
        <f>IF($A402="","",IF(ISNUMBER(MATCH($A402,表單!$A$2:$A$301,0)),INDEX(表單!$B$2:$B$301,MATCH($A402,表單!$A$2:$A$301,0)),IFERROR(INDEX($M$2:$M$201,MATCH($A402,$L$2:$L$201,0)),"")))</f>
        <v/>
      </c>
      <c r="C402" s="15">
        <f>IF($A402="","",IF(ISNUMBER(MATCH($A402,表單!$A$2:$A$301,0)),IF(TRIM(INDEX(表單!$D$2:$D$301,MATCH($A402,表單!$A$2:$A$301,0)))="","（分項工程層）",INDEX(表單!$D$2:$D$301,MATCH($A402,表單!$A$2:$A$301,0))),IFERROR(INDEX($N$2:$N$201,MATCH($A402,$L$2:$L$201,0)),"")))</f>
        <v/>
      </c>
      <c r="D402" s="15">
        <f>IF($A402="","",IF(ISNUMBER(MATCH($A402,表單!$A$2:$A$301,0)),"線上表單",IFERROR(INDEX($O$2:$O$201,MATCH($A402,$L$2:$L$201,0)),"")))</f>
        <v/>
      </c>
      <c r="E402" s="15">
        <f>IF($A402="","",IF(ISNUMBER(MATCH($A402,表單!$A$2:$A$301,0)),"本檔","系統"))</f>
        <v/>
      </c>
      <c r="J402">
        <f>IF(401&lt;=COUNTA($L$2:$L$201),INDEX($L$2:$L$201,401),IFERROR(INDEX(表單!$A$2:$A$301,MATCH(401-COUNTA($L$2:$L$201),$H$2:$H$301,0)),""))</f>
        <v/>
      </c>
    </row>
    <row r="403">
      <c r="A403" s="15">
        <f>IF($J403="","",$J403)</f>
        <v/>
      </c>
      <c r="B403" s="15">
        <f>IF($A403="","",IF(ISNUMBER(MATCH($A403,表單!$A$2:$A$301,0)),INDEX(表單!$B$2:$B$301,MATCH($A403,表單!$A$2:$A$301,0)),IFERROR(INDEX($M$2:$M$201,MATCH($A403,$L$2:$L$201,0)),"")))</f>
        <v/>
      </c>
      <c r="C403" s="15">
        <f>IF($A403="","",IF(ISNUMBER(MATCH($A403,表單!$A$2:$A$301,0)),IF(TRIM(INDEX(表單!$D$2:$D$301,MATCH($A403,表單!$A$2:$A$301,0)))="","（分項工程層）",INDEX(表單!$D$2:$D$301,MATCH($A403,表單!$A$2:$A$301,0))),IFERROR(INDEX($N$2:$N$201,MATCH($A403,$L$2:$L$201,0)),"")))</f>
        <v/>
      </c>
      <c r="D403" s="15">
        <f>IF($A403="","",IF(ISNUMBER(MATCH($A403,表單!$A$2:$A$301,0)),"線上表單",IFERROR(INDEX($O$2:$O$201,MATCH($A403,$L$2:$L$201,0)),"")))</f>
        <v/>
      </c>
      <c r="E403" s="15">
        <f>IF($A403="","",IF(ISNUMBER(MATCH($A403,表單!$A$2:$A$301,0)),"本檔","系統"))</f>
        <v/>
      </c>
      <c r="J403">
        <f>IF(402&lt;=COUNTA($L$2:$L$201),INDEX($L$2:$L$201,402),IFERROR(INDEX(表單!$A$2:$A$301,MATCH(402-COUNTA($L$2:$L$201),$H$2:$H$301,0)),""))</f>
        <v/>
      </c>
    </row>
    <row r="404">
      <c r="A404" s="15">
        <f>IF($J404="","",$J404)</f>
        <v/>
      </c>
      <c r="B404" s="15">
        <f>IF($A404="","",IF(ISNUMBER(MATCH($A404,表單!$A$2:$A$301,0)),INDEX(表單!$B$2:$B$301,MATCH($A404,表單!$A$2:$A$301,0)),IFERROR(INDEX($M$2:$M$201,MATCH($A404,$L$2:$L$201,0)),"")))</f>
        <v/>
      </c>
      <c r="C404" s="15">
        <f>IF($A404="","",IF(ISNUMBER(MATCH($A404,表單!$A$2:$A$301,0)),IF(TRIM(INDEX(表單!$D$2:$D$301,MATCH($A404,表單!$A$2:$A$301,0)))="","（分項工程層）",INDEX(表單!$D$2:$D$301,MATCH($A404,表單!$A$2:$A$301,0))),IFERROR(INDEX($N$2:$N$201,MATCH($A404,$L$2:$L$201,0)),"")))</f>
        <v/>
      </c>
      <c r="D404" s="15">
        <f>IF($A404="","",IF(ISNUMBER(MATCH($A404,表單!$A$2:$A$301,0)),"線上表單",IFERROR(INDEX($O$2:$O$201,MATCH($A404,$L$2:$L$201,0)),"")))</f>
        <v/>
      </c>
      <c r="E404" s="15">
        <f>IF($A404="","",IF(ISNUMBER(MATCH($A404,表單!$A$2:$A$301,0)),"本檔","系統"))</f>
        <v/>
      </c>
      <c r="J404">
        <f>IF(403&lt;=COUNTA($L$2:$L$201),INDEX($L$2:$L$201,403),IFERROR(INDEX(表單!$A$2:$A$301,MATCH(403-COUNTA($L$2:$L$201),$H$2:$H$301,0)),""))</f>
        <v/>
      </c>
    </row>
    <row r="405">
      <c r="A405" s="15">
        <f>IF($J405="","",$J405)</f>
        <v/>
      </c>
      <c r="B405" s="15">
        <f>IF($A405="","",IF(ISNUMBER(MATCH($A405,表單!$A$2:$A$301,0)),INDEX(表單!$B$2:$B$301,MATCH($A405,表單!$A$2:$A$301,0)),IFERROR(INDEX($M$2:$M$201,MATCH($A405,$L$2:$L$201,0)),"")))</f>
        <v/>
      </c>
      <c r="C405" s="15">
        <f>IF($A405="","",IF(ISNUMBER(MATCH($A405,表單!$A$2:$A$301,0)),IF(TRIM(INDEX(表單!$D$2:$D$301,MATCH($A405,表單!$A$2:$A$301,0)))="","（分項工程層）",INDEX(表單!$D$2:$D$301,MATCH($A405,表單!$A$2:$A$301,0))),IFERROR(INDEX($N$2:$N$201,MATCH($A405,$L$2:$L$201,0)),"")))</f>
        <v/>
      </c>
      <c r="D405" s="15">
        <f>IF($A405="","",IF(ISNUMBER(MATCH($A405,表單!$A$2:$A$301,0)),"線上表單",IFERROR(INDEX($O$2:$O$201,MATCH($A405,$L$2:$L$201,0)),"")))</f>
        <v/>
      </c>
      <c r="E405" s="15">
        <f>IF($A405="","",IF(ISNUMBER(MATCH($A405,表單!$A$2:$A$301,0)),"本檔","系統"))</f>
        <v/>
      </c>
      <c r="J405">
        <f>IF(404&lt;=COUNTA($L$2:$L$201),INDEX($L$2:$L$201,404),IFERROR(INDEX(表單!$A$2:$A$301,MATCH(404-COUNTA($L$2:$L$201),$H$2:$H$301,0)),""))</f>
        <v/>
      </c>
    </row>
    <row r="406">
      <c r="A406" s="15">
        <f>IF($J406="","",$J406)</f>
        <v/>
      </c>
      <c r="B406" s="15">
        <f>IF($A406="","",IF(ISNUMBER(MATCH($A406,表單!$A$2:$A$301,0)),INDEX(表單!$B$2:$B$301,MATCH($A406,表單!$A$2:$A$301,0)),IFERROR(INDEX($M$2:$M$201,MATCH($A406,$L$2:$L$201,0)),"")))</f>
        <v/>
      </c>
      <c r="C406" s="15">
        <f>IF($A406="","",IF(ISNUMBER(MATCH($A406,表單!$A$2:$A$301,0)),IF(TRIM(INDEX(表單!$D$2:$D$301,MATCH($A406,表單!$A$2:$A$301,0)))="","（分項工程層）",INDEX(表單!$D$2:$D$301,MATCH($A406,表單!$A$2:$A$301,0))),IFERROR(INDEX($N$2:$N$201,MATCH($A406,$L$2:$L$201,0)),"")))</f>
        <v/>
      </c>
      <c r="D406" s="15">
        <f>IF($A406="","",IF(ISNUMBER(MATCH($A406,表單!$A$2:$A$301,0)),"線上表單",IFERROR(INDEX($O$2:$O$201,MATCH($A406,$L$2:$L$201,0)),"")))</f>
        <v/>
      </c>
      <c r="E406" s="15">
        <f>IF($A406="","",IF(ISNUMBER(MATCH($A406,表單!$A$2:$A$301,0)),"本檔","系統"))</f>
        <v/>
      </c>
      <c r="J406">
        <f>IF(405&lt;=COUNTA($L$2:$L$201),INDEX($L$2:$L$201,405),IFERROR(INDEX(表單!$A$2:$A$301,MATCH(405-COUNTA($L$2:$L$201),$H$2:$H$301,0)),""))</f>
        <v/>
      </c>
    </row>
    <row r="407">
      <c r="A407" s="15">
        <f>IF($J407="","",$J407)</f>
        <v/>
      </c>
      <c r="B407" s="15">
        <f>IF($A407="","",IF(ISNUMBER(MATCH($A407,表單!$A$2:$A$301,0)),INDEX(表單!$B$2:$B$301,MATCH($A407,表單!$A$2:$A$301,0)),IFERROR(INDEX($M$2:$M$201,MATCH($A407,$L$2:$L$201,0)),"")))</f>
        <v/>
      </c>
      <c r="C407" s="15">
        <f>IF($A407="","",IF(ISNUMBER(MATCH($A407,表單!$A$2:$A$301,0)),IF(TRIM(INDEX(表單!$D$2:$D$301,MATCH($A407,表單!$A$2:$A$301,0)))="","（分項工程層）",INDEX(表單!$D$2:$D$301,MATCH($A407,表單!$A$2:$A$301,0))),IFERROR(INDEX($N$2:$N$201,MATCH($A407,$L$2:$L$201,0)),"")))</f>
        <v/>
      </c>
      <c r="D407" s="15">
        <f>IF($A407="","",IF(ISNUMBER(MATCH($A407,表單!$A$2:$A$301,0)),"線上表單",IFERROR(INDEX($O$2:$O$201,MATCH($A407,$L$2:$L$201,0)),"")))</f>
        <v/>
      </c>
      <c r="E407" s="15">
        <f>IF($A407="","",IF(ISNUMBER(MATCH($A407,表單!$A$2:$A$301,0)),"本檔","系統"))</f>
        <v/>
      </c>
      <c r="J407">
        <f>IF(406&lt;=COUNTA($L$2:$L$201),INDEX($L$2:$L$201,406),IFERROR(INDEX(表單!$A$2:$A$301,MATCH(406-COUNTA($L$2:$L$201),$H$2:$H$301,0)),""))</f>
        <v/>
      </c>
    </row>
    <row r="408">
      <c r="A408" s="15">
        <f>IF($J408="","",$J408)</f>
        <v/>
      </c>
      <c r="B408" s="15">
        <f>IF($A408="","",IF(ISNUMBER(MATCH($A408,表單!$A$2:$A$301,0)),INDEX(表單!$B$2:$B$301,MATCH($A408,表單!$A$2:$A$301,0)),IFERROR(INDEX($M$2:$M$201,MATCH($A408,$L$2:$L$201,0)),"")))</f>
        <v/>
      </c>
      <c r="C408" s="15">
        <f>IF($A408="","",IF(ISNUMBER(MATCH($A408,表單!$A$2:$A$301,0)),IF(TRIM(INDEX(表單!$D$2:$D$301,MATCH($A408,表單!$A$2:$A$301,0)))="","（分項工程層）",INDEX(表單!$D$2:$D$301,MATCH($A408,表單!$A$2:$A$301,0))),IFERROR(INDEX($N$2:$N$201,MATCH($A408,$L$2:$L$201,0)),"")))</f>
        <v/>
      </c>
      <c r="D408" s="15">
        <f>IF($A408="","",IF(ISNUMBER(MATCH($A408,表單!$A$2:$A$301,0)),"線上表單",IFERROR(INDEX($O$2:$O$201,MATCH($A408,$L$2:$L$201,0)),"")))</f>
        <v/>
      </c>
      <c r="E408" s="15">
        <f>IF($A408="","",IF(ISNUMBER(MATCH($A408,表單!$A$2:$A$301,0)),"本檔","系統"))</f>
        <v/>
      </c>
      <c r="J408">
        <f>IF(407&lt;=COUNTA($L$2:$L$201),INDEX($L$2:$L$201,407),IFERROR(INDEX(表單!$A$2:$A$301,MATCH(407-COUNTA($L$2:$L$201),$H$2:$H$301,0)),""))</f>
        <v/>
      </c>
    </row>
    <row r="409">
      <c r="A409" s="15">
        <f>IF($J409="","",$J409)</f>
        <v/>
      </c>
      <c r="B409" s="15">
        <f>IF($A409="","",IF(ISNUMBER(MATCH($A409,表單!$A$2:$A$301,0)),INDEX(表單!$B$2:$B$301,MATCH($A409,表單!$A$2:$A$301,0)),IFERROR(INDEX($M$2:$M$201,MATCH($A409,$L$2:$L$201,0)),"")))</f>
        <v/>
      </c>
      <c r="C409" s="15">
        <f>IF($A409="","",IF(ISNUMBER(MATCH($A409,表單!$A$2:$A$301,0)),IF(TRIM(INDEX(表單!$D$2:$D$301,MATCH($A409,表單!$A$2:$A$301,0)))="","（分項工程層）",INDEX(表單!$D$2:$D$301,MATCH($A409,表單!$A$2:$A$301,0))),IFERROR(INDEX($N$2:$N$201,MATCH($A409,$L$2:$L$201,0)),"")))</f>
        <v/>
      </c>
      <c r="D409" s="15">
        <f>IF($A409="","",IF(ISNUMBER(MATCH($A409,表單!$A$2:$A$301,0)),"線上表單",IFERROR(INDEX($O$2:$O$201,MATCH($A409,$L$2:$L$201,0)),"")))</f>
        <v/>
      </c>
      <c r="E409" s="15">
        <f>IF($A409="","",IF(ISNUMBER(MATCH($A409,表單!$A$2:$A$301,0)),"本檔","系統"))</f>
        <v/>
      </c>
      <c r="J409">
        <f>IF(408&lt;=COUNTA($L$2:$L$201),INDEX($L$2:$L$201,408),IFERROR(INDEX(表單!$A$2:$A$301,MATCH(408-COUNTA($L$2:$L$201),$H$2:$H$301,0)),""))</f>
        <v/>
      </c>
    </row>
    <row r="410">
      <c r="A410" s="15">
        <f>IF($J410="","",$J410)</f>
        <v/>
      </c>
      <c r="B410" s="15">
        <f>IF($A410="","",IF(ISNUMBER(MATCH($A410,表單!$A$2:$A$301,0)),INDEX(表單!$B$2:$B$301,MATCH($A410,表單!$A$2:$A$301,0)),IFERROR(INDEX($M$2:$M$201,MATCH($A410,$L$2:$L$201,0)),"")))</f>
        <v/>
      </c>
      <c r="C410" s="15">
        <f>IF($A410="","",IF(ISNUMBER(MATCH($A410,表單!$A$2:$A$301,0)),IF(TRIM(INDEX(表單!$D$2:$D$301,MATCH($A410,表單!$A$2:$A$301,0)))="","（分項工程層）",INDEX(表單!$D$2:$D$301,MATCH($A410,表單!$A$2:$A$301,0))),IFERROR(INDEX($N$2:$N$201,MATCH($A410,$L$2:$L$201,0)),"")))</f>
        <v/>
      </c>
      <c r="D410" s="15">
        <f>IF($A410="","",IF(ISNUMBER(MATCH($A410,表單!$A$2:$A$301,0)),"線上表單",IFERROR(INDEX($O$2:$O$201,MATCH($A410,$L$2:$L$201,0)),"")))</f>
        <v/>
      </c>
      <c r="E410" s="15">
        <f>IF($A410="","",IF(ISNUMBER(MATCH($A410,表單!$A$2:$A$301,0)),"本檔","系統"))</f>
        <v/>
      </c>
      <c r="J410">
        <f>IF(409&lt;=COUNTA($L$2:$L$201),INDEX($L$2:$L$201,409),IFERROR(INDEX(表單!$A$2:$A$301,MATCH(409-COUNTA($L$2:$L$201),$H$2:$H$301,0)),""))</f>
        <v/>
      </c>
    </row>
    <row r="411">
      <c r="A411" s="15">
        <f>IF($J411="","",$J411)</f>
        <v/>
      </c>
      <c r="B411" s="15">
        <f>IF($A411="","",IF(ISNUMBER(MATCH($A411,表單!$A$2:$A$301,0)),INDEX(表單!$B$2:$B$301,MATCH($A411,表單!$A$2:$A$301,0)),IFERROR(INDEX($M$2:$M$201,MATCH($A411,$L$2:$L$201,0)),"")))</f>
        <v/>
      </c>
      <c r="C411" s="15">
        <f>IF($A411="","",IF(ISNUMBER(MATCH($A411,表單!$A$2:$A$301,0)),IF(TRIM(INDEX(表單!$D$2:$D$301,MATCH($A411,表單!$A$2:$A$301,0)))="","（分項工程層）",INDEX(表單!$D$2:$D$301,MATCH($A411,表單!$A$2:$A$301,0))),IFERROR(INDEX($N$2:$N$201,MATCH($A411,$L$2:$L$201,0)),"")))</f>
        <v/>
      </c>
      <c r="D411" s="15">
        <f>IF($A411="","",IF(ISNUMBER(MATCH($A411,表單!$A$2:$A$301,0)),"線上表單",IFERROR(INDEX($O$2:$O$201,MATCH($A411,$L$2:$L$201,0)),"")))</f>
        <v/>
      </c>
      <c r="E411" s="15">
        <f>IF($A411="","",IF(ISNUMBER(MATCH($A411,表單!$A$2:$A$301,0)),"本檔","系統"))</f>
        <v/>
      </c>
      <c r="J411">
        <f>IF(410&lt;=COUNTA($L$2:$L$201),INDEX($L$2:$L$201,410),IFERROR(INDEX(表單!$A$2:$A$301,MATCH(410-COUNTA($L$2:$L$201),$H$2:$H$301,0)),""))</f>
        <v/>
      </c>
    </row>
    <row r="412">
      <c r="A412" s="15">
        <f>IF($J412="","",$J412)</f>
        <v/>
      </c>
      <c r="B412" s="15">
        <f>IF($A412="","",IF(ISNUMBER(MATCH($A412,表單!$A$2:$A$301,0)),INDEX(表單!$B$2:$B$301,MATCH($A412,表單!$A$2:$A$301,0)),IFERROR(INDEX($M$2:$M$201,MATCH($A412,$L$2:$L$201,0)),"")))</f>
        <v/>
      </c>
      <c r="C412" s="15">
        <f>IF($A412="","",IF(ISNUMBER(MATCH($A412,表單!$A$2:$A$301,0)),IF(TRIM(INDEX(表單!$D$2:$D$301,MATCH($A412,表單!$A$2:$A$301,0)))="","（分項工程層）",INDEX(表單!$D$2:$D$301,MATCH($A412,表單!$A$2:$A$301,0))),IFERROR(INDEX($N$2:$N$201,MATCH($A412,$L$2:$L$201,0)),"")))</f>
        <v/>
      </c>
      <c r="D412" s="15">
        <f>IF($A412="","",IF(ISNUMBER(MATCH($A412,表單!$A$2:$A$301,0)),"線上表單",IFERROR(INDEX($O$2:$O$201,MATCH($A412,$L$2:$L$201,0)),"")))</f>
        <v/>
      </c>
      <c r="E412" s="15">
        <f>IF($A412="","",IF(ISNUMBER(MATCH($A412,表單!$A$2:$A$301,0)),"本檔","系統"))</f>
        <v/>
      </c>
      <c r="J412">
        <f>IF(411&lt;=COUNTA($L$2:$L$201),INDEX($L$2:$L$201,411),IFERROR(INDEX(表單!$A$2:$A$301,MATCH(411-COUNTA($L$2:$L$201),$H$2:$H$301,0)),""))</f>
        <v/>
      </c>
    </row>
    <row r="413">
      <c r="A413" s="15">
        <f>IF($J413="","",$J413)</f>
        <v/>
      </c>
      <c r="B413" s="15">
        <f>IF($A413="","",IF(ISNUMBER(MATCH($A413,表單!$A$2:$A$301,0)),INDEX(表單!$B$2:$B$301,MATCH($A413,表單!$A$2:$A$301,0)),IFERROR(INDEX($M$2:$M$201,MATCH($A413,$L$2:$L$201,0)),"")))</f>
        <v/>
      </c>
      <c r="C413" s="15">
        <f>IF($A413="","",IF(ISNUMBER(MATCH($A413,表單!$A$2:$A$301,0)),IF(TRIM(INDEX(表單!$D$2:$D$301,MATCH($A413,表單!$A$2:$A$301,0)))="","（分項工程層）",INDEX(表單!$D$2:$D$301,MATCH($A413,表單!$A$2:$A$301,0))),IFERROR(INDEX($N$2:$N$201,MATCH($A413,$L$2:$L$201,0)),"")))</f>
        <v/>
      </c>
      <c r="D413" s="15">
        <f>IF($A413="","",IF(ISNUMBER(MATCH($A413,表單!$A$2:$A$301,0)),"線上表單",IFERROR(INDEX($O$2:$O$201,MATCH($A413,$L$2:$L$201,0)),"")))</f>
        <v/>
      </c>
      <c r="E413" s="15">
        <f>IF($A413="","",IF(ISNUMBER(MATCH($A413,表單!$A$2:$A$301,0)),"本檔","系統"))</f>
        <v/>
      </c>
      <c r="J413">
        <f>IF(412&lt;=COUNTA($L$2:$L$201),INDEX($L$2:$L$201,412),IFERROR(INDEX(表單!$A$2:$A$301,MATCH(412-COUNTA($L$2:$L$201),$H$2:$H$301,0)),""))</f>
        <v/>
      </c>
    </row>
    <row r="414">
      <c r="A414" s="15">
        <f>IF($J414="","",$J414)</f>
        <v/>
      </c>
      <c r="B414" s="15">
        <f>IF($A414="","",IF(ISNUMBER(MATCH($A414,表單!$A$2:$A$301,0)),INDEX(表單!$B$2:$B$301,MATCH($A414,表單!$A$2:$A$301,0)),IFERROR(INDEX($M$2:$M$201,MATCH($A414,$L$2:$L$201,0)),"")))</f>
        <v/>
      </c>
      <c r="C414" s="15">
        <f>IF($A414="","",IF(ISNUMBER(MATCH($A414,表單!$A$2:$A$301,0)),IF(TRIM(INDEX(表單!$D$2:$D$301,MATCH($A414,表單!$A$2:$A$301,0)))="","（分項工程層）",INDEX(表單!$D$2:$D$301,MATCH($A414,表單!$A$2:$A$301,0))),IFERROR(INDEX($N$2:$N$201,MATCH($A414,$L$2:$L$201,0)),"")))</f>
        <v/>
      </c>
      <c r="D414" s="15">
        <f>IF($A414="","",IF(ISNUMBER(MATCH($A414,表單!$A$2:$A$301,0)),"線上表單",IFERROR(INDEX($O$2:$O$201,MATCH($A414,$L$2:$L$201,0)),"")))</f>
        <v/>
      </c>
      <c r="E414" s="15">
        <f>IF($A414="","",IF(ISNUMBER(MATCH($A414,表單!$A$2:$A$301,0)),"本檔","系統"))</f>
        <v/>
      </c>
      <c r="J414">
        <f>IF(413&lt;=COUNTA($L$2:$L$201),INDEX($L$2:$L$201,413),IFERROR(INDEX(表單!$A$2:$A$301,MATCH(413-COUNTA($L$2:$L$201),$H$2:$H$301,0)),""))</f>
        <v/>
      </c>
    </row>
    <row r="415">
      <c r="A415" s="15">
        <f>IF($J415="","",$J415)</f>
        <v/>
      </c>
      <c r="B415" s="15">
        <f>IF($A415="","",IF(ISNUMBER(MATCH($A415,表單!$A$2:$A$301,0)),INDEX(表單!$B$2:$B$301,MATCH($A415,表單!$A$2:$A$301,0)),IFERROR(INDEX($M$2:$M$201,MATCH($A415,$L$2:$L$201,0)),"")))</f>
        <v/>
      </c>
      <c r="C415" s="15">
        <f>IF($A415="","",IF(ISNUMBER(MATCH($A415,表單!$A$2:$A$301,0)),IF(TRIM(INDEX(表單!$D$2:$D$301,MATCH($A415,表單!$A$2:$A$301,0)))="","（分項工程層）",INDEX(表單!$D$2:$D$301,MATCH($A415,表單!$A$2:$A$301,0))),IFERROR(INDEX($N$2:$N$201,MATCH($A415,$L$2:$L$201,0)),"")))</f>
        <v/>
      </c>
      <c r="D415" s="15">
        <f>IF($A415="","",IF(ISNUMBER(MATCH($A415,表單!$A$2:$A$301,0)),"線上表單",IFERROR(INDEX($O$2:$O$201,MATCH($A415,$L$2:$L$201,0)),"")))</f>
        <v/>
      </c>
      <c r="E415" s="15">
        <f>IF($A415="","",IF(ISNUMBER(MATCH($A415,表單!$A$2:$A$301,0)),"本檔","系統"))</f>
        <v/>
      </c>
      <c r="J415">
        <f>IF(414&lt;=COUNTA($L$2:$L$201),INDEX($L$2:$L$201,414),IFERROR(INDEX(表單!$A$2:$A$301,MATCH(414-COUNTA($L$2:$L$201),$H$2:$H$301,0)),""))</f>
        <v/>
      </c>
    </row>
    <row r="416">
      <c r="A416" s="15">
        <f>IF($J416="","",$J416)</f>
        <v/>
      </c>
      <c r="B416" s="15">
        <f>IF($A416="","",IF(ISNUMBER(MATCH($A416,表單!$A$2:$A$301,0)),INDEX(表單!$B$2:$B$301,MATCH($A416,表單!$A$2:$A$301,0)),IFERROR(INDEX($M$2:$M$201,MATCH($A416,$L$2:$L$201,0)),"")))</f>
        <v/>
      </c>
      <c r="C416" s="15">
        <f>IF($A416="","",IF(ISNUMBER(MATCH($A416,表單!$A$2:$A$301,0)),IF(TRIM(INDEX(表單!$D$2:$D$301,MATCH($A416,表單!$A$2:$A$301,0)))="","（分項工程層）",INDEX(表單!$D$2:$D$301,MATCH($A416,表單!$A$2:$A$301,0))),IFERROR(INDEX($N$2:$N$201,MATCH($A416,$L$2:$L$201,0)),"")))</f>
        <v/>
      </c>
      <c r="D416" s="15">
        <f>IF($A416="","",IF(ISNUMBER(MATCH($A416,表單!$A$2:$A$301,0)),"線上表單",IFERROR(INDEX($O$2:$O$201,MATCH($A416,$L$2:$L$201,0)),"")))</f>
        <v/>
      </c>
      <c r="E416" s="15">
        <f>IF($A416="","",IF(ISNUMBER(MATCH($A416,表單!$A$2:$A$301,0)),"本檔","系統"))</f>
        <v/>
      </c>
      <c r="J416">
        <f>IF(415&lt;=COUNTA($L$2:$L$201),INDEX($L$2:$L$201,415),IFERROR(INDEX(表單!$A$2:$A$301,MATCH(415-COUNTA($L$2:$L$201),$H$2:$H$301,0)),""))</f>
        <v/>
      </c>
    </row>
    <row r="417">
      <c r="A417" s="15">
        <f>IF($J417="","",$J417)</f>
        <v/>
      </c>
      <c r="B417" s="15">
        <f>IF($A417="","",IF(ISNUMBER(MATCH($A417,表單!$A$2:$A$301,0)),INDEX(表單!$B$2:$B$301,MATCH($A417,表單!$A$2:$A$301,0)),IFERROR(INDEX($M$2:$M$201,MATCH($A417,$L$2:$L$201,0)),"")))</f>
        <v/>
      </c>
      <c r="C417" s="15">
        <f>IF($A417="","",IF(ISNUMBER(MATCH($A417,表單!$A$2:$A$301,0)),IF(TRIM(INDEX(表單!$D$2:$D$301,MATCH($A417,表單!$A$2:$A$301,0)))="","（分項工程層）",INDEX(表單!$D$2:$D$301,MATCH($A417,表單!$A$2:$A$301,0))),IFERROR(INDEX($N$2:$N$201,MATCH($A417,$L$2:$L$201,0)),"")))</f>
        <v/>
      </c>
      <c r="D417" s="15">
        <f>IF($A417="","",IF(ISNUMBER(MATCH($A417,表單!$A$2:$A$301,0)),"線上表單",IFERROR(INDEX($O$2:$O$201,MATCH($A417,$L$2:$L$201,0)),"")))</f>
        <v/>
      </c>
      <c r="E417" s="15">
        <f>IF($A417="","",IF(ISNUMBER(MATCH($A417,表單!$A$2:$A$301,0)),"本檔","系統"))</f>
        <v/>
      </c>
      <c r="J417">
        <f>IF(416&lt;=COUNTA($L$2:$L$201),INDEX($L$2:$L$201,416),IFERROR(INDEX(表單!$A$2:$A$301,MATCH(416-COUNTA($L$2:$L$201),$H$2:$H$301,0)),""))</f>
        <v/>
      </c>
    </row>
    <row r="418">
      <c r="A418" s="15">
        <f>IF($J418="","",$J418)</f>
        <v/>
      </c>
      <c r="B418" s="15">
        <f>IF($A418="","",IF(ISNUMBER(MATCH($A418,表單!$A$2:$A$301,0)),INDEX(表單!$B$2:$B$301,MATCH($A418,表單!$A$2:$A$301,0)),IFERROR(INDEX($M$2:$M$201,MATCH($A418,$L$2:$L$201,0)),"")))</f>
        <v/>
      </c>
      <c r="C418" s="15">
        <f>IF($A418="","",IF(ISNUMBER(MATCH($A418,表單!$A$2:$A$301,0)),IF(TRIM(INDEX(表單!$D$2:$D$301,MATCH($A418,表單!$A$2:$A$301,0)))="","（分項工程層）",INDEX(表單!$D$2:$D$301,MATCH($A418,表單!$A$2:$A$301,0))),IFERROR(INDEX($N$2:$N$201,MATCH($A418,$L$2:$L$201,0)),"")))</f>
        <v/>
      </c>
      <c r="D418" s="15">
        <f>IF($A418="","",IF(ISNUMBER(MATCH($A418,表單!$A$2:$A$301,0)),"線上表單",IFERROR(INDEX($O$2:$O$201,MATCH($A418,$L$2:$L$201,0)),"")))</f>
        <v/>
      </c>
      <c r="E418" s="15">
        <f>IF($A418="","",IF(ISNUMBER(MATCH($A418,表單!$A$2:$A$301,0)),"本檔","系統"))</f>
        <v/>
      </c>
      <c r="J418">
        <f>IF(417&lt;=COUNTA($L$2:$L$201),INDEX($L$2:$L$201,417),IFERROR(INDEX(表單!$A$2:$A$301,MATCH(417-COUNTA($L$2:$L$201),$H$2:$H$301,0)),""))</f>
        <v/>
      </c>
    </row>
    <row r="419">
      <c r="A419" s="15">
        <f>IF($J419="","",$J419)</f>
        <v/>
      </c>
      <c r="B419" s="15">
        <f>IF($A419="","",IF(ISNUMBER(MATCH($A419,表單!$A$2:$A$301,0)),INDEX(表單!$B$2:$B$301,MATCH($A419,表單!$A$2:$A$301,0)),IFERROR(INDEX($M$2:$M$201,MATCH($A419,$L$2:$L$201,0)),"")))</f>
        <v/>
      </c>
      <c r="C419" s="15">
        <f>IF($A419="","",IF(ISNUMBER(MATCH($A419,表單!$A$2:$A$301,0)),IF(TRIM(INDEX(表單!$D$2:$D$301,MATCH($A419,表單!$A$2:$A$301,0)))="","（分項工程層）",INDEX(表單!$D$2:$D$301,MATCH($A419,表單!$A$2:$A$301,0))),IFERROR(INDEX($N$2:$N$201,MATCH($A419,$L$2:$L$201,0)),"")))</f>
        <v/>
      </c>
      <c r="D419" s="15">
        <f>IF($A419="","",IF(ISNUMBER(MATCH($A419,表單!$A$2:$A$301,0)),"線上表單",IFERROR(INDEX($O$2:$O$201,MATCH($A419,$L$2:$L$201,0)),"")))</f>
        <v/>
      </c>
      <c r="E419" s="15">
        <f>IF($A419="","",IF(ISNUMBER(MATCH($A419,表單!$A$2:$A$301,0)),"本檔","系統"))</f>
        <v/>
      </c>
      <c r="J419">
        <f>IF(418&lt;=COUNTA($L$2:$L$201),INDEX($L$2:$L$201,418),IFERROR(INDEX(表單!$A$2:$A$301,MATCH(418-COUNTA($L$2:$L$201),$H$2:$H$301,0)),""))</f>
        <v/>
      </c>
    </row>
    <row r="420">
      <c r="A420" s="15">
        <f>IF($J420="","",$J420)</f>
        <v/>
      </c>
      <c r="B420" s="15">
        <f>IF($A420="","",IF(ISNUMBER(MATCH($A420,表單!$A$2:$A$301,0)),INDEX(表單!$B$2:$B$301,MATCH($A420,表單!$A$2:$A$301,0)),IFERROR(INDEX($M$2:$M$201,MATCH($A420,$L$2:$L$201,0)),"")))</f>
        <v/>
      </c>
      <c r="C420" s="15">
        <f>IF($A420="","",IF(ISNUMBER(MATCH($A420,表單!$A$2:$A$301,0)),IF(TRIM(INDEX(表單!$D$2:$D$301,MATCH($A420,表單!$A$2:$A$301,0)))="","（分項工程層）",INDEX(表單!$D$2:$D$301,MATCH($A420,表單!$A$2:$A$301,0))),IFERROR(INDEX($N$2:$N$201,MATCH($A420,$L$2:$L$201,0)),"")))</f>
        <v/>
      </c>
      <c r="D420" s="15">
        <f>IF($A420="","",IF(ISNUMBER(MATCH($A420,表單!$A$2:$A$301,0)),"線上表單",IFERROR(INDEX($O$2:$O$201,MATCH($A420,$L$2:$L$201,0)),"")))</f>
        <v/>
      </c>
      <c r="E420" s="15">
        <f>IF($A420="","",IF(ISNUMBER(MATCH($A420,表單!$A$2:$A$301,0)),"本檔","系統"))</f>
        <v/>
      </c>
      <c r="J420">
        <f>IF(419&lt;=COUNTA($L$2:$L$201),INDEX($L$2:$L$201,419),IFERROR(INDEX(表單!$A$2:$A$301,MATCH(419-COUNTA($L$2:$L$201),$H$2:$H$301,0)),""))</f>
        <v/>
      </c>
    </row>
    <row r="421">
      <c r="A421" s="15">
        <f>IF($J421="","",$J421)</f>
        <v/>
      </c>
      <c r="B421" s="15">
        <f>IF($A421="","",IF(ISNUMBER(MATCH($A421,表單!$A$2:$A$301,0)),INDEX(表單!$B$2:$B$301,MATCH($A421,表單!$A$2:$A$301,0)),IFERROR(INDEX($M$2:$M$201,MATCH($A421,$L$2:$L$201,0)),"")))</f>
        <v/>
      </c>
      <c r="C421" s="15">
        <f>IF($A421="","",IF(ISNUMBER(MATCH($A421,表單!$A$2:$A$301,0)),IF(TRIM(INDEX(表單!$D$2:$D$301,MATCH($A421,表單!$A$2:$A$301,0)))="","（分項工程層）",INDEX(表單!$D$2:$D$301,MATCH($A421,表單!$A$2:$A$301,0))),IFERROR(INDEX($N$2:$N$201,MATCH($A421,$L$2:$L$201,0)),"")))</f>
        <v/>
      </c>
      <c r="D421" s="15">
        <f>IF($A421="","",IF(ISNUMBER(MATCH($A421,表單!$A$2:$A$301,0)),"線上表單",IFERROR(INDEX($O$2:$O$201,MATCH($A421,$L$2:$L$201,0)),"")))</f>
        <v/>
      </c>
      <c r="E421" s="15">
        <f>IF($A421="","",IF(ISNUMBER(MATCH($A421,表單!$A$2:$A$301,0)),"本檔","系統"))</f>
        <v/>
      </c>
      <c r="J421">
        <f>IF(420&lt;=COUNTA($L$2:$L$201),INDEX($L$2:$L$201,420),IFERROR(INDEX(表單!$A$2:$A$301,MATCH(420-COUNTA($L$2:$L$201),$H$2:$H$301,0)),""))</f>
        <v/>
      </c>
    </row>
    <row r="422">
      <c r="A422" s="15">
        <f>IF($J422="","",$J422)</f>
        <v/>
      </c>
      <c r="B422" s="15">
        <f>IF($A422="","",IF(ISNUMBER(MATCH($A422,表單!$A$2:$A$301,0)),INDEX(表單!$B$2:$B$301,MATCH($A422,表單!$A$2:$A$301,0)),IFERROR(INDEX($M$2:$M$201,MATCH($A422,$L$2:$L$201,0)),"")))</f>
        <v/>
      </c>
      <c r="C422" s="15">
        <f>IF($A422="","",IF(ISNUMBER(MATCH($A422,表單!$A$2:$A$301,0)),IF(TRIM(INDEX(表單!$D$2:$D$301,MATCH($A422,表單!$A$2:$A$301,0)))="","（分項工程層）",INDEX(表單!$D$2:$D$301,MATCH($A422,表單!$A$2:$A$301,0))),IFERROR(INDEX($N$2:$N$201,MATCH($A422,$L$2:$L$201,0)),"")))</f>
        <v/>
      </c>
      <c r="D422" s="15">
        <f>IF($A422="","",IF(ISNUMBER(MATCH($A422,表單!$A$2:$A$301,0)),"線上表單",IFERROR(INDEX($O$2:$O$201,MATCH($A422,$L$2:$L$201,0)),"")))</f>
        <v/>
      </c>
      <c r="E422" s="15">
        <f>IF($A422="","",IF(ISNUMBER(MATCH($A422,表單!$A$2:$A$301,0)),"本檔","系統"))</f>
        <v/>
      </c>
      <c r="J422">
        <f>IF(421&lt;=COUNTA($L$2:$L$201),INDEX($L$2:$L$201,421),IFERROR(INDEX(表單!$A$2:$A$301,MATCH(421-COUNTA($L$2:$L$201),$H$2:$H$301,0)),""))</f>
        <v/>
      </c>
    </row>
    <row r="423">
      <c r="A423" s="15">
        <f>IF($J423="","",$J423)</f>
        <v/>
      </c>
      <c r="B423" s="15">
        <f>IF($A423="","",IF(ISNUMBER(MATCH($A423,表單!$A$2:$A$301,0)),INDEX(表單!$B$2:$B$301,MATCH($A423,表單!$A$2:$A$301,0)),IFERROR(INDEX($M$2:$M$201,MATCH($A423,$L$2:$L$201,0)),"")))</f>
        <v/>
      </c>
      <c r="C423" s="15">
        <f>IF($A423="","",IF(ISNUMBER(MATCH($A423,表單!$A$2:$A$301,0)),IF(TRIM(INDEX(表單!$D$2:$D$301,MATCH($A423,表單!$A$2:$A$301,0)))="","（分項工程層）",INDEX(表單!$D$2:$D$301,MATCH($A423,表單!$A$2:$A$301,0))),IFERROR(INDEX($N$2:$N$201,MATCH($A423,$L$2:$L$201,0)),"")))</f>
        <v/>
      </c>
      <c r="D423" s="15">
        <f>IF($A423="","",IF(ISNUMBER(MATCH($A423,表單!$A$2:$A$301,0)),"線上表單",IFERROR(INDEX($O$2:$O$201,MATCH($A423,$L$2:$L$201,0)),"")))</f>
        <v/>
      </c>
      <c r="E423" s="15">
        <f>IF($A423="","",IF(ISNUMBER(MATCH($A423,表單!$A$2:$A$301,0)),"本檔","系統"))</f>
        <v/>
      </c>
      <c r="J423">
        <f>IF(422&lt;=COUNTA($L$2:$L$201),INDEX($L$2:$L$201,422),IFERROR(INDEX(表單!$A$2:$A$301,MATCH(422-COUNTA($L$2:$L$201),$H$2:$H$301,0)),""))</f>
        <v/>
      </c>
    </row>
    <row r="424">
      <c r="A424" s="15">
        <f>IF($J424="","",$J424)</f>
        <v/>
      </c>
      <c r="B424" s="15">
        <f>IF($A424="","",IF(ISNUMBER(MATCH($A424,表單!$A$2:$A$301,0)),INDEX(表單!$B$2:$B$301,MATCH($A424,表單!$A$2:$A$301,0)),IFERROR(INDEX($M$2:$M$201,MATCH($A424,$L$2:$L$201,0)),"")))</f>
        <v/>
      </c>
      <c r="C424" s="15">
        <f>IF($A424="","",IF(ISNUMBER(MATCH($A424,表單!$A$2:$A$301,0)),IF(TRIM(INDEX(表單!$D$2:$D$301,MATCH($A424,表單!$A$2:$A$301,0)))="","（分項工程層）",INDEX(表單!$D$2:$D$301,MATCH($A424,表單!$A$2:$A$301,0))),IFERROR(INDEX($N$2:$N$201,MATCH($A424,$L$2:$L$201,0)),"")))</f>
        <v/>
      </c>
      <c r="D424" s="15">
        <f>IF($A424="","",IF(ISNUMBER(MATCH($A424,表單!$A$2:$A$301,0)),"線上表單",IFERROR(INDEX($O$2:$O$201,MATCH($A424,$L$2:$L$201,0)),"")))</f>
        <v/>
      </c>
      <c r="E424" s="15">
        <f>IF($A424="","",IF(ISNUMBER(MATCH($A424,表單!$A$2:$A$301,0)),"本檔","系統"))</f>
        <v/>
      </c>
      <c r="J424">
        <f>IF(423&lt;=COUNTA($L$2:$L$201),INDEX($L$2:$L$201,423),IFERROR(INDEX(表單!$A$2:$A$301,MATCH(423-COUNTA($L$2:$L$201),$H$2:$H$301,0)),""))</f>
        <v/>
      </c>
    </row>
    <row r="425">
      <c r="A425" s="15">
        <f>IF($J425="","",$J425)</f>
        <v/>
      </c>
      <c r="B425" s="15">
        <f>IF($A425="","",IF(ISNUMBER(MATCH($A425,表單!$A$2:$A$301,0)),INDEX(表單!$B$2:$B$301,MATCH($A425,表單!$A$2:$A$301,0)),IFERROR(INDEX($M$2:$M$201,MATCH($A425,$L$2:$L$201,0)),"")))</f>
        <v/>
      </c>
      <c r="C425" s="15">
        <f>IF($A425="","",IF(ISNUMBER(MATCH($A425,表單!$A$2:$A$301,0)),IF(TRIM(INDEX(表單!$D$2:$D$301,MATCH($A425,表單!$A$2:$A$301,0)))="","（分項工程層）",INDEX(表單!$D$2:$D$301,MATCH($A425,表單!$A$2:$A$301,0))),IFERROR(INDEX($N$2:$N$201,MATCH($A425,$L$2:$L$201,0)),"")))</f>
        <v/>
      </c>
      <c r="D425" s="15">
        <f>IF($A425="","",IF(ISNUMBER(MATCH($A425,表單!$A$2:$A$301,0)),"線上表單",IFERROR(INDEX($O$2:$O$201,MATCH($A425,$L$2:$L$201,0)),"")))</f>
        <v/>
      </c>
      <c r="E425" s="15">
        <f>IF($A425="","",IF(ISNUMBER(MATCH($A425,表單!$A$2:$A$301,0)),"本檔","系統"))</f>
        <v/>
      </c>
      <c r="J425">
        <f>IF(424&lt;=COUNTA($L$2:$L$201),INDEX($L$2:$L$201,424),IFERROR(INDEX(表單!$A$2:$A$301,MATCH(424-COUNTA($L$2:$L$201),$H$2:$H$301,0)),""))</f>
        <v/>
      </c>
    </row>
    <row r="426">
      <c r="A426" s="15">
        <f>IF($J426="","",$J426)</f>
        <v/>
      </c>
      <c r="B426" s="15">
        <f>IF($A426="","",IF(ISNUMBER(MATCH($A426,表單!$A$2:$A$301,0)),INDEX(表單!$B$2:$B$301,MATCH($A426,表單!$A$2:$A$301,0)),IFERROR(INDEX($M$2:$M$201,MATCH($A426,$L$2:$L$201,0)),"")))</f>
        <v/>
      </c>
      <c r="C426" s="15">
        <f>IF($A426="","",IF(ISNUMBER(MATCH($A426,表單!$A$2:$A$301,0)),IF(TRIM(INDEX(表單!$D$2:$D$301,MATCH($A426,表單!$A$2:$A$301,0)))="","（分項工程層）",INDEX(表單!$D$2:$D$301,MATCH($A426,表單!$A$2:$A$301,0))),IFERROR(INDEX($N$2:$N$201,MATCH($A426,$L$2:$L$201,0)),"")))</f>
        <v/>
      </c>
      <c r="D426" s="15">
        <f>IF($A426="","",IF(ISNUMBER(MATCH($A426,表單!$A$2:$A$301,0)),"線上表單",IFERROR(INDEX($O$2:$O$201,MATCH($A426,$L$2:$L$201,0)),"")))</f>
        <v/>
      </c>
      <c r="E426" s="15">
        <f>IF($A426="","",IF(ISNUMBER(MATCH($A426,表單!$A$2:$A$301,0)),"本檔","系統"))</f>
        <v/>
      </c>
      <c r="J426">
        <f>IF(425&lt;=COUNTA($L$2:$L$201),INDEX($L$2:$L$201,425),IFERROR(INDEX(表單!$A$2:$A$301,MATCH(425-COUNTA($L$2:$L$201),$H$2:$H$301,0)),""))</f>
        <v/>
      </c>
    </row>
    <row r="427">
      <c r="A427" s="15">
        <f>IF($J427="","",$J427)</f>
        <v/>
      </c>
      <c r="B427" s="15">
        <f>IF($A427="","",IF(ISNUMBER(MATCH($A427,表單!$A$2:$A$301,0)),INDEX(表單!$B$2:$B$301,MATCH($A427,表單!$A$2:$A$301,0)),IFERROR(INDEX($M$2:$M$201,MATCH($A427,$L$2:$L$201,0)),"")))</f>
        <v/>
      </c>
      <c r="C427" s="15">
        <f>IF($A427="","",IF(ISNUMBER(MATCH($A427,表單!$A$2:$A$301,0)),IF(TRIM(INDEX(表單!$D$2:$D$301,MATCH($A427,表單!$A$2:$A$301,0)))="","（分項工程層）",INDEX(表單!$D$2:$D$301,MATCH($A427,表單!$A$2:$A$301,0))),IFERROR(INDEX($N$2:$N$201,MATCH($A427,$L$2:$L$201,0)),"")))</f>
        <v/>
      </c>
      <c r="D427" s="15">
        <f>IF($A427="","",IF(ISNUMBER(MATCH($A427,表單!$A$2:$A$301,0)),"線上表單",IFERROR(INDEX($O$2:$O$201,MATCH($A427,$L$2:$L$201,0)),"")))</f>
        <v/>
      </c>
      <c r="E427" s="15">
        <f>IF($A427="","",IF(ISNUMBER(MATCH($A427,表單!$A$2:$A$301,0)),"本檔","系統"))</f>
        <v/>
      </c>
      <c r="J427">
        <f>IF(426&lt;=COUNTA($L$2:$L$201),INDEX($L$2:$L$201,426),IFERROR(INDEX(表單!$A$2:$A$301,MATCH(426-COUNTA($L$2:$L$201),$H$2:$H$301,0)),""))</f>
        <v/>
      </c>
    </row>
    <row r="428">
      <c r="A428" s="15">
        <f>IF($J428="","",$J428)</f>
        <v/>
      </c>
      <c r="B428" s="15">
        <f>IF($A428="","",IF(ISNUMBER(MATCH($A428,表單!$A$2:$A$301,0)),INDEX(表單!$B$2:$B$301,MATCH($A428,表單!$A$2:$A$301,0)),IFERROR(INDEX($M$2:$M$201,MATCH($A428,$L$2:$L$201,0)),"")))</f>
        <v/>
      </c>
      <c r="C428" s="15">
        <f>IF($A428="","",IF(ISNUMBER(MATCH($A428,表單!$A$2:$A$301,0)),IF(TRIM(INDEX(表單!$D$2:$D$301,MATCH($A428,表單!$A$2:$A$301,0)))="","（分項工程層）",INDEX(表單!$D$2:$D$301,MATCH($A428,表單!$A$2:$A$301,0))),IFERROR(INDEX($N$2:$N$201,MATCH($A428,$L$2:$L$201,0)),"")))</f>
        <v/>
      </c>
      <c r="D428" s="15">
        <f>IF($A428="","",IF(ISNUMBER(MATCH($A428,表單!$A$2:$A$301,0)),"線上表單",IFERROR(INDEX($O$2:$O$201,MATCH($A428,$L$2:$L$201,0)),"")))</f>
        <v/>
      </c>
      <c r="E428" s="15">
        <f>IF($A428="","",IF(ISNUMBER(MATCH($A428,表單!$A$2:$A$301,0)),"本檔","系統"))</f>
        <v/>
      </c>
      <c r="J428">
        <f>IF(427&lt;=COUNTA($L$2:$L$201),INDEX($L$2:$L$201,427),IFERROR(INDEX(表單!$A$2:$A$301,MATCH(427-COUNTA($L$2:$L$201),$H$2:$H$301,0)),""))</f>
        <v/>
      </c>
    </row>
    <row r="429">
      <c r="A429" s="15">
        <f>IF($J429="","",$J429)</f>
        <v/>
      </c>
      <c r="B429" s="15">
        <f>IF($A429="","",IF(ISNUMBER(MATCH($A429,表單!$A$2:$A$301,0)),INDEX(表單!$B$2:$B$301,MATCH($A429,表單!$A$2:$A$301,0)),IFERROR(INDEX($M$2:$M$201,MATCH($A429,$L$2:$L$201,0)),"")))</f>
        <v/>
      </c>
      <c r="C429" s="15">
        <f>IF($A429="","",IF(ISNUMBER(MATCH($A429,表單!$A$2:$A$301,0)),IF(TRIM(INDEX(表單!$D$2:$D$301,MATCH($A429,表單!$A$2:$A$301,0)))="","（分項工程層）",INDEX(表單!$D$2:$D$301,MATCH($A429,表單!$A$2:$A$301,0))),IFERROR(INDEX($N$2:$N$201,MATCH($A429,$L$2:$L$201,0)),"")))</f>
        <v/>
      </c>
      <c r="D429" s="15">
        <f>IF($A429="","",IF(ISNUMBER(MATCH($A429,表單!$A$2:$A$301,0)),"線上表單",IFERROR(INDEX($O$2:$O$201,MATCH($A429,$L$2:$L$201,0)),"")))</f>
        <v/>
      </c>
      <c r="E429" s="15">
        <f>IF($A429="","",IF(ISNUMBER(MATCH($A429,表單!$A$2:$A$301,0)),"本檔","系統"))</f>
        <v/>
      </c>
      <c r="J429">
        <f>IF(428&lt;=COUNTA($L$2:$L$201),INDEX($L$2:$L$201,428),IFERROR(INDEX(表單!$A$2:$A$301,MATCH(428-COUNTA($L$2:$L$201),$H$2:$H$301,0)),""))</f>
        <v/>
      </c>
    </row>
    <row r="430">
      <c r="A430" s="15">
        <f>IF($J430="","",$J430)</f>
        <v/>
      </c>
      <c r="B430" s="15">
        <f>IF($A430="","",IF(ISNUMBER(MATCH($A430,表單!$A$2:$A$301,0)),INDEX(表單!$B$2:$B$301,MATCH($A430,表單!$A$2:$A$301,0)),IFERROR(INDEX($M$2:$M$201,MATCH($A430,$L$2:$L$201,0)),"")))</f>
        <v/>
      </c>
      <c r="C430" s="15">
        <f>IF($A430="","",IF(ISNUMBER(MATCH($A430,表單!$A$2:$A$301,0)),IF(TRIM(INDEX(表單!$D$2:$D$301,MATCH($A430,表單!$A$2:$A$301,0)))="","（分項工程層）",INDEX(表單!$D$2:$D$301,MATCH($A430,表單!$A$2:$A$301,0))),IFERROR(INDEX($N$2:$N$201,MATCH($A430,$L$2:$L$201,0)),"")))</f>
        <v/>
      </c>
      <c r="D430" s="15">
        <f>IF($A430="","",IF(ISNUMBER(MATCH($A430,表單!$A$2:$A$301,0)),"線上表單",IFERROR(INDEX($O$2:$O$201,MATCH($A430,$L$2:$L$201,0)),"")))</f>
        <v/>
      </c>
      <c r="E430" s="15">
        <f>IF($A430="","",IF(ISNUMBER(MATCH($A430,表單!$A$2:$A$301,0)),"本檔","系統"))</f>
        <v/>
      </c>
      <c r="J430">
        <f>IF(429&lt;=COUNTA($L$2:$L$201),INDEX($L$2:$L$201,429),IFERROR(INDEX(表單!$A$2:$A$301,MATCH(429-COUNTA($L$2:$L$201),$H$2:$H$301,0)),""))</f>
        <v/>
      </c>
    </row>
    <row r="431">
      <c r="A431" s="15">
        <f>IF($J431="","",$J431)</f>
        <v/>
      </c>
      <c r="B431" s="15">
        <f>IF($A431="","",IF(ISNUMBER(MATCH($A431,表單!$A$2:$A$301,0)),INDEX(表單!$B$2:$B$301,MATCH($A431,表單!$A$2:$A$301,0)),IFERROR(INDEX($M$2:$M$201,MATCH($A431,$L$2:$L$201,0)),"")))</f>
        <v/>
      </c>
      <c r="C431" s="15">
        <f>IF($A431="","",IF(ISNUMBER(MATCH($A431,表單!$A$2:$A$301,0)),IF(TRIM(INDEX(表單!$D$2:$D$301,MATCH($A431,表單!$A$2:$A$301,0)))="","（分項工程層）",INDEX(表單!$D$2:$D$301,MATCH($A431,表單!$A$2:$A$301,0))),IFERROR(INDEX($N$2:$N$201,MATCH($A431,$L$2:$L$201,0)),"")))</f>
        <v/>
      </c>
      <c r="D431" s="15">
        <f>IF($A431="","",IF(ISNUMBER(MATCH($A431,表單!$A$2:$A$301,0)),"線上表單",IFERROR(INDEX($O$2:$O$201,MATCH($A431,$L$2:$L$201,0)),"")))</f>
        <v/>
      </c>
      <c r="E431" s="15">
        <f>IF($A431="","",IF(ISNUMBER(MATCH($A431,表單!$A$2:$A$301,0)),"本檔","系統"))</f>
        <v/>
      </c>
      <c r="J431">
        <f>IF(430&lt;=COUNTA($L$2:$L$201),INDEX($L$2:$L$201,430),IFERROR(INDEX(表單!$A$2:$A$301,MATCH(430-COUNTA($L$2:$L$201),$H$2:$H$301,0)),""))</f>
        <v/>
      </c>
    </row>
    <row r="432">
      <c r="A432" s="15">
        <f>IF($J432="","",$J432)</f>
        <v/>
      </c>
      <c r="B432" s="15">
        <f>IF($A432="","",IF(ISNUMBER(MATCH($A432,表單!$A$2:$A$301,0)),INDEX(表單!$B$2:$B$301,MATCH($A432,表單!$A$2:$A$301,0)),IFERROR(INDEX($M$2:$M$201,MATCH($A432,$L$2:$L$201,0)),"")))</f>
        <v/>
      </c>
      <c r="C432" s="15">
        <f>IF($A432="","",IF(ISNUMBER(MATCH($A432,表單!$A$2:$A$301,0)),IF(TRIM(INDEX(表單!$D$2:$D$301,MATCH($A432,表單!$A$2:$A$301,0)))="","（分項工程層）",INDEX(表單!$D$2:$D$301,MATCH($A432,表單!$A$2:$A$301,0))),IFERROR(INDEX($N$2:$N$201,MATCH($A432,$L$2:$L$201,0)),"")))</f>
        <v/>
      </c>
      <c r="D432" s="15">
        <f>IF($A432="","",IF(ISNUMBER(MATCH($A432,表單!$A$2:$A$301,0)),"線上表單",IFERROR(INDEX($O$2:$O$201,MATCH($A432,$L$2:$L$201,0)),"")))</f>
        <v/>
      </c>
      <c r="E432" s="15">
        <f>IF($A432="","",IF(ISNUMBER(MATCH($A432,表單!$A$2:$A$301,0)),"本檔","系統"))</f>
        <v/>
      </c>
      <c r="J432">
        <f>IF(431&lt;=COUNTA($L$2:$L$201),INDEX($L$2:$L$201,431),IFERROR(INDEX(表單!$A$2:$A$301,MATCH(431-COUNTA($L$2:$L$201),$H$2:$H$301,0)),""))</f>
        <v/>
      </c>
    </row>
    <row r="433">
      <c r="A433" s="15">
        <f>IF($J433="","",$J433)</f>
        <v/>
      </c>
      <c r="B433" s="15">
        <f>IF($A433="","",IF(ISNUMBER(MATCH($A433,表單!$A$2:$A$301,0)),INDEX(表單!$B$2:$B$301,MATCH($A433,表單!$A$2:$A$301,0)),IFERROR(INDEX($M$2:$M$201,MATCH($A433,$L$2:$L$201,0)),"")))</f>
        <v/>
      </c>
      <c r="C433" s="15">
        <f>IF($A433="","",IF(ISNUMBER(MATCH($A433,表單!$A$2:$A$301,0)),IF(TRIM(INDEX(表單!$D$2:$D$301,MATCH($A433,表單!$A$2:$A$301,0)))="","（分項工程層）",INDEX(表單!$D$2:$D$301,MATCH($A433,表單!$A$2:$A$301,0))),IFERROR(INDEX($N$2:$N$201,MATCH($A433,$L$2:$L$201,0)),"")))</f>
        <v/>
      </c>
      <c r="D433" s="15">
        <f>IF($A433="","",IF(ISNUMBER(MATCH($A433,表單!$A$2:$A$301,0)),"線上表單",IFERROR(INDEX($O$2:$O$201,MATCH($A433,$L$2:$L$201,0)),"")))</f>
        <v/>
      </c>
      <c r="E433" s="15">
        <f>IF($A433="","",IF(ISNUMBER(MATCH($A433,表單!$A$2:$A$301,0)),"本檔","系統"))</f>
        <v/>
      </c>
      <c r="J433">
        <f>IF(432&lt;=COUNTA($L$2:$L$201),INDEX($L$2:$L$201,432),IFERROR(INDEX(表單!$A$2:$A$301,MATCH(432-COUNTA($L$2:$L$201),$H$2:$H$301,0)),""))</f>
        <v/>
      </c>
    </row>
    <row r="434">
      <c r="A434" s="15">
        <f>IF($J434="","",$J434)</f>
        <v/>
      </c>
      <c r="B434" s="15">
        <f>IF($A434="","",IF(ISNUMBER(MATCH($A434,表單!$A$2:$A$301,0)),INDEX(表單!$B$2:$B$301,MATCH($A434,表單!$A$2:$A$301,0)),IFERROR(INDEX($M$2:$M$201,MATCH($A434,$L$2:$L$201,0)),"")))</f>
        <v/>
      </c>
      <c r="C434" s="15">
        <f>IF($A434="","",IF(ISNUMBER(MATCH($A434,表單!$A$2:$A$301,0)),IF(TRIM(INDEX(表單!$D$2:$D$301,MATCH($A434,表單!$A$2:$A$301,0)))="","（分項工程層）",INDEX(表單!$D$2:$D$301,MATCH($A434,表單!$A$2:$A$301,0))),IFERROR(INDEX($N$2:$N$201,MATCH($A434,$L$2:$L$201,0)),"")))</f>
        <v/>
      </c>
      <c r="D434" s="15">
        <f>IF($A434="","",IF(ISNUMBER(MATCH($A434,表單!$A$2:$A$301,0)),"線上表單",IFERROR(INDEX($O$2:$O$201,MATCH($A434,$L$2:$L$201,0)),"")))</f>
        <v/>
      </c>
      <c r="E434" s="15">
        <f>IF($A434="","",IF(ISNUMBER(MATCH($A434,表單!$A$2:$A$301,0)),"本檔","系統"))</f>
        <v/>
      </c>
      <c r="J434">
        <f>IF(433&lt;=COUNTA($L$2:$L$201),INDEX($L$2:$L$201,433),IFERROR(INDEX(表單!$A$2:$A$301,MATCH(433-COUNTA($L$2:$L$201),$H$2:$H$301,0)),""))</f>
        <v/>
      </c>
    </row>
    <row r="435">
      <c r="A435" s="15">
        <f>IF($J435="","",$J435)</f>
        <v/>
      </c>
      <c r="B435" s="15">
        <f>IF($A435="","",IF(ISNUMBER(MATCH($A435,表單!$A$2:$A$301,0)),INDEX(表單!$B$2:$B$301,MATCH($A435,表單!$A$2:$A$301,0)),IFERROR(INDEX($M$2:$M$201,MATCH($A435,$L$2:$L$201,0)),"")))</f>
        <v/>
      </c>
      <c r="C435" s="15">
        <f>IF($A435="","",IF(ISNUMBER(MATCH($A435,表單!$A$2:$A$301,0)),IF(TRIM(INDEX(表單!$D$2:$D$301,MATCH($A435,表單!$A$2:$A$301,0)))="","（分項工程層）",INDEX(表單!$D$2:$D$301,MATCH($A435,表單!$A$2:$A$301,0))),IFERROR(INDEX($N$2:$N$201,MATCH($A435,$L$2:$L$201,0)),"")))</f>
        <v/>
      </c>
      <c r="D435" s="15">
        <f>IF($A435="","",IF(ISNUMBER(MATCH($A435,表單!$A$2:$A$301,0)),"線上表單",IFERROR(INDEX($O$2:$O$201,MATCH($A435,$L$2:$L$201,0)),"")))</f>
        <v/>
      </c>
      <c r="E435" s="15">
        <f>IF($A435="","",IF(ISNUMBER(MATCH($A435,表單!$A$2:$A$301,0)),"本檔","系統"))</f>
        <v/>
      </c>
      <c r="J435">
        <f>IF(434&lt;=COUNTA($L$2:$L$201),INDEX($L$2:$L$201,434),IFERROR(INDEX(表單!$A$2:$A$301,MATCH(434-COUNTA($L$2:$L$201),$H$2:$H$301,0)),""))</f>
        <v/>
      </c>
    </row>
    <row r="436">
      <c r="A436" s="15">
        <f>IF($J436="","",$J436)</f>
        <v/>
      </c>
      <c r="B436" s="15">
        <f>IF($A436="","",IF(ISNUMBER(MATCH($A436,表單!$A$2:$A$301,0)),INDEX(表單!$B$2:$B$301,MATCH($A436,表單!$A$2:$A$301,0)),IFERROR(INDEX($M$2:$M$201,MATCH($A436,$L$2:$L$201,0)),"")))</f>
        <v/>
      </c>
      <c r="C436" s="15">
        <f>IF($A436="","",IF(ISNUMBER(MATCH($A436,表單!$A$2:$A$301,0)),IF(TRIM(INDEX(表單!$D$2:$D$301,MATCH($A436,表單!$A$2:$A$301,0)))="","（分項工程層）",INDEX(表單!$D$2:$D$301,MATCH($A436,表單!$A$2:$A$301,0))),IFERROR(INDEX($N$2:$N$201,MATCH($A436,$L$2:$L$201,0)),"")))</f>
        <v/>
      </c>
      <c r="D436" s="15">
        <f>IF($A436="","",IF(ISNUMBER(MATCH($A436,表單!$A$2:$A$301,0)),"線上表單",IFERROR(INDEX($O$2:$O$201,MATCH($A436,$L$2:$L$201,0)),"")))</f>
        <v/>
      </c>
      <c r="E436" s="15">
        <f>IF($A436="","",IF(ISNUMBER(MATCH($A436,表單!$A$2:$A$301,0)),"本檔","系統"))</f>
        <v/>
      </c>
      <c r="J436">
        <f>IF(435&lt;=COUNTA($L$2:$L$201),INDEX($L$2:$L$201,435),IFERROR(INDEX(表單!$A$2:$A$301,MATCH(435-COUNTA($L$2:$L$201),$H$2:$H$301,0)),""))</f>
        <v/>
      </c>
    </row>
    <row r="437">
      <c r="A437" s="15">
        <f>IF($J437="","",$J437)</f>
        <v/>
      </c>
      <c r="B437" s="15">
        <f>IF($A437="","",IF(ISNUMBER(MATCH($A437,表單!$A$2:$A$301,0)),INDEX(表單!$B$2:$B$301,MATCH($A437,表單!$A$2:$A$301,0)),IFERROR(INDEX($M$2:$M$201,MATCH($A437,$L$2:$L$201,0)),"")))</f>
        <v/>
      </c>
      <c r="C437" s="15">
        <f>IF($A437="","",IF(ISNUMBER(MATCH($A437,表單!$A$2:$A$301,0)),IF(TRIM(INDEX(表單!$D$2:$D$301,MATCH($A437,表單!$A$2:$A$301,0)))="","（分項工程層）",INDEX(表單!$D$2:$D$301,MATCH($A437,表單!$A$2:$A$301,0))),IFERROR(INDEX($N$2:$N$201,MATCH($A437,$L$2:$L$201,0)),"")))</f>
        <v/>
      </c>
      <c r="D437" s="15">
        <f>IF($A437="","",IF(ISNUMBER(MATCH($A437,表單!$A$2:$A$301,0)),"線上表單",IFERROR(INDEX($O$2:$O$201,MATCH($A437,$L$2:$L$201,0)),"")))</f>
        <v/>
      </c>
      <c r="E437" s="15">
        <f>IF($A437="","",IF(ISNUMBER(MATCH($A437,表單!$A$2:$A$301,0)),"本檔","系統"))</f>
        <v/>
      </c>
      <c r="J437">
        <f>IF(436&lt;=COUNTA($L$2:$L$201),INDEX($L$2:$L$201,436),IFERROR(INDEX(表單!$A$2:$A$301,MATCH(436-COUNTA($L$2:$L$201),$H$2:$H$301,0)),""))</f>
        <v/>
      </c>
    </row>
    <row r="438">
      <c r="A438" s="15">
        <f>IF($J438="","",$J438)</f>
        <v/>
      </c>
      <c r="B438" s="15">
        <f>IF($A438="","",IF(ISNUMBER(MATCH($A438,表單!$A$2:$A$301,0)),INDEX(表單!$B$2:$B$301,MATCH($A438,表單!$A$2:$A$301,0)),IFERROR(INDEX($M$2:$M$201,MATCH($A438,$L$2:$L$201,0)),"")))</f>
        <v/>
      </c>
      <c r="C438" s="15">
        <f>IF($A438="","",IF(ISNUMBER(MATCH($A438,表單!$A$2:$A$301,0)),IF(TRIM(INDEX(表單!$D$2:$D$301,MATCH($A438,表單!$A$2:$A$301,0)))="","（分項工程層）",INDEX(表單!$D$2:$D$301,MATCH($A438,表單!$A$2:$A$301,0))),IFERROR(INDEX($N$2:$N$201,MATCH($A438,$L$2:$L$201,0)),"")))</f>
        <v/>
      </c>
      <c r="D438" s="15">
        <f>IF($A438="","",IF(ISNUMBER(MATCH($A438,表單!$A$2:$A$301,0)),"線上表單",IFERROR(INDEX($O$2:$O$201,MATCH($A438,$L$2:$L$201,0)),"")))</f>
        <v/>
      </c>
      <c r="E438" s="15">
        <f>IF($A438="","",IF(ISNUMBER(MATCH($A438,表單!$A$2:$A$301,0)),"本檔","系統"))</f>
        <v/>
      </c>
      <c r="J438">
        <f>IF(437&lt;=COUNTA($L$2:$L$201),INDEX($L$2:$L$201,437),IFERROR(INDEX(表單!$A$2:$A$301,MATCH(437-COUNTA($L$2:$L$201),$H$2:$H$301,0)),""))</f>
        <v/>
      </c>
    </row>
    <row r="439">
      <c r="A439" s="15">
        <f>IF($J439="","",$J439)</f>
        <v/>
      </c>
      <c r="B439" s="15">
        <f>IF($A439="","",IF(ISNUMBER(MATCH($A439,表單!$A$2:$A$301,0)),INDEX(表單!$B$2:$B$301,MATCH($A439,表單!$A$2:$A$301,0)),IFERROR(INDEX($M$2:$M$201,MATCH($A439,$L$2:$L$201,0)),"")))</f>
        <v/>
      </c>
      <c r="C439" s="15">
        <f>IF($A439="","",IF(ISNUMBER(MATCH($A439,表單!$A$2:$A$301,0)),IF(TRIM(INDEX(表單!$D$2:$D$301,MATCH($A439,表單!$A$2:$A$301,0)))="","（分項工程層）",INDEX(表單!$D$2:$D$301,MATCH($A439,表單!$A$2:$A$301,0))),IFERROR(INDEX($N$2:$N$201,MATCH($A439,$L$2:$L$201,0)),"")))</f>
        <v/>
      </c>
      <c r="D439" s="15">
        <f>IF($A439="","",IF(ISNUMBER(MATCH($A439,表單!$A$2:$A$301,0)),"線上表單",IFERROR(INDEX($O$2:$O$201,MATCH($A439,$L$2:$L$201,0)),"")))</f>
        <v/>
      </c>
      <c r="E439" s="15">
        <f>IF($A439="","",IF(ISNUMBER(MATCH($A439,表單!$A$2:$A$301,0)),"本檔","系統"))</f>
        <v/>
      </c>
      <c r="J439">
        <f>IF(438&lt;=COUNTA($L$2:$L$201),INDEX($L$2:$L$201,438),IFERROR(INDEX(表單!$A$2:$A$301,MATCH(438-COUNTA($L$2:$L$201),$H$2:$H$301,0)),""))</f>
        <v/>
      </c>
    </row>
    <row r="440">
      <c r="A440" s="15">
        <f>IF($J440="","",$J440)</f>
        <v/>
      </c>
      <c r="B440" s="15">
        <f>IF($A440="","",IF(ISNUMBER(MATCH($A440,表單!$A$2:$A$301,0)),INDEX(表單!$B$2:$B$301,MATCH($A440,表單!$A$2:$A$301,0)),IFERROR(INDEX($M$2:$M$201,MATCH($A440,$L$2:$L$201,0)),"")))</f>
        <v/>
      </c>
      <c r="C440" s="15">
        <f>IF($A440="","",IF(ISNUMBER(MATCH($A440,表單!$A$2:$A$301,0)),IF(TRIM(INDEX(表單!$D$2:$D$301,MATCH($A440,表單!$A$2:$A$301,0)))="","（分項工程層）",INDEX(表單!$D$2:$D$301,MATCH($A440,表單!$A$2:$A$301,0))),IFERROR(INDEX($N$2:$N$201,MATCH($A440,$L$2:$L$201,0)),"")))</f>
        <v/>
      </c>
      <c r="D440" s="15">
        <f>IF($A440="","",IF(ISNUMBER(MATCH($A440,表單!$A$2:$A$301,0)),"線上表單",IFERROR(INDEX($O$2:$O$201,MATCH($A440,$L$2:$L$201,0)),"")))</f>
        <v/>
      </c>
      <c r="E440" s="15">
        <f>IF($A440="","",IF(ISNUMBER(MATCH($A440,表單!$A$2:$A$301,0)),"本檔","系統"))</f>
        <v/>
      </c>
      <c r="J440">
        <f>IF(439&lt;=COUNTA($L$2:$L$201),INDEX($L$2:$L$201,439),IFERROR(INDEX(表單!$A$2:$A$301,MATCH(439-COUNTA($L$2:$L$201),$H$2:$H$301,0)),""))</f>
        <v/>
      </c>
    </row>
    <row r="441">
      <c r="A441" s="15">
        <f>IF($J441="","",$J441)</f>
        <v/>
      </c>
      <c r="B441" s="15">
        <f>IF($A441="","",IF(ISNUMBER(MATCH($A441,表單!$A$2:$A$301,0)),INDEX(表單!$B$2:$B$301,MATCH($A441,表單!$A$2:$A$301,0)),IFERROR(INDEX($M$2:$M$201,MATCH($A441,$L$2:$L$201,0)),"")))</f>
        <v/>
      </c>
      <c r="C441" s="15">
        <f>IF($A441="","",IF(ISNUMBER(MATCH($A441,表單!$A$2:$A$301,0)),IF(TRIM(INDEX(表單!$D$2:$D$301,MATCH($A441,表單!$A$2:$A$301,0)))="","（分項工程層）",INDEX(表單!$D$2:$D$301,MATCH($A441,表單!$A$2:$A$301,0))),IFERROR(INDEX($N$2:$N$201,MATCH($A441,$L$2:$L$201,0)),"")))</f>
        <v/>
      </c>
      <c r="D441" s="15">
        <f>IF($A441="","",IF(ISNUMBER(MATCH($A441,表單!$A$2:$A$301,0)),"線上表單",IFERROR(INDEX($O$2:$O$201,MATCH($A441,$L$2:$L$201,0)),"")))</f>
        <v/>
      </c>
      <c r="E441" s="15">
        <f>IF($A441="","",IF(ISNUMBER(MATCH($A441,表單!$A$2:$A$301,0)),"本檔","系統"))</f>
        <v/>
      </c>
      <c r="J441">
        <f>IF(440&lt;=COUNTA($L$2:$L$201),INDEX($L$2:$L$201,440),IFERROR(INDEX(表單!$A$2:$A$301,MATCH(440-COUNTA($L$2:$L$201),$H$2:$H$301,0)),""))</f>
        <v/>
      </c>
    </row>
    <row r="442">
      <c r="A442" s="15">
        <f>IF($J442="","",$J442)</f>
        <v/>
      </c>
      <c r="B442" s="15">
        <f>IF($A442="","",IF(ISNUMBER(MATCH($A442,表單!$A$2:$A$301,0)),INDEX(表單!$B$2:$B$301,MATCH($A442,表單!$A$2:$A$301,0)),IFERROR(INDEX($M$2:$M$201,MATCH($A442,$L$2:$L$201,0)),"")))</f>
        <v/>
      </c>
      <c r="C442" s="15">
        <f>IF($A442="","",IF(ISNUMBER(MATCH($A442,表單!$A$2:$A$301,0)),IF(TRIM(INDEX(表單!$D$2:$D$301,MATCH($A442,表單!$A$2:$A$301,0)))="","（分項工程層）",INDEX(表單!$D$2:$D$301,MATCH($A442,表單!$A$2:$A$301,0))),IFERROR(INDEX($N$2:$N$201,MATCH($A442,$L$2:$L$201,0)),"")))</f>
        <v/>
      </c>
      <c r="D442" s="15">
        <f>IF($A442="","",IF(ISNUMBER(MATCH($A442,表單!$A$2:$A$301,0)),"線上表單",IFERROR(INDEX($O$2:$O$201,MATCH($A442,$L$2:$L$201,0)),"")))</f>
        <v/>
      </c>
      <c r="E442" s="15">
        <f>IF($A442="","",IF(ISNUMBER(MATCH($A442,表單!$A$2:$A$301,0)),"本檔","系統"))</f>
        <v/>
      </c>
      <c r="J442">
        <f>IF(441&lt;=COUNTA($L$2:$L$201),INDEX($L$2:$L$201,441),IFERROR(INDEX(表單!$A$2:$A$301,MATCH(441-COUNTA($L$2:$L$201),$H$2:$H$301,0)),""))</f>
        <v/>
      </c>
    </row>
    <row r="443">
      <c r="A443" s="15">
        <f>IF($J443="","",$J443)</f>
        <v/>
      </c>
      <c r="B443" s="15">
        <f>IF($A443="","",IF(ISNUMBER(MATCH($A443,表單!$A$2:$A$301,0)),INDEX(表單!$B$2:$B$301,MATCH($A443,表單!$A$2:$A$301,0)),IFERROR(INDEX($M$2:$M$201,MATCH($A443,$L$2:$L$201,0)),"")))</f>
        <v/>
      </c>
      <c r="C443" s="15">
        <f>IF($A443="","",IF(ISNUMBER(MATCH($A443,表單!$A$2:$A$301,0)),IF(TRIM(INDEX(表單!$D$2:$D$301,MATCH($A443,表單!$A$2:$A$301,0)))="","（分項工程層）",INDEX(表單!$D$2:$D$301,MATCH($A443,表單!$A$2:$A$301,0))),IFERROR(INDEX($N$2:$N$201,MATCH($A443,$L$2:$L$201,0)),"")))</f>
        <v/>
      </c>
      <c r="D443" s="15">
        <f>IF($A443="","",IF(ISNUMBER(MATCH($A443,表單!$A$2:$A$301,0)),"線上表單",IFERROR(INDEX($O$2:$O$201,MATCH($A443,$L$2:$L$201,0)),"")))</f>
        <v/>
      </c>
      <c r="E443" s="15">
        <f>IF($A443="","",IF(ISNUMBER(MATCH($A443,表單!$A$2:$A$301,0)),"本檔","系統"))</f>
        <v/>
      </c>
      <c r="J443">
        <f>IF(442&lt;=COUNTA($L$2:$L$201),INDEX($L$2:$L$201,442),IFERROR(INDEX(表單!$A$2:$A$301,MATCH(442-COUNTA($L$2:$L$201),$H$2:$H$301,0)),""))</f>
        <v/>
      </c>
    </row>
    <row r="444">
      <c r="A444" s="15">
        <f>IF($J444="","",$J444)</f>
        <v/>
      </c>
      <c r="B444" s="15">
        <f>IF($A444="","",IF(ISNUMBER(MATCH($A444,表單!$A$2:$A$301,0)),INDEX(表單!$B$2:$B$301,MATCH($A444,表單!$A$2:$A$301,0)),IFERROR(INDEX($M$2:$M$201,MATCH($A444,$L$2:$L$201,0)),"")))</f>
        <v/>
      </c>
      <c r="C444" s="15">
        <f>IF($A444="","",IF(ISNUMBER(MATCH($A444,表單!$A$2:$A$301,0)),IF(TRIM(INDEX(表單!$D$2:$D$301,MATCH($A444,表單!$A$2:$A$301,0)))="","（分項工程層）",INDEX(表單!$D$2:$D$301,MATCH($A444,表單!$A$2:$A$301,0))),IFERROR(INDEX($N$2:$N$201,MATCH($A444,$L$2:$L$201,0)),"")))</f>
        <v/>
      </c>
      <c r="D444" s="15">
        <f>IF($A444="","",IF(ISNUMBER(MATCH($A444,表單!$A$2:$A$301,0)),"線上表單",IFERROR(INDEX($O$2:$O$201,MATCH($A444,$L$2:$L$201,0)),"")))</f>
        <v/>
      </c>
      <c r="E444" s="15">
        <f>IF($A444="","",IF(ISNUMBER(MATCH($A444,表單!$A$2:$A$301,0)),"本檔","系統"))</f>
        <v/>
      </c>
      <c r="J444">
        <f>IF(443&lt;=COUNTA($L$2:$L$201),INDEX($L$2:$L$201,443),IFERROR(INDEX(表單!$A$2:$A$301,MATCH(443-COUNTA($L$2:$L$201),$H$2:$H$301,0)),""))</f>
        <v/>
      </c>
    </row>
    <row r="445">
      <c r="A445" s="15">
        <f>IF($J445="","",$J445)</f>
        <v/>
      </c>
      <c r="B445" s="15">
        <f>IF($A445="","",IF(ISNUMBER(MATCH($A445,表單!$A$2:$A$301,0)),INDEX(表單!$B$2:$B$301,MATCH($A445,表單!$A$2:$A$301,0)),IFERROR(INDEX($M$2:$M$201,MATCH($A445,$L$2:$L$201,0)),"")))</f>
        <v/>
      </c>
      <c r="C445" s="15">
        <f>IF($A445="","",IF(ISNUMBER(MATCH($A445,表單!$A$2:$A$301,0)),IF(TRIM(INDEX(表單!$D$2:$D$301,MATCH($A445,表單!$A$2:$A$301,0)))="","（分項工程層）",INDEX(表單!$D$2:$D$301,MATCH($A445,表單!$A$2:$A$301,0))),IFERROR(INDEX($N$2:$N$201,MATCH($A445,$L$2:$L$201,0)),"")))</f>
        <v/>
      </c>
      <c r="D445" s="15">
        <f>IF($A445="","",IF(ISNUMBER(MATCH($A445,表單!$A$2:$A$301,0)),"線上表單",IFERROR(INDEX($O$2:$O$201,MATCH($A445,$L$2:$L$201,0)),"")))</f>
        <v/>
      </c>
      <c r="E445" s="15">
        <f>IF($A445="","",IF(ISNUMBER(MATCH($A445,表單!$A$2:$A$301,0)),"本檔","系統"))</f>
        <v/>
      </c>
      <c r="J445">
        <f>IF(444&lt;=COUNTA($L$2:$L$201),INDEX($L$2:$L$201,444),IFERROR(INDEX(表單!$A$2:$A$301,MATCH(444-COUNTA($L$2:$L$201),$H$2:$H$301,0)),""))</f>
        <v/>
      </c>
    </row>
    <row r="446">
      <c r="A446" s="15">
        <f>IF($J446="","",$J446)</f>
        <v/>
      </c>
      <c r="B446" s="15">
        <f>IF($A446="","",IF(ISNUMBER(MATCH($A446,表單!$A$2:$A$301,0)),INDEX(表單!$B$2:$B$301,MATCH($A446,表單!$A$2:$A$301,0)),IFERROR(INDEX($M$2:$M$201,MATCH($A446,$L$2:$L$201,0)),"")))</f>
        <v/>
      </c>
      <c r="C446" s="15">
        <f>IF($A446="","",IF(ISNUMBER(MATCH($A446,表單!$A$2:$A$301,0)),IF(TRIM(INDEX(表單!$D$2:$D$301,MATCH($A446,表單!$A$2:$A$301,0)))="","（分項工程層）",INDEX(表單!$D$2:$D$301,MATCH($A446,表單!$A$2:$A$301,0))),IFERROR(INDEX($N$2:$N$201,MATCH($A446,$L$2:$L$201,0)),"")))</f>
        <v/>
      </c>
      <c r="D446" s="15">
        <f>IF($A446="","",IF(ISNUMBER(MATCH($A446,表單!$A$2:$A$301,0)),"線上表單",IFERROR(INDEX($O$2:$O$201,MATCH($A446,$L$2:$L$201,0)),"")))</f>
        <v/>
      </c>
      <c r="E446" s="15">
        <f>IF($A446="","",IF(ISNUMBER(MATCH($A446,表單!$A$2:$A$301,0)),"本檔","系統"))</f>
        <v/>
      </c>
      <c r="J446">
        <f>IF(445&lt;=COUNTA($L$2:$L$201),INDEX($L$2:$L$201,445),IFERROR(INDEX(表單!$A$2:$A$301,MATCH(445-COUNTA($L$2:$L$201),$H$2:$H$301,0)),""))</f>
        <v/>
      </c>
    </row>
    <row r="447">
      <c r="A447" s="15">
        <f>IF($J447="","",$J447)</f>
        <v/>
      </c>
      <c r="B447" s="15">
        <f>IF($A447="","",IF(ISNUMBER(MATCH($A447,表單!$A$2:$A$301,0)),INDEX(表單!$B$2:$B$301,MATCH($A447,表單!$A$2:$A$301,0)),IFERROR(INDEX($M$2:$M$201,MATCH($A447,$L$2:$L$201,0)),"")))</f>
        <v/>
      </c>
      <c r="C447" s="15">
        <f>IF($A447="","",IF(ISNUMBER(MATCH($A447,表單!$A$2:$A$301,0)),IF(TRIM(INDEX(表單!$D$2:$D$301,MATCH($A447,表單!$A$2:$A$301,0)))="","（分項工程層）",INDEX(表單!$D$2:$D$301,MATCH($A447,表單!$A$2:$A$301,0))),IFERROR(INDEX($N$2:$N$201,MATCH($A447,$L$2:$L$201,0)),"")))</f>
        <v/>
      </c>
      <c r="D447" s="15">
        <f>IF($A447="","",IF(ISNUMBER(MATCH($A447,表單!$A$2:$A$301,0)),"線上表單",IFERROR(INDEX($O$2:$O$201,MATCH($A447,$L$2:$L$201,0)),"")))</f>
        <v/>
      </c>
      <c r="E447" s="15">
        <f>IF($A447="","",IF(ISNUMBER(MATCH($A447,表單!$A$2:$A$301,0)),"本檔","系統"))</f>
        <v/>
      </c>
      <c r="J447">
        <f>IF(446&lt;=COUNTA($L$2:$L$201),INDEX($L$2:$L$201,446),IFERROR(INDEX(表單!$A$2:$A$301,MATCH(446-COUNTA($L$2:$L$201),$H$2:$H$301,0)),""))</f>
        <v/>
      </c>
    </row>
    <row r="448">
      <c r="A448" s="15">
        <f>IF($J448="","",$J448)</f>
        <v/>
      </c>
      <c r="B448" s="15">
        <f>IF($A448="","",IF(ISNUMBER(MATCH($A448,表單!$A$2:$A$301,0)),INDEX(表單!$B$2:$B$301,MATCH($A448,表單!$A$2:$A$301,0)),IFERROR(INDEX($M$2:$M$201,MATCH($A448,$L$2:$L$201,0)),"")))</f>
        <v/>
      </c>
      <c r="C448" s="15">
        <f>IF($A448="","",IF(ISNUMBER(MATCH($A448,表單!$A$2:$A$301,0)),IF(TRIM(INDEX(表單!$D$2:$D$301,MATCH($A448,表單!$A$2:$A$301,0)))="","（分項工程層）",INDEX(表單!$D$2:$D$301,MATCH($A448,表單!$A$2:$A$301,0))),IFERROR(INDEX($N$2:$N$201,MATCH($A448,$L$2:$L$201,0)),"")))</f>
        <v/>
      </c>
      <c r="D448" s="15">
        <f>IF($A448="","",IF(ISNUMBER(MATCH($A448,表單!$A$2:$A$301,0)),"線上表單",IFERROR(INDEX($O$2:$O$201,MATCH($A448,$L$2:$L$201,0)),"")))</f>
        <v/>
      </c>
      <c r="E448" s="15">
        <f>IF($A448="","",IF(ISNUMBER(MATCH($A448,表單!$A$2:$A$301,0)),"本檔","系統"))</f>
        <v/>
      </c>
      <c r="J448">
        <f>IF(447&lt;=COUNTA($L$2:$L$201),INDEX($L$2:$L$201,447),IFERROR(INDEX(表單!$A$2:$A$301,MATCH(447-COUNTA($L$2:$L$201),$H$2:$H$301,0)),""))</f>
        <v/>
      </c>
    </row>
    <row r="449">
      <c r="A449" s="15">
        <f>IF($J449="","",$J449)</f>
        <v/>
      </c>
      <c r="B449" s="15">
        <f>IF($A449="","",IF(ISNUMBER(MATCH($A449,表單!$A$2:$A$301,0)),INDEX(表單!$B$2:$B$301,MATCH($A449,表單!$A$2:$A$301,0)),IFERROR(INDEX($M$2:$M$201,MATCH($A449,$L$2:$L$201,0)),"")))</f>
        <v/>
      </c>
      <c r="C449" s="15">
        <f>IF($A449="","",IF(ISNUMBER(MATCH($A449,表單!$A$2:$A$301,0)),IF(TRIM(INDEX(表單!$D$2:$D$301,MATCH($A449,表單!$A$2:$A$301,0)))="","（分項工程層）",INDEX(表單!$D$2:$D$301,MATCH($A449,表單!$A$2:$A$301,0))),IFERROR(INDEX($N$2:$N$201,MATCH($A449,$L$2:$L$201,0)),"")))</f>
        <v/>
      </c>
      <c r="D449" s="15">
        <f>IF($A449="","",IF(ISNUMBER(MATCH($A449,表單!$A$2:$A$301,0)),"線上表單",IFERROR(INDEX($O$2:$O$201,MATCH($A449,$L$2:$L$201,0)),"")))</f>
        <v/>
      </c>
      <c r="E449" s="15">
        <f>IF($A449="","",IF(ISNUMBER(MATCH($A449,表單!$A$2:$A$301,0)),"本檔","系統"))</f>
        <v/>
      </c>
      <c r="J449">
        <f>IF(448&lt;=COUNTA($L$2:$L$201),INDEX($L$2:$L$201,448),IFERROR(INDEX(表單!$A$2:$A$301,MATCH(448-COUNTA($L$2:$L$201),$H$2:$H$301,0)),""))</f>
        <v/>
      </c>
    </row>
    <row r="450">
      <c r="A450" s="15">
        <f>IF($J450="","",$J450)</f>
        <v/>
      </c>
      <c r="B450" s="15">
        <f>IF($A450="","",IF(ISNUMBER(MATCH($A450,表單!$A$2:$A$301,0)),INDEX(表單!$B$2:$B$301,MATCH($A450,表單!$A$2:$A$301,0)),IFERROR(INDEX($M$2:$M$201,MATCH($A450,$L$2:$L$201,0)),"")))</f>
        <v/>
      </c>
      <c r="C450" s="15">
        <f>IF($A450="","",IF(ISNUMBER(MATCH($A450,表單!$A$2:$A$301,0)),IF(TRIM(INDEX(表單!$D$2:$D$301,MATCH($A450,表單!$A$2:$A$301,0)))="","（分項工程層）",INDEX(表單!$D$2:$D$301,MATCH($A450,表單!$A$2:$A$301,0))),IFERROR(INDEX($N$2:$N$201,MATCH($A450,$L$2:$L$201,0)),"")))</f>
        <v/>
      </c>
      <c r="D450" s="15">
        <f>IF($A450="","",IF(ISNUMBER(MATCH($A450,表單!$A$2:$A$301,0)),"線上表單",IFERROR(INDEX($O$2:$O$201,MATCH($A450,$L$2:$L$201,0)),"")))</f>
        <v/>
      </c>
      <c r="E450" s="15">
        <f>IF($A450="","",IF(ISNUMBER(MATCH($A450,表單!$A$2:$A$301,0)),"本檔","系統"))</f>
        <v/>
      </c>
      <c r="J450">
        <f>IF(449&lt;=COUNTA($L$2:$L$201),INDEX($L$2:$L$201,449),IFERROR(INDEX(表單!$A$2:$A$301,MATCH(449-COUNTA($L$2:$L$201),$H$2:$H$301,0)),""))</f>
        <v/>
      </c>
    </row>
    <row r="451">
      <c r="A451" s="15">
        <f>IF($J451="","",$J451)</f>
        <v/>
      </c>
      <c r="B451" s="15">
        <f>IF($A451="","",IF(ISNUMBER(MATCH($A451,表單!$A$2:$A$301,0)),INDEX(表單!$B$2:$B$301,MATCH($A451,表單!$A$2:$A$301,0)),IFERROR(INDEX($M$2:$M$201,MATCH($A451,$L$2:$L$201,0)),"")))</f>
        <v/>
      </c>
      <c r="C451" s="15">
        <f>IF($A451="","",IF(ISNUMBER(MATCH($A451,表單!$A$2:$A$301,0)),IF(TRIM(INDEX(表單!$D$2:$D$301,MATCH($A451,表單!$A$2:$A$301,0)))="","（分項工程層）",INDEX(表單!$D$2:$D$301,MATCH($A451,表單!$A$2:$A$301,0))),IFERROR(INDEX($N$2:$N$201,MATCH($A451,$L$2:$L$201,0)),"")))</f>
        <v/>
      </c>
      <c r="D451" s="15">
        <f>IF($A451="","",IF(ISNUMBER(MATCH($A451,表單!$A$2:$A$301,0)),"線上表單",IFERROR(INDEX($O$2:$O$201,MATCH($A451,$L$2:$L$201,0)),"")))</f>
        <v/>
      </c>
      <c r="E451" s="15">
        <f>IF($A451="","",IF(ISNUMBER(MATCH($A451,表單!$A$2:$A$301,0)),"本檔","系統"))</f>
        <v/>
      </c>
      <c r="J451">
        <f>IF(450&lt;=COUNTA($L$2:$L$201),INDEX($L$2:$L$201,450),IFERROR(INDEX(表單!$A$2:$A$301,MATCH(450-COUNTA($L$2:$L$201),$H$2:$H$301,0)),""))</f>
        <v/>
      </c>
    </row>
    <row r="452">
      <c r="A452" s="15">
        <f>IF($J452="","",$J452)</f>
        <v/>
      </c>
      <c r="B452" s="15">
        <f>IF($A452="","",IF(ISNUMBER(MATCH($A452,表單!$A$2:$A$301,0)),INDEX(表單!$B$2:$B$301,MATCH($A452,表單!$A$2:$A$301,0)),IFERROR(INDEX($M$2:$M$201,MATCH($A452,$L$2:$L$201,0)),"")))</f>
        <v/>
      </c>
      <c r="C452" s="15">
        <f>IF($A452="","",IF(ISNUMBER(MATCH($A452,表單!$A$2:$A$301,0)),IF(TRIM(INDEX(表單!$D$2:$D$301,MATCH($A452,表單!$A$2:$A$301,0)))="","（分項工程層）",INDEX(表單!$D$2:$D$301,MATCH($A452,表單!$A$2:$A$301,0))),IFERROR(INDEX($N$2:$N$201,MATCH($A452,$L$2:$L$201,0)),"")))</f>
        <v/>
      </c>
      <c r="D452" s="15">
        <f>IF($A452="","",IF(ISNUMBER(MATCH($A452,表單!$A$2:$A$301,0)),"線上表單",IFERROR(INDEX($O$2:$O$201,MATCH($A452,$L$2:$L$201,0)),"")))</f>
        <v/>
      </c>
      <c r="E452" s="15">
        <f>IF($A452="","",IF(ISNUMBER(MATCH($A452,表單!$A$2:$A$301,0)),"本檔","系統"))</f>
        <v/>
      </c>
      <c r="J452">
        <f>IF(451&lt;=COUNTA($L$2:$L$201),INDEX($L$2:$L$201,451),IFERROR(INDEX(表單!$A$2:$A$301,MATCH(451-COUNTA($L$2:$L$201),$H$2:$H$301,0)),""))</f>
        <v/>
      </c>
    </row>
    <row r="453">
      <c r="A453" s="15">
        <f>IF($J453="","",$J453)</f>
        <v/>
      </c>
      <c r="B453" s="15">
        <f>IF($A453="","",IF(ISNUMBER(MATCH($A453,表單!$A$2:$A$301,0)),INDEX(表單!$B$2:$B$301,MATCH($A453,表單!$A$2:$A$301,0)),IFERROR(INDEX($M$2:$M$201,MATCH($A453,$L$2:$L$201,0)),"")))</f>
        <v/>
      </c>
      <c r="C453" s="15">
        <f>IF($A453="","",IF(ISNUMBER(MATCH($A453,表單!$A$2:$A$301,0)),IF(TRIM(INDEX(表單!$D$2:$D$301,MATCH($A453,表單!$A$2:$A$301,0)))="","（分項工程層）",INDEX(表單!$D$2:$D$301,MATCH($A453,表單!$A$2:$A$301,0))),IFERROR(INDEX($N$2:$N$201,MATCH($A453,$L$2:$L$201,0)),"")))</f>
        <v/>
      </c>
      <c r="D453" s="15">
        <f>IF($A453="","",IF(ISNUMBER(MATCH($A453,表單!$A$2:$A$301,0)),"線上表單",IFERROR(INDEX($O$2:$O$201,MATCH($A453,$L$2:$L$201,0)),"")))</f>
        <v/>
      </c>
      <c r="E453" s="15">
        <f>IF($A453="","",IF(ISNUMBER(MATCH($A453,表單!$A$2:$A$301,0)),"本檔","系統"))</f>
        <v/>
      </c>
      <c r="J453">
        <f>IF(452&lt;=COUNTA($L$2:$L$201),INDEX($L$2:$L$201,452),IFERROR(INDEX(表單!$A$2:$A$301,MATCH(452-COUNTA($L$2:$L$201),$H$2:$H$301,0)),""))</f>
        <v/>
      </c>
    </row>
    <row r="454">
      <c r="A454" s="15">
        <f>IF($J454="","",$J454)</f>
        <v/>
      </c>
      <c r="B454" s="15">
        <f>IF($A454="","",IF(ISNUMBER(MATCH($A454,表單!$A$2:$A$301,0)),INDEX(表單!$B$2:$B$301,MATCH($A454,表單!$A$2:$A$301,0)),IFERROR(INDEX($M$2:$M$201,MATCH($A454,$L$2:$L$201,0)),"")))</f>
        <v/>
      </c>
      <c r="C454" s="15">
        <f>IF($A454="","",IF(ISNUMBER(MATCH($A454,表單!$A$2:$A$301,0)),IF(TRIM(INDEX(表單!$D$2:$D$301,MATCH($A454,表單!$A$2:$A$301,0)))="","（分項工程層）",INDEX(表單!$D$2:$D$301,MATCH($A454,表單!$A$2:$A$301,0))),IFERROR(INDEX($N$2:$N$201,MATCH($A454,$L$2:$L$201,0)),"")))</f>
        <v/>
      </c>
      <c r="D454" s="15">
        <f>IF($A454="","",IF(ISNUMBER(MATCH($A454,表單!$A$2:$A$301,0)),"線上表單",IFERROR(INDEX($O$2:$O$201,MATCH($A454,$L$2:$L$201,0)),"")))</f>
        <v/>
      </c>
      <c r="E454" s="15">
        <f>IF($A454="","",IF(ISNUMBER(MATCH($A454,表單!$A$2:$A$301,0)),"本檔","系統"))</f>
        <v/>
      </c>
      <c r="J454">
        <f>IF(453&lt;=COUNTA($L$2:$L$201),INDEX($L$2:$L$201,453),IFERROR(INDEX(表單!$A$2:$A$301,MATCH(453-COUNTA($L$2:$L$201),$H$2:$H$301,0)),""))</f>
        <v/>
      </c>
    </row>
    <row r="455">
      <c r="A455" s="15">
        <f>IF($J455="","",$J455)</f>
        <v/>
      </c>
      <c r="B455" s="15">
        <f>IF($A455="","",IF(ISNUMBER(MATCH($A455,表單!$A$2:$A$301,0)),INDEX(表單!$B$2:$B$301,MATCH($A455,表單!$A$2:$A$301,0)),IFERROR(INDEX($M$2:$M$201,MATCH($A455,$L$2:$L$201,0)),"")))</f>
        <v/>
      </c>
      <c r="C455" s="15">
        <f>IF($A455="","",IF(ISNUMBER(MATCH($A455,表單!$A$2:$A$301,0)),IF(TRIM(INDEX(表單!$D$2:$D$301,MATCH($A455,表單!$A$2:$A$301,0)))="","（分項工程層）",INDEX(表單!$D$2:$D$301,MATCH($A455,表單!$A$2:$A$301,0))),IFERROR(INDEX($N$2:$N$201,MATCH($A455,$L$2:$L$201,0)),"")))</f>
        <v/>
      </c>
      <c r="D455" s="15">
        <f>IF($A455="","",IF(ISNUMBER(MATCH($A455,表單!$A$2:$A$301,0)),"線上表單",IFERROR(INDEX($O$2:$O$201,MATCH($A455,$L$2:$L$201,0)),"")))</f>
        <v/>
      </c>
      <c r="E455" s="15">
        <f>IF($A455="","",IF(ISNUMBER(MATCH($A455,表單!$A$2:$A$301,0)),"本檔","系統"))</f>
        <v/>
      </c>
      <c r="J455">
        <f>IF(454&lt;=COUNTA($L$2:$L$201),INDEX($L$2:$L$201,454),IFERROR(INDEX(表單!$A$2:$A$301,MATCH(454-COUNTA($L$2:$L$201),$H$2:$H$301,0)),""))</f>
        <v/>
      </c>
    </row>
    <row r="456">
      <c r="A456" s="15">
        <f>IF($J456="","",$J456)</f>
        <v/>
      </c>
      <c r="B456" s="15">
        <f>IF($A456="","",IF(ISNUMBER(MATCH($A456,表單!$A$2:$A$301,0)),INDEX(表單!$B$2:$B$301,MATCH($A456,表單!$A$2:$A$301,0)),IFERROR(INDEX($M$2:$M$201,MATCH($A456,$L$2:$L$201,0)),"")))</f>
        <v/>
      </c>
      <c r="C456" s="15">
        <f>IF($A456="","",IF(ISNUMBER(MATCH($A456,表單!$A$2:$A$301,0)),IF(TRIM(INDEX(表單!$D$2:$D$301,MATCH($A456,表單!$A$2:$A$301,0)))="","（分項工程層）",INDEX(表單!$D$2:$D$301,MATCH($A456,表單!$A$2:$A$301,0))),IFERROR(INDEX($N$2:$N$201,MATCH($A456,$L$2:$L$201,0)),"")))</f>
        <v/>
      </c>
      <c r="D456" s="15">
        <f>IF($A456="","",IF(ISNUMBER(MATCH($A456,表單!$A$2:$A$301,0)),"線上表單",IFERROR(INDEX($O$2:$O$201,MATCH($A456,$L$2:$L$201,0)),"")))</f>
        <v/>
      </c>
      <c r="E456" s="15">
        <f>IF($A456="","",IF(ISNUMBER(MATCH($A456,表單!$A$2:$A$301,0)),"本檔","系統"))</f>
        <v/>
      </c>
      <c r="J456">
        <f>IF(455&lt;=COUNTA($L$2:$L$201),INDEX($L$2:$L$201,455),IFERROR(INDEX(表單!$A$2:$A$301,MATCH(455-COUNTA($L$2:$L$201),$H$2:$H$301,0)),""))</f>
        <v/>
      </c>
    </row>
    <row r="457">
      <c r="A457" s="15">
        <f>IF($J457="","",$J457)</f>
        <v/>
      </c>
      <c r="B457" s="15">
        <f>IF($A457="","",IF(ISNUMBER(MATCH($A457,表單!$A$2:$A$301,0)),INDEX(表單!$B$2:$B$301,MATCH($A457,表單!$A$2:$A$301,0)),IFERROR(INDEX($M$2:$M$201,MATCH($A457,$L$2:$L$201,0)),"")))</f>
        <v/>
      </c>
      <c r="C457" s="15">
        <f>IF($A457="","",IF(ISNUMBER(MATCH($A457,表單!$A$2:$A$301,0)),IF(TRIM(INDEX(表單!$D$2:$D$301,MATCH($A457,表單!$A$2:$A$301,0)))="","（分項工程層）",INDEX(表單!$D$2:$D$301,MATCH($A457,表單!$A$2:$A$301,0))),IFERROR(INDEX($N$2:$N$201,MATCH($A457,$L$2:$L$201,0)),"")))</f>
        <v/>
      </c>
      <c r="D457" s="15">
        <f>IF($A457="","",IF(ISNUMBER(MATCH($A457,表單!$A$2:$A$301,0)),"線上表單",IFERROR(INDEX($O$2:$O$201,MATCH($A457,$L$2:$L$201,0)),"")))</f>
        <v/>
      </c>
      <c r="E457" s="15">
        <f>IF($A457="","",IF(ISNUMBER(MATCH($A457,表單!$A$2:$A$301,0)),"本檔","系統"))</f>
        <v/>
      </c>
      <c r="J457">
        <f>IF(456&lt;=COUNTA($L$2:$L$201),INDEX($L$2:$L$201,456),IFERROR(INDEX(表單!$A$2:$A$301,MATCH(456-COUNTA($L$2:$L$201),$H$2:$H$301,0)),""))</f>
        <v/>
      </c>
    </row>
    <row r="458">
      <c r="A458" s="15">
        <f>IF($J458="","",$J458)</f>
        <v/>
      </c>
      <c r="B458" s="15">
        <f>IF($A458="","",IF(ISNUMBER(MATCH($A458,表單!$A$2:$A$301,0)),INDEX(表單!$B$2:$B$301,MATCH($A458,表單!$A$2:$A$301,0)),IFERROR(INDEX($M$2:$M$201,MATCH($A458,$L$2:$L$201,0)),"")))</f>
        <v/>
      </c>
      <c r="C458" s="15">
        <f>IF($A458="","",IF(ISNUMBER(MATCH($A458,表單!$A$2:$A$301,0)),IF(TRIM(INDEX(表單!$D$2:$D$301,MATCH($A458,表單!$A$2:$A$301,0)))="","（分項工程層）",INDEX(表單!$D$2:$D$301,MATCH($A458,表單!$A$2:$A$301,0))),IFERROR(INDEX($N$2:$N$201,MATCH($A458,$L$2:$L$201,0)),"")))</f>
        <v/>
      </c>
      <c r="D458" s="15">
        <f>IF($A458="","",IF(ISNUMBER(MATCH($A458,表單!$A$2:$A$301,0)),"線上表單",IFERROR(INDEX($O$2:$O$201,MATCH($A458,$L$2:$L$201,0)),"")))</f>
        <v/>
      </c>
      <c r="E458" s="15">
        <f>IF($A458="","",IF(ISNUMBER(MATCH($A458,表單!$A$2:$A$301,0)),"本檔","系統"))</f>
        <v/>
      </c>
      <c r="J458">
        <f>IF(457&lt;=COUNTA($L$2:$L$201),INDEX($L$2:$L$201,457),IFERROR(INDEX(表單!$A$2:$A$301,MATCH(457-COUNTA($L$2:$L$201),$H$2:$H$301,0)),""))</f>
        <v/>
      </c>
    </row>
    <row r="459">
      <c r="A459" s="15">
        <f>IF($J459="","",$J459)</f>
        <v/>
      </c>
      <c r="B459" s="15">
        <f>IF($A459="","",IF(ISNUMBER(MATCH($A459,表單!$A$2:$A$301,0)),INDEX(表單!$B$2:$B$301,MATCH($A459,表單!$A$2:$A$301,0)),IFERROR(INDEX($M$2:$M$201,MATCH($A459,$L$2:$L$201,0)),"")))</f>
        <v/>
      </c>
      <c r="C459" s="15">
        <f>IF($A459="","",IF(ISNUMBER(MATCH($A459,表單!$A$2:$A$301,0)),IF(TRIM(INDEX(表單!$D$2:$D$301,MATCH($A459,表單!$A$2:$A$301,0)))="","（分項工程層）",INDEX(表單!$D$2:$D$301,MATCH($A459,表單!$A$2:$A$301,0))),IFERROR(INDEX($N$2:$N$201,MATCH($A459,$L$2:$L$201,0)),"")))</f>
        <v/>
      </c>
      <c r="D459" s="15">
        <f>IF($A459="","",IF(ISNUMBER(MATCH($A459,表單!$A$2:$A$301,0)),"線上表單",IFERROR(INDEX($O$2:$O$201,MATCH($A459,$L$2:$L$201,0)),"")))</f>
        <v/>
      </c>
      <c r="E459" s="15">
        <f>IF($A459="","",IF(ISNUMBER(MATCH($A459,表單!$A$2:$A$301,0)),"本檔","系統"))</f>
        <v/>
      </c>
      <c r="J459">
        <f>IF(458&lt;=COUNTA($L$2:$L$201),INDEX($L$2:$L$201,458),IFERROR(INDEX(表單!$A$2:$A$301,MATCH(458-COUNTA($L$2:$L$201),$H$2:$H$301,0)),""))</f>
        <v/>
      </c>
    </row>
    <row r="460">
      <c r="A460" s="15">
        <f>IF($J460="","",$J460)</f>
        <v/>
      </c>
      <c r="B460" s="15">
        <f>IF($A460="","",IF(ISNUMBER(MATCH($A460,表單!$A$2:$A$301,0)),INDEX(表單!$B$2:$B$301,MATCH($A460,表單!$A$2:$A$301,0)),IFERROR(INDEX($M$2:$M$201,MATCH($A460,$L$2:$L$201,0)),"")))</f>
        <v/>
      </c>
      <c r="C460" s="15">
        <f>IF($A460="","",IF(ISNUMBER(MATCH($A460,表單!$A$2:$A$301,0)),IF(TRIM(INDEX(表單!$D$2:$D$301,MATCH($A460,表單!$A$2:$A$301,0)))="","（分項工程層）",INDEX(表單!$D$2:$D$301,MATCH($A460,表單!$A$2:$A$301,0))),IFERROR(INDEX($N$2:$N$201,MATCH($A460,$L$2:$L$201,0)),"")))</f>
        <v/>
      </c>
      <c r="D460" s="15">
        <f>IF($A460="","",IF(ISNUMBER(MATCH($A460,表單!$A$2:$A$301,0)),"線上表單",IFERROR(INDEX($O$2:$O$201,MATCH($A460,$L$2:$L$201,0)),"")))</f>
        <v/>
      </c>
      <c r="E460" s="15">
        <f>IF($A460="","",IF(ISNUMBER(MATCH($A460,表單!$A$2:$A$301,0)),"本檔","系統"))</f>
        <v/>
      </c>
      <c r="J460">
        <f>IF(459&lt;=COUNTA($L$2:$L$201),INDEX($L$2:$L$201,459),IFERROR(INDEX(表單!$A$2:$A$301,MATCH(459-COUNTA($L$2:$L$201),$H$2:$H$301,0)),""))</f>
        <v/>
      </c>
    </row>
    <row r="461">
      <c r="A461" s="15">
        <f>IF($J461="","",$J461)</f>
        <v/>
      </c>
      <c r="B461" s="15">
        <f>IF($A461="","",IF(ISNUMBER(MATCH($A461,表單!$A$2:$A$301,0)),INDEX(表單!$B$2:$B$301,MATCH($A461,表單!$A$2:$A$301,0)),IFERROR(INDEX($M$2:$M$201,MATCH($A461,$L$2:$L$201,0)),"")))</f>
        <v/>
      </c>
      <c r="C461" s="15">
        <f>IF($A461="","",IF(ISNUMBER(MATCH($A461,表單!$A$2:$A$301,0)),IF(TRIM(INDEX(表單!$D$2:$D$301,MATCH($A461,表單!$A$2:$A$301,0)))="","（分項工程層）",INDEX(表單!$D$2:$D$301,MATCH($A461,表單!$A$2:$A$301,0))),IFERROR(INDEX($N$2:$N$201,MATCH($A461,$L$2:$L$201,0)),"")))</f>
        <v/>
      </c>
      <c r="D461" s="15">
        <f>IF($A461="","",IF(ISNUMBER(MATCH($A461,表單!$A$2:$A$301,0)),"線上表單",IFERROR(INDEX($O$2:$O$201,MATCH($A461,$L$2:$L$201,0)),"")))</f>
        <v/>
      </c>
      <c r="E461" s="15">
        <f>IF($A461="","",IF(ISNUMBER(MATCH($A461,表單!$A$2:$A$301,0)),"本檔","系統"))</f>
        <v/>
      </c>
      <c r="J461">
        <f>IF(460&lt;=COUNTA($L$2:$L$201),INDEX($L$2:$L$201,460),IFERROR(INDEX(表單!$A$2:$A$301,MATCH(460-COUNTA($L$2:$L$201),$H$2:$H$301,0)),""))</f>
        <v/>
      </c>
    </row>
    <row r="462">
      <c r="A462" s="15">
        <f>IF($J462="","",$J462)</f>
        <v/>
      </c>
      <c r="B462" s="15">
        <f>IF($A462="","",IF(ISNUMBER(MATCH($A462,表單!$A$2:$A$301,0)),INDEX(表單!$B$2:$B$301,MATCH($A462,表單!$A$2:$A$301,0)),IFERROR(INDEX($M$2:$M$201,MATCH($A462,$L$2:$L$201,0)),"")))</f>
        <v/>
      </c>
      <c r="C462" s="15">
        <f>IF($A462="","",IF(ISNUMBER(MATCH($A462,表單!$A$2:$A$301,0)),IF(TRIM(INDEX(表單!$D$2:$D$301,MATCH($A462,表單!$A$2:$A$301,0)))="","（分項工程層）",INDEX(表單!$D$2:$D$301,MATCH($A462,表單!$A$2:$A$301,0))),IFERROR(INDEX($N$2:$N$201,MATCH($A462,$L$2:$L$201,0)),"")))</f>
        <v/>
      </c>
      <c r="D462" s="15">
        <f>IF($A462="","",IF(ISNUMBER(MATCH($A462,表單!$A$2:$A$301,0)),"線上表單",IFERROR(INDEX($O$2:$O$201,MATCH($A462,$L$2:$L$201,0)),"")))</f>
        <v/>
      </c>
      <c r="E462" s="15">
        <f>IF($A462="","",IF(ISNUMBER(MATCH($A462,表單!$A$2:$A$301,0)),"本檔","系統"))</f>
        <v/>
      </c>
      <c r="J462">
        <f>IF(461&lt;=COUNTA($L$2:$L$201),INDEX($L$2:$L$201,461),IFERROR(INDEX(表單!$A$2:$A$301,MATCH(461-COUNTA($L$2:$L$201),$H$2:$H$301,0)),""))</f>
        <v/>
      </c>
    </row>
    <row r="463">
      <c r="A463" s="15">
        <f>IF($J463="","",$J463)</f>
        <v/>
      </c>
      <c r="B463" s="15">
        <f>IF($A463="","",IF(ISNUMBER(MATCH($A463,表單!$A$2:$A$301,0)),INDEX(表單!$B$2:$B$301,MATCH($A463,表單!$A$2:$A$301,0)),IFERROR(INDEX($M$2:$M$201,MATCH($A463,$L$2:$L$201,0)),"")))</f>
        <v/>
      </c>
      <c r="C463" s="15">
        <f>IF($A463="","",IF(ISNUMBER(MATCH($A463,表單!$A$2:$A$301,0)),IF(TRIM(INDEX(表單!$D$2:$D$301,MATCH($A463,表單!$A$2:$A$301,0)))="","（分項工程層）",INDEX(表單!$D$2:$D$301,MATCH($A463,表單!$A$2:$A$301,0))),IFERROR(INDEX($N$2:$N$201,MATCH($A463,$L$2:$L$201,0)),"")))</f>
        <v/>
      </c>
      <c r="D463" s="15">
        <f>IF($A463="","",IF(ISNUMBER(MATCH($A463,表單!$A$2:$A$301,0)),"線上表單",IFERROR(INDEX($O$2:$O$201,MATCH($A463,$L$2:$L$201,0)),"")))</f>
        <v/>
      </c>
      <c r="E463" s="15">
        <f>IF($A463="","",IF(ISNUMBER(MATCH($A463,表單!$A$2:$A$301,0)),"本檔","系統"))</f>
        <v/>
      </c>
      <c r="J463">
        <f>IF(462&lt;=COUNTA($L$2:$L$201),INDEX($L$2:$L$201,462),IFERROR(INDEX(表單!$A$2:$A$301,MATCH(462-COUNTA($L$2:$L$201),$H$2:$H$301,0)),""))</f>
        <v/>
      </c>
    </row>
    <row r="464">
      <c r="A464" s="15">
        <f>IF($J464="","",$J464)</f>
        <v/>
      </c>
      <c r="B464" s="15">
        <f>IF($A464="","",IF(ISNUMBER(MATCH($A464,表單!$A$2:$A$301,0)),INDEX(表單!$B$2:$B$301,MATCH($A464,表單!$A$2:$A$301,0)),IFERROR(INDEX($M$2:$M$201,MATCH($A464,$L$2:$L$201,0)),"")))</f>
        <v/>
      </c>
      <c r="C464" s="15">
        <f>IF($A464="","",IF(ISNUMBER(MATCH($A464,表單!$A$2:$A$301,0)),IF(TRIM(INDEX(表單!$D$2:$D$301,MATCH($A464,表單!$A$2:$A$301,0)))="","（分項工程層）",INDEX(表單!$D$2:$D$301,MATCH($A464,表單!$A$2:$A$301,0))),IFERROR(INDEX($N$2:$N$201,MATCH($A464,$L$2:$L$201,0)),"")))</f>
        <v/>
      </c>
      <c r="D464" s="15">
        <f>IF($A464="","",IF(ISNUMBER(MATCH($A464,表單!$A$2:$A$301,0)),"線上表單",IFERROR(INDEX($O$2:$O$201,MATCH($A464,$L$2:$L$201,0)),"")))</f>
        <v/>
      </c>
      <c r="E464" s="15">
        <f>IF($A464="","",IF(ISNUMBER(MATCH($A464,表單!$A$2:$A$301,0)),"本檔","系統"))</f>
        <v/>
      </c>
      <c r="J464">
        <f>IF(463&lt;=COUNTA($L$2:$L$201),INDEX($L$2:$L$201,463),IFERROR(INDEX(表單!$A$2:$A$301,MATCH(463-COUNTA($L$2:$L$201),$H$2:$H$301,0)),""))</f>
        <v/>
      </c>
    </row>
    <row r="465">
      <c r="A465" s="15">
        <f>IF($J465="","",$J465)</f>
        <v/>
      </c>
      <c r="B465" s="15">
        <f>IF($A465="","",IF(ISNUMBER(MATCH($A465,表單!$A$2:$A$301,0)),INDEX(表單!$B$2:$B$301,MATCH($A465,表單!$A$2:$A$301,0)),IFERROR(INDEX($M$2:$M$201,MATCH($A465,$L$2:$L$201,0)),"")))</f>
        <v/>
      </c>
      <c r="C465" s="15">
        <f>IF($A465="","",IF(ISNUMBER(MATCH($A465,表單!$A$2:$A$301,0)),IF(TRIM(INDEX(表單!$D$2:$D$301,MATCH($A465,表單!$A$2:$A$301,0)))="","（分項工程層）",INDEX(表單!$D$2:$D$301,MATCH($A465,表單!$A$2:$A$301,0))),IFERROR(INDEX($N$2:$N$201,MATCH($A465,$L$2:$L$201,0)),"")))</f>
        <v/>
      </c>
      <c r="D465" s="15">
        <f>IF($A465="","",IF(ISNUMBER(MATCH($A465,表單!$A$2:$A$301,0)),"線上表單",IFERROR(INDEX($O$2:$O$201,MATCH($A465,$L$2:$L$201,0)),"")))</f>
        <v/>
      </c>
      <c r="E465" s="15">
        <f>IF($A465="","",IF(ISNUMBER(MATCH($A465,表單!$A$2:$A$301,0)),"本檔","系統"))</f>
        <v/>
      </c>
      <c r="J465">
        <f>IF(464&lt;=COUNTA($L$2:$L$201),INDEX($L$2:$L$201,464),IFERROR(INDEX(表單!$A$2:$A$301,MATCH(464-COUNTA($L$2:$L$201),$H$2:$H$301,0)),""))</f>
        <v/>
      </c>
    </row>
    <row r="466">
      <c r="A466" s="15">
        <f>IF($J466="","",$J466)</f>
        <v/>
      </c>
      <c r="B466" s="15">
        <f>IF($A466="","",IF(ISNUMBER(MATCH($A466,表單!$A$2:$A$301,0)),INDEX(表單!$B$2:$B$301,MATCH($A466,表單!$A$2:$A$301,0)),IFERROR(INDEX($M$2:$M$201,MATCH($A466,$L$2:$L$201,0)),"")))</f>
        <v/>
      </c>
      <c r="C466" s="15">
        <f>IF($A466="","",IF(ISNUMBER(MATCH($A466,表單!$A$2:$A$301,0)),IF(TRIM(INDEX(表單!$D$2:$D$301,MATCH($A466,表單!$A$2:$A$301,0)))="","（分項工程層）",INDEX(表單!$D$2:$D$301,MATCH($A466,表單!$A$2:$A$301,0))),IFERROR(INDEX($N$2:$N$201,MATCH($A466,$L$2:$L$201,0)),"")))</f>
        <v/>
      </c>
      <c r="D466" s="15">
        <f>IF($A466="","",IF(ISNUMBER(MATCH($A466,表單!$A$2:$A$301,0)),"線上表單",IFERROR(INDEX($O$2:$O$201,MATCH($A466,$L$2:$L$201,0)),"")))</f>
        <v/>
      </c>
      <c r="E466" s="15">
        <f>IF($A466="","",IF(ISNUMBER(MATCH($A466,表單!$A$2:$A$301,0)),"本檔","系統"))</f>
        <v/>
      </c>
      <c r="J466">
        <f>IF(465&lt;=COUNTA($L$2:$L$201),INDEX($L$2:$L$201,465),IFERROR(INDEX(表單!$A$2:$A$301,MATCH(465-COUNTA($L$2:$L$201),$H$2:$H$301,0)),""))</f>
        <v/>
      </c>
    </row>
    <row r="467">
      <c r="A467" s="15">
        <f>IF($J467="","",$J467)</f>
        <v/>
      </c>
      <c r="B467" s="15">
        <f>IF($A467="","",IF(ISNUMBER(MATCH($A467,表單!$A$2:$A$301,0)),INDEX(表單!$B$2:$B$301,MATCH($A467,表單!$A$2:$A$301,0)),IFERROR(INDEX($M$2:$M$201,MATCH($A467,$L$2:$L$201,0)),"")))</f>
        <v/>
      </c>
      <c r="C467" s="15">
        <f>IF($A467="","",IF(ISNUMBER(MATCH($A467,表單!$A$2:$A$301,0)),IF(TRIM(INDEX(表單!$D$2:$D$301,MATCH($A467,表單!$A$2:$A$301,0)))="","（分項工程層）",INDEX(表單!$D$2:$D$301,MATCH($A467,表單!$A$2:$A$301,0))),IFERROR(INDEX($N$2:$N$201,MATCH($A467,$L$2:$L$201,0)),"")))</f>
        <v/>
      </c>
      <c r="D467" s="15">
        <f>IF($A467="","",IF(ISNUMBER(MATCH($A467,表單!$A$2:$A$301,0)),"線上表單",IFERROR(INDEX($O$2:$O$201,MATCH($A467,$L$2:$L$201,0)),"")))</f>
        <v/>
      </c>
      <c r="E467" s="15">
        <f>IF($A467="","",IF(ISNUMBER(MATCH($A467,表單!$A$2:$A$301,0)),"本檔","系統"))</f>
        <v/>
      </c>
      <c r="J467">
        <f>IF(466&lt;=COUNTA($L$2:$L$201),INDEX($L$2:$L$201,466),IFERROR(INDEX(表單!$A$2:$A$301,MATCH(466-COUNTA($L$2:$L$201),$H$2:$H$301,0)),""))</f>
        <v/>
      </c>
    </row>
    <row r="468">
      <c r="A468" s="15">
        <f>IF($J468="","",$J468)</f>
        <v/>
      </c>
      <c r="B468" s="15">
        <f>IF($A468="","",IF(ISNUMBER(MATCH($A468,表單!$A$2:$A$301,0)),INDEX(表單!$B$2:$B$301,MATCH($A468,表單!$A$2:$A$301,0)),IFERROR(INDEX($M$2:$M$201,MATCH($A468,$L$2:$L$201,0)),"")))</f>
        <v/>
      </c>
      <c r="C468" s="15">
        <f>IF($A468="","",IF(ISNUMBER(MATCH($A468,表單!$A$2:$A$301,0)),IF(TRIM(INDEX(表單!$D$2:$D$301,MATCH($A468,表單!$A$2:$A$301,0)))="","（分項工程層）",INDEX(表單!$D$2:$D$301,MATCH($A468,表單!$A$2:$A$301,0))),IFERROR(INDEX($N$2:$N$201,MATCH($A468,$L$2:$L$201,0)),"")))</f>
        <v/>
      </c>
      <c r="D468" s="15">
        <f>IF($A468="","",IF(ISNUMBER(MATCH($A468,表單!$A$2:$A$301,0)),"線上表單",IFERROR(INDEX($O$2:$O$201,MATCH($A468,$L$2:$L$201,0)),"")))</f>
        <v/>
      </c>
      <c r="E468" s="15">
        <f>IF($A468="","",IF(ISNUMBER(MATCH($A468,表單!$A$2:$A$301,0)),"本檔","系統"))</f>
        <v/>
      </c>
      <c r="J468">
        <f>IF(467&lt;=COUNTA($L$2:$L$201),INDEX($L$2:$L$201,467),IFERROR(INDEX(表單!$A$2:$A$301,MATCH(467-COUNTA($L$2:$L$201),$H$2:$H$301,0)),""))</f>
        <v/>
      </c>
    </row>
    <row r="469">
      <c r="A469" s="15">
        <f>IF($J469="","",$J469)</f>
        <v/>
      </c>
      <c r="B469" s="15">
        <f>IF($A469="","",IF(ISNUMBER(MATCH($A469,表單!$A$2:$A$301,0)),INDEX(表單!$B$2:$B$301,MATCH($A469,表單!$A$2:$A$301,0)),IFERROR(INDEX($M$2:$M$201,MATCH($A469,$L$2:$L$201,0)),"")))</f>
        <v/>
      </c>
      <c r="C469" s="15">
        <f>IF($A469="","",IF(ISNUMBER(MATCH($A469,表單!$A$2:$A$301,0)),IF(TRIM(INDEX(表單!$D$2:$D$301,MATCH($A469,表單!$A$2:$A$301,0)))="","（分項工程層）",INDEX(表單!$D$2:$D$301,MATCH($A469,表單!$A$2:$A$301,0))),IFERROR(INDEX($N$2:$N$201,MATCH($A469,$L$2:$L$201,0)),"")))</f>
        <v/>
      </c>
      <c r="D469" s="15">
        <f>IF($A469="","",IF(ISNUMBER(MATCH($A469,表單!$A$2:$A$301,0)),"線上表單",IFERROR(INDEX($O$2:$O$201,MATCH($A469,$L$2:$L$201,0)),"")))</f>
        <v/>
      </c>
      <c r="E469" s="15">
        <f>IF($A469="","",IF(ISNUMBER(MATCH($A469,表單!$A$2:$A$301,0)),"本檔","系統"))</f>
        <v/>
      </c>
      <c r="J469">
        <f>IF(468&lt;=COUNTA($L$2:$L$201),INDEX($L$2:$L$201,468),IFERROR(INDEX(表單!$A$2:$A$301,MATCH(468-COUNTA($L$2:$L$201),$H$2:$H$301,0)),""))</f>
        <v/>
      </c>
    </row>
    <row r="470">
      <c r="A470" s="15">
        <f>IF($J470="","",$J470)</f>
        <v/>
      </c>
      <c r="B470" s="15">
        <f>IF($A470="","",IF(ISNUMBER(MATCH($A470,表單!$A$2:$A$301,0)),INDEX(表單!$B$2:$B$301,MATCH($A470,表單!$A$2:$A$301,0)),IFERROR(INDEX($M$2:$M$201,MATCH($A470,$L$2:$L$201,0)),"")))</f>
        <v/>
      </c>
      <c r="C470" s="15">
        <f>IF($A470="","",IF(ISNUMBER(MATCH($A470,表單!$A$2:$A$301,0)),IF(TRIM(INDEX(表單!$D$2:$D$301,MATCH($A470,表單!$A$2:$A$301,0)))="","（分項工程層）",INDEX(表單!$D$2:$D$301,MATCH($A470,表單!$A$2:$A$301,0))),IFERROR(INDEX($N$2:$N$201,MATCH($A470,$L$2:$L$201,0)),"")))</f>
        <v/>
      </c>
      <c r="D470" s="15">
        <f>IF($A470="","",IF(ISNUMBER(MATCH($A470,表單!$A$2:$A$301,0)),"線上表單",IFERROR(INDEX($O$2:$O$201,MATCH($A470,$L$2:$L$201,0)),"")))</f>
        <v/>
      </c>
      <c r="E470" s="15">
        <f>IF($A470="","",IF(ISNUMBER(MATCH($A470,表單!$A$2:$A$301,0)),"本檔","系統"))</f>
        <v/>
      </c>
      <c r="J470">
        <f>IF(469&lt;=COUNTA($L$2:$L$201),INDEX($L$2:$L$201,469),IFERROR(INDEX(表單!$A$2:$A$301,MATCH(469-COUNTA($L$2:$L$201),$H$2:$H$301,0)),""))</f>
        <v/>
      </c>
    </row>
    <row r="471">
      <c r="A471" s="15">
        <f>IF($J471="","",$J471)</f>
        <v/>
      </c>
      <c r="B471" s="15">
        <f>IF($A471="","",IF(ISNUMBER(MATCH($A471,表單!$A$2:$A$301,0)),INDEX(表單!$B$2:$B$301,MATCH($A471,表單!$A$2:$A$301,0)),IFERROR(INDEX($M$2:$M$201,MATCH($A471,$L$2:$L$201,0)),"")))</f>
        <v/>
      </c>
      <c r="C471" s="15">
        <f>IF($A471="","",IF(ISNUMBER(MATCH($A471,表單!$A$2:$A$301,0)),IF(TRIM(INDEX(表單!$D$2:$D$301,MATCH($A471,表單!$A$2:$A$301,0)))="","（分項工程層）",INDEX(表單!$D$2:$D$301,MATCH($A471,表單!$A$2:$A$301,0))),IFERROR(INDEX($N$2:$N$201,MATCH($A471,$L$2:$L$201,0)),"")))</f>
        <v/>
      </c>
      <c r="D471" s="15">
        <f>IF($A471="","",IF(ISNUMBER(MATCH($A471,表單!$A$2:$A$301,0)),"線上表單",IFERROR(INDEX($O$2:$O$201,MATCH($A471,$L$2:$L$201,0)),"")))</f>
        <v/>
      </c>
      <c r="E471" s="15">
        <f>IF($A471="","",IF(ISNUMBER(MATCH($A471,表單!$A$2:$A$301,0)),"本檔","系統"))</f>
        <v/>
      </c>
      <c r="J471">
        <f>IF(470&lt;=COUNTA($L$2:$L$201),INDEX($L$2:$L$201,470),IFERROR(INDEX(表單!$A$2:$A$301,MATCH(470-COUNTA($L$2:$L$201),$H$2:$H$301,0)),""))</f>
        <v/>
      </c>
    </row>
    <row r="472">
      <c r="A472" s="15">
        <f>IF($J472="","",$J472)</f>
        <v/>
      </c>
      <c r="B472" s="15">
        <f>IF($A472="","",IF(ISNUMBER(MATCH($A472,表單!$A$2:$A$301,0)),INDEX(表單!$B$2:$B$301,MATCH($A472,表單!$A$2:$A$301,0)),IFERROR(INDEX($M$2:$M$201,MATCH($A472,$L$2:$L$201,0)),"")))</f>
        <v/>
      </c>
      <c r="C472" s="15">
        <f>IF($A472="","",IF(ISNUMBER(MATCH($A472,表單!$A$2:$A$301,0)),IF(TRIM(INDEX(表單!$D$2:$D$301,MATCH($A472,表單!$A$2:$A$301,0)))="","（分項工程層）",INDEX(表單!$D$2:$D$301,MATCH($A472,表單!$A$2:$A$301,0))),IFERROR(INDEX($N$2:$N$201,MATCH($A472,$L$2:$L$201,0)),"")))</f>
        <v/>
      </c>
      <c r="D472" s="15">
        <f>IF($A472="","",IF(ISNUMBER(MATCH($A472,表單!$A$2:$A$301,0)),"線上表單",IFERROR(INDEX($O$2:$O$201,MATCH($A472,$L$2:$L$201,0)),"")))</f>
        <v/>
      </c>
      <c r="E472" s="15">
        <f>IF($A472="","",IF(ISNUMBER(MATCH($A472,表單!$A$2:$A$301,0)),"本檔","系統"))</f>
        <v/>
      </c>
      <c r="J472">
        <f>IF(471&lt;=COUNTA($L$2:$L$201),INDEX($L$2:$L$201,471),IFERROR(INDEX(表單!$A$2:$A$301,MATCH(471-COUNTA($L$2:$L$201),$H$2:$H$301,0)),""))</f>
        <v/>
      </c>
    </row>
    <row r="473">
      <c r="A473" s="15">
        <f>IF($J473="","",$J473)</f>
        <v/>
      </c>
      <c r="B473" s="15">
        <f>IF($A473="","",IF(ISNUMBER(MATCH($A473,表單!$A$2:$A$301,0)),INDEX(表單!$B$2:$B$301,MATCH($A473,表單!$A$2:$A$301,0)),IFERROR(INDEX($M$2:$M$201,MATCH($A473,$L$2:$L$201,0)),"")))</f>
        <v/>
      </c>
      <c r="C473" s="15">
        <f>IF($A473="","",IF(ISNUMBER(MATCH($A473,表單!$A$2:$A$301,0)),IF(TRIM(INDEX(表單!$D$2:$D$301,MATCH($A473,表單!$A$2:$A$301,0)))="","（分項工程層）",INDEX(表單!$D$2:$D$301,MATCH($A473,表單!$A$2:$A$301,0))),IFERROR(INDEX($N$2:$N$201,MATCH($A473,$L$2:$L$201,0)),"")))</f>
        <v/>
      </c>
      <c r="D473" s="15">
        <f>IF($A473="","",IF(ISNUMBER(MATCH($A473,表單!$A$2:$A$301,0)),"線上表單",IFERROR(INDEX($O$2:$O$201,MATCH($A473,$L$2:$L$201,0)),"")))</f>
        <v/>
      </c>
      <c r="E473" s="15">
        <f>IF($A473="","",IF(ISNUMBER(MATCH($A473,表單!$A$2:$A$301,0)),"本檔","系統"))</f>
        <v/>
      </c>
      <c r="J473">
        <f>IF(472&lt;=COUNTA($L$2:$L$201),INDEX($L$2:$L$201,472),IFERROR(INDEX(表單!$A$2:$A$301,MATCH(472-COUNTA($L$2:$L$201),$H$2:$H$301,0)),""))</f>
        <v/>
      </c>
    </row>
    <row r="474">
      <c r="A474" s="15">
        <f>IF($J474="","",$J474)</f>
        <v/>
      </c>
      <c r="B474" s="15">
        <f>IF($A474="","",IF(ISNUMBER(MATCH($A474,表單!$A$2:$A$301,0)),INDEX(表單!$B$2:$B$301,MATCH($A474,表單!$A$2:$A$301,0)),IFERROR(INDEX($M$2:$M$201,MATCH($A474,$L$2:$L$201,0)),"")))</f>
        <v/>
      </c>
      <c r="C474" s="15">
        <f>IF($A474="","",IF(ISNUMBER(MATCH($A474,表單!$A$2:$A$301,0)),IF(TRIM(INDEX(表單!$D$2:$D$301,MATCH($A474,表單!$A$2:$A$301,0)))="","（分項工程層）",INDEX(表單!$D$2:$D$301,MATCH($A474,表單!$A$2:$A$301,0))),IFERROR(INDEX($N$2:$N$201,MATCH($A474,$L$2:$L$201,0)),"")))</f>
        <v/>
      </c>
      <c r="D474" s="15">
        <f>IF($A474="","",IF(ISNUMBER(MATCH($A474,表單!$A$2:$A$301,0)),"線上表單",IFERROR(INDEX($O$2:$O$201,MATCH($A474,$L$2:$L$201,0)),"")))</f>
        <v/>
      </c>
      <c r="E474" s="15">
        <f>IF($A474="","",IF(ISNUMBER(MATCH($A474,表單!$A$2:$A$301,0)),"本檔","系統"))</f>
        <v/>
      </c>
      <c r="J474">
        <f>IF(473&lt;=COUNTA($L$2:$L$201),INDEX($L$2:$L$201,473),IFERROR(INDEX(表單!$A$2:$A$301,MATCH(473-COUNTA($L$2:$L$201),$H$2:$H$301,0)),""))</f>
        <v/>
      </c>
    </row>
    <row r="475">
      <c r="A475" s="15">
        <f>IF($J475="","",$J475)</f>
        <v/>
      </c>
      <c r="B475" s="15">
        <f>IF($A475="","",IF(ISNUMBER(MATCH($A475,表單!$A$2:$A$301,0)),INDEX(表單!$B$2:$B$301,MATCH($A475,表單!$A$2:$A$301,0)),IFERROR(INDEX($M$2:$M$201,MATCH($A475,$L$2:$L$201,0)),"")))</f>
        <v/>
      </c>
      <c r="C475" s="15">
        <f>IF($A475="","",IF(ISNUMBER(MATCH($A475,表單!$A$2:$A$301,0)),IF(TRIM(INDEX(表單!$D$2:$D$301,MATCH($A475,表單!$A$2:$A$301,0)))="","（分項工程層）",INDEX(表單!$D$2:$D$301,MATCH($A475,表單!$A$2:$A$301,0))),IFERROR(INDEX($N$2:$N$201,MATCH($A475,$L$2:$L$201,0)),"")))</f>
        <v/>
      </c>
      <c r="D475" s="15">
        <f>IF($A475="","",IF(ISNUMBER(MATCH($A475,表單!$A$2:$A$301,0)),"線上表單",IFERROR(INDEX($O$2:$O$201,MATCH($A475,$L$2:$L$201,0)),"")))</f>
        <v/>
      </c>
      <c r="E475" s="15">
        <f>IF($A475="","",IF(ISNUMBER(MATCH($A475,表單!$A$2:$A$301,0)),"本檔","系統"))</f>
        <v/>
      </c>
      <c r="J475">
        <f>IF(474&lt;=COUNTA($L$2:$L$201),INDEX($L$2:$L$201,474),IFERROR(INDEX(表單!$A$2:$A$301,MATCH(474-COUNTA($L$2:$L$201),$H$2:$H$301,0)),""))</f>
        <v/>
      </c>
    </row>
    <row r="476">
      <c r="A476" s="15">
        <f>IF($J476="","",$J476)</f>
        <v/>
      </c>
      <c r="B476" s="15">
        <f>IF($A476="","",IF(ISNUMBER(MATCH($A476,表單!$A$2:$A$301,0)),INDEX(表單!$B$2:$B$301,MATCH($A476,表單!$A$2:$A$301,0)),IFERROR(INDEX($M$2:$M$201,MATCH($A476,$L$2:$L$201,0)),"")))</f>
        <v/>
      </c>
      <c r="C476" s="15">
        <f>IF($A476="","",IF(ISNUMBER(MATCH($A476,表單!$A$2:$A$301,0)),IF(TRIM(INDEX(表單!$D$2:$D$301,MATCH($A476,表單!$A$2:$A$301,0)))="","（分項工程層）",INDEX(表單!$D$2:$D$301,MATCH($A476,表單!$A$2:$A$301,0))),IFERROR(INDEX($N$2:$N$201,MATCH($A476,$L$2:$L$201,0)),"")))</f>
        <v/>
      </c>
      <c r="D476" s="15">
        <f>IF($A476="","",IF(ISNUMBER(MATCH($A476,表單!$A$2:$A$301,0)),"線上表單",IFERROR(INDEX($O$2:$O$201,MATCH($A476,$L$2:$L$201,0)),"")))</f>
        <v/>
      </c>
      <c r="E476" s="15">
        <f>IF($A476="","",IF(ISNUMBER(MATCH($A476,表單!$A$2:$A$301,0)),"本檔","系統"))</f>
        <v/>
      </c>
      <c r="J476">
        <f>IF(475&lt;=COUNTA($L$2:$L$201),INDEX($L$2:$L$201,475),IFERROR(INDEX(表單!$A$2:$A$301,MATCH(475-COUNTA($L$2:$L$201),$H$2:$H$301,0)),""))</f>
        <v/>
      </c>
    </row>
    <row r="477">
      <c r="A477" s="15">
        <f>IF($J477="","",$J477)</f>
        <v/>
      </c>
      <c r="B477" s="15">
        <f>IF($A477="","",IF(ISNUMBER(MATCH($A477,表單!$A$2:$A$301,0)),INDEX(表單!$B$2:$B$301,MATCH($A477,表單!$A$2:$A$301,0)),IFERROR(INDEX($M$2:$M$201,MATCH($A477,$L$2:$L$201,0)),"")))</f>
        <v/>
      </c>
      <c r="C477" s="15">
        <f>IF($A477="","",IF(ISNUMBER(MATCH($A477,表單!$A$2:$A$301,0)),IF(TRIM(INDEX(表單!$D$2:$D$301,MATCH($A477,表單!$A$2:$A$301,0)))="","（分項工程層）",INDEX(表單!$D$2:$D$301,MATCH($A477,表單!$A$2:$A$301,0))),IFERROR(INDEX($N$2:$N$201,MATCH($A477,$L$2:$L$201,0)),"")))</f>
        <v/>
      </c>
      <c r="D477" s="15">
        <f>IF($A477="","",IF(ISNUMBER(MATCH($A477,表單!$A$2:$A$301,0)),"線上表單",IFERROR(INDEX($O$2:$O$201,MATCH($A477,$L$2:$L$201,0)),"")))</f>
        <v/>
      </c>
      <c r="E477" s="15">
        <f>IF($A477="","",IF(ISNUMBER(MATCH($A477,表單!$A$2:$A$301,0)),"本檔","系統"))</f>
        <v/>
      </c>
      <c r="J477">
        <f>IF(476&lt;=COUNTA($L$2:$L$201),INDEX($L$2:$L$201,476),IFERROR(INDEX(表單!$A$2:$A$301,MATCH(476-COUNTA($L$2:$L$201),$H$2:$H$301,0)),""))</f>
        <v/>
      </c>
    </row>
    <row r="478">
      <c r="A478" s="15">
        <f>IF($J478="","",$J478)</f>
        <v/>
      </c>
      <c r="B478" s="15">
        <f>IF($A478="","",IF(ISNUMBER(MATCH($A478,表單!$A$2:$A$301,0)),INDEX(表單!$B$2:$B$301,MATCH($A478,表單!$A$2:$A$301,0)),IFERROR(INDEX($M$2:$M$201,MATCH($A478,$L$2:$L$201,0)),"")))</f>
        <v/>
      </c>
      <c r="C478" s="15">
        <f>IF($A478="","",IF(ISNUMBER(MATCH($A478,表單!$A$2:$A$301,0)),IF(TRIM(INDEX(表單!$D$2:$D$301,MATCH($A478,表單!$A$2:$A$301,0)))="","（分項工程層）",INDEX(表單!$D$2:$D$301,MATCH($A478,表單!$A$2:$A$301,0))),IFERROR(INDEX($N$2:$N$201,MATCH($A478,$L$2:$L$201,0)),"")))</f>
        <v/>
      </c>
      <c r="D478" s="15">
        <f>IF($A478="","",IF(ISNUMBER(MATCH($A478,表單!$A$2:$A$301,0)),"線上表單",IFERROR(INDEX($O$2:$O$201,MATCH($A478,$L$2:$L$201,0)),"")))</f>
        <v/>
      </c>
      <c r="E478" s="15">
        <f>IF($A478="","",IF(ISNUMBER(MATCH($A478,表單!$A$2:$A$301,0)),"本檔","系統"))</f>
        <v/>
      </c>
      <c r="J478">
        <f>IF(477&lt;=COUNTA($L$2:$L$201),INDEX($L$2:$L$201,477),IFERROR(INDEX(表單!$A$2:$A$301,MATCH(477-COUNTA($L$2:$L$201),$H$2:$H$301,0)),""))</f>
        <v/>
      </c>
    </row>
    <row r="479">
      <c r="A479" s="15">
        <f>IF($J479="","",$J479)</f>
        <v/>
      </c>
      <c r="B479" s="15">
        <f>IF($A479="","",IF(ISNUMBER(MATCH($A479,表單!$A$2:$A$301,0)),INDEX(表單!$B$2:$B$301,MATCH($A479,表單!$A$2:$A$301,0)),IFERROR(INDEX($M$2:$M$201,MATCH($A479,$L$2:$L$201,0)),"")))</f>
        <v/>
      </c>
      <c r="C479" s="15">
        <f>IF($A479="","",IF(ISNUMBER(MATCH($A479,表單!$A$2:$A$301,0)),IF(TRIM(INDEX(表單!$D$2:$D$301,MATCH($A479,表單!$A$2:$A$301,0)))="","（分項工程層）",INDEX(表單!$D$2:$D$301,MATCH($A479,表單!$A$2:$A$301,0))),IFERROR(INDEX($N$2:$N$201,MATCH($A479,$L$2:$L$201,0)),"")))</f>
        <v/>
      </c>
      <c r="D479" s="15">
        <f>IF($A479="","",IF(ISNUMBER(MATCH($A479,表單!$A$2:$A$301,0)),"線上表單",IFERROR(INDEX($O$2:$O$201,MATCH($A479,$L$2:$L$201,0)),"")))</f>
        <v/>
      </c>
      <c r="E479" s="15">
        <f>IF($A479="","",IF(ISNUMBER(MATCH($A479,表單!$A$2:$A$301,0)),"本檔","系統"))</f>
        <v/>
      </c>
      <c r="J479">
        <f>IF(478&lt;=COUNTA($L$2:$L$201),INDEX($L$2:$L$201,478),IFERROR(INDEX(表單!$A$2:$A$301,MATCH(478-COUNTA($L$2:$L$201),$H$2:$H$301,0)),""))</f>
        <v/>
      </c>
    </row>
    <row r="480">
      <c r="A480" s="15">
        <f>IF($J480="","",$J480)</f>
        <v/>
      </c>
      <c r="B480" s="15">
        <f>IF($A480="","",IF(ISNUMBER(MATCH($A480,表單!$A$2:$A$301,0)),INDEX(表單!$B$2:$B$301,MATCH($A480,表單!$A$2:$A$301,0)),IFERROR(INDEX($M$2:$M$201,MATCH($A480,$L$2:$L$201,0)),"")))</f>
        <v/>
      </c>
      <c r="C480" s="15">
        <f>IF($A480="","",IF(ISNUMBER(MATCH($A480,表單!$A$2:$A$301,0)),IF(TRIM(INDEX(表單!$D$2:$D$301,MATCH($A480,表單!$A$2:$A$301,0)))="","（分項工程層）",INDEX(表單!$D$2:$D$301,MATCH($A480,表單!$A$2:$A$301,0))),IFERROR(INDEX($N$2:$N$201,MATCH($A480,$L$2:$L$201,0)),"")))</f>
        <v/>
      </c>
      <c r="D480" s="15">
        <f>IF($A480="","",IF(ISNUMBER(MATCH($A480,表單!$A$2:$A$301,0)),"線上表單",IFERROR(INDEX($O$2:$O$201,MATCH($A480,$L$2:$L$201,0)),"")))</f>
        <v/>
      </c>
      <c r="E480" s="15">
        <f>IF($A480="","",IF(ISNUMBER(MATCH($A480,表單!$A$2:$A$301,0)),"本檔","系統"))</f>
        <v/>
      </c>
      <c r="J480">
        <f>IF(479&lt;=COUNTA($L$2:$L$201),INDEX($L$2:$L$201,479),IFERROR(INDEX(表單!$A$2:$A$301,MATCH(479-COUNTA($L$2:$L$201),$H$2:$H$301,0)),""))</f>
        <v/>
      </c>
    </row>
    <row r="481">
      <c r="A481" s="15">
        <f>IF($J481="","",$J481)</f>
        <v/>
      </c>
      <c r="B481" s="15">
        <f>IF($A481="","",IF(ISNUMBER(MATCH($A481,表單!$A$2:$A$301,0)),INDEX(表單!$B$2:$B$301,MATCH($A481,表單!$A$2:$A$301,0)),IFERROR(INDEX($M$2:$M$201,MATCH($A481,$L$2:$L$201,0)),"")))</f>
        <v/>
      </c>
      <c r="C481" s="15">
        <f>IF($A481="","",IF(ISNUMBER(MATCH($A481,表單!$A$2:$A$301,0)),IF(TRIM(INDEX(表單!$D$2:$D$301,MATCH($A481,表單!$A$2:$A$301,0)))="","（分項工程層）",INDEX(表單!$D$2:$D$301,MATCH($A481,表單!$A$2:$A$301,0))),IFERROR(INDEX($N$2:$N$201,MATCH($A481,$L$2:$L$201,0)),"")))</f>
        <v/>
      </c>
      <c r="D481" s="15">
        <f>IF($A481="","",IF(ISNUMBER(MATCH($A481,表單!$A$2:$A$301,0)),"線上表單",IFERROR(INDEX($O$2:$O$201,MATCH($A481,$L$2:$L$201,0)),"")))</f>
        <v/>
      </c>
      <c r="E481" s="15">
        <f>IF($A481="","",IF(ISNUMBER(MATCH($A481,表單!$A$2:$A$301,0)),"本檔","系統"))</f>
        <v/>
      </c>
      <c r="J481">
        <f>IF(480&lt;=COUNTA($L$2:$L$201),INDEX($L$2:$L$201,480),IFERROR(INDEX(表單!$A$2:$A$301,MATCH(480-COUNTA($L$2:$L$201),$H$2:$H$301,0)),""))</f>
        <v/>
      </c>
    </row>
    <row r="482">
      <c r="A482" s="15">
        <f>IF($J482="","",$J482)</f>
        <v/>
      </c>
      <c r="B482" s="15">
        <f>IF($A482="","",IF(ISNUMBER(MATCH($A482,表單!$A$2:$A$301,0)),INDEX(表單!$B$2:$B$301,MATCH($A482,表單!$A$2:$A$301,0)),IFERROR(INDEX($M$2:$M$201,MATCH($A482,$L$2:$L$201,0)),"")))</f>
        <v/>
      </c>
      <c r="C482" s="15">
        <f>IF($A482="","",IF(ISNUMBER(MATCH($A482,表單!$A$2:$A$301,0)),IF(TRIM(INDEX(表單!$D$2:$D$301,MATCH($A482,表單!$A$2:$A$301,0)))="","（分項工程層）",INDEX(表單!$D$2:$D$301,MATCH($A482,表單!$A$2:$A$301,0))),IFERROR(INDEX($N$2:$N$201,MATCH($A482,$L$2:$L$201,0)),"")))</f>
        <v/>
      </c>
      <c r="D482" s="15">
        <f>IF($A482="","",IF(ISNUMBER(MATCH($A482,表單!$A$2:$A$301,0)),"線上表單",IFERROR(INDEX($O$2:$O$201,MATCH($A482,$L$2:$L$201,0)),"")))</f>
        <v/>
      </c>
      <c r="E482" s="15">
        <f>IF($A482="","",IF(ISNUMBER(MATCH($A482,表單!$A$2:$A$301,0)),"本檔","系統"))</f>
        <v/>
      </c>
      <c r="J482">
        <f>IF(481&lt;=COUNTA($L$2:$L$201),INDEX($L$2:$L$201,481),IFERROR(INDEX(表單!$A$2:$A$301,MATCH(481-COUNTA($L$2:$L$201),$H$2:$H$301,0)),""))</f>
        <v/>
      </c>
    </row>
    <row r="483">
      <c r="A483" s="15">
        <f>IF($J483="","",$J483)</f>
        <v/>
      </c>
      <c r="B483" s="15">
        <f>IF($A483="","",IF(ISNUMBER(MATCH($A483,表單!$A$2:$A$301,0)),INDEX(表單!$B$2:$B$301,MATCH($A483,表單!$A$2:$A$301,0)),IFERROR(INDEX($M$2:$M$201,MATCH($A483,$L$2:$L$201,0)),"")))</f>
        <v/>
      </c>
      <c r="C483" s="15">
        <f>IF($A483="","",IF(ISNUMBER(MATCH($A483,表單!$A$2:$A$301,0)),IF(TRIM(INDEX(表單!$D$2:$D$301,MATCH($A483,表單!$A$2:$A$301,0)))="","（分項工程層）",INDEX(表單!$D$2:$D$301,MATCH($A483,表單!$A$2:$A$301,0))),IFERROR(INDEX($N$2:$N$201,MATCH($A483,$L$2:$L$201,0)),"")))</f>
        <v/>
      </c>
      <c r="D483" s="15">
        <f>IF($A483="","",IF(ISNUMBER(MATCH($A483,表單!$A$2:$A$301,0)),"線上表單",IFERROR(INDEX($O$2:$O$201,MATCH($A483,$L$2:$L$201,0)),"")))</f>
        <v/>
      </c>
      <c r="E483" s="15">
        <f>IF($A483="","",IF(ISNUMBER(MATCH($A483,表單!$A$2:$A$301,0)),"本檔","系統"))</f>
        <v/>
      </c>
      <c r="J483">
        <f>IF(482&lt;=COUNTA($L$2:$L$201),INDEX($L$2:$L$201,482),IFERROR(INDEX(表單!$A$2:$A$301,MATCH(482-COUNTA($L$2:$L$201),$H$2:$H$301,0)),""))</f>
        <v/>
      </c>
    </row>
    <row r="484">
      <c r="A484" s="15">
        <f>IF($J484="","",$J484)</f>
        <v/>
      </c>
      <c r="B484" s="15">
        <f>IF($A484="","",IF(ISNUMBER(MATCH($A484,表單!$A$2:$A$301,0)),INDEX(表單!$B$2:$B$301,MATCH($A484,表單!$A$2:$A$301,0)),IFERROR(INDEX($M$2:$M$201,MATCH($A484,$L$2:$L$201,0)),"")))</f>
        <v/>
      </c>
      <c r="C484" s="15">
        <f>IF($A484="","",IF(ISNUMBER(MATCH($A484,表單!$A$2:$A$301,0)),IF(TRIM(INDEX(表單!$D$2:$D$301,MATCH($A484,表單!$A$2:$A$301,0)))="","（分項工程層）",INDEX(表單!$D$2:$D$301,MATCH($A484,表單!$A$2:$A$301,0))),IFERROR(INDEX($N$2:$N$201,MATCH($A484,$L$2:$L$201,0)),"")))</f>
        <v/>
      </c>
      <c r="D484" s="15">
        <f>IF($A484="","",IF(ISNUMBER(MATCH($A484,表單!$A$2:$A$301,0)),"線上表單",IFERROR(INDEX($O$2:$O$201,MATCH($A484,$L$2:$L$201,0)),"")))</f>
        <v/>
      </c>
      <c r="E484" s="15">
        <f>IF($A484="","",IF(ISNUMBER(MATCH($A484,表單!$A$2:$A$301,0)),"本檔","系統"))</f>
        <v/>
      </c>
      <c r="J484">
        <f>IF(483&lt;=COUNTA($L$2:$L$201),INDEX($L$2:$L$201,483),IFERROR(INDEX(表單!$A$2:$A$301,MATCH(483-COUNTA($L$2:$L$201),$H$2:$H$301,0)),""))</f>
        <v/>
      </c>
    </row>
    <row r="485">
      <c r="A485" s="15">
        <f>IF($J485="","",$J485)</f>
        <v/>
      </c>
      <c r="B485" s="15">
        <f>IF($A485="","",IF(ISNUMBER(MATCH($A485,表單!$A$2:$A$301,0)),INDEX(表單!$B$2:$B$301,MATCH($A485,表單!$A$2:$A$301,0)),IFERROR(INDEX($M$2:$M$201,MATCH($A485,$L$2:$L$201,0)),"")))</f>
        <v/>
      </c>
      <c r="C485" s="15">
        <f>IF($A485="","",IF(ISNUMBER(MATCH($A485,表單!$A$2:$A$301,0)),IF(TRIM(INDEX(表單!$D$2:$D$301,MATCH($A485,表單!$A$2:$A$301,0)))="","（分項工程層）",INDEX(表單!$D$2:$D$301,MATCH($A485,表單!$A$2:$A$301,0))),IFERROR(INDEX($N$2:$N$201,MATCH($A485,$L$2:$L$201,0)),"")))</f>
        <v/>
      </c>
      <c r="D485" s="15">
        <f>IF($A485="","",IF(ISNUMBER(MATCH($A485,表單!$A$2:$A$301,0)),"線上表單",IFERROR(INDEX($O$2:$O$201,MATCH($A485,$L$2:$L$201,0)),"")))</f>
        <v/>
      </c>
      <c r="E485" s="15">
        <f>IF($A485="","",IF(ISNUMBER(MATCH($A485,表單!$A$2:$A$301,0)),"本檔","系統"))</f>
        <v/>
      </c>
      <c r="J485">
        <f>IF(484&lt;=COUNTA($L$2:$L$201),INDEX($L$2:$L$201,484),IFERROR(INDEX(表單!$A$2:$A$301,MATCH(484-COUNTA($L$2:$L$201),$H$2:$H$301,0)),""))</f>
        <v/>
      </c>
    </row>
    <row r="486">
      <c r="A486" s="15">
        <f>IF($J486="","",$J486)</f>
        <v/>
      </c>
      <c r="B486" s="15">
        <f>IF($A486="","",IF(ISNUMBER(MATCH($A486,表單!$A$2:$A$301,0)),INDEX(表單!$B$2:$B$301,MATCH($A486,表單!$A$2:$A$301,0)),IFERROR(INDEX($M$2:$M$201,MATCH($A486,$L$2:$L$201,0)),"")))</f>
        <v/>
      </c>
      <c r="C486" s="15">
        <f>IF($A486="","",IF(ISNUMBER(MATCH($A486,表單!$A$2:$A$301,0)),IF(TRIM(INDEX(表單!$D$2:$D$301,MATCH($A486,表單!$A$2:$A$301,0)))="","（分項工程層）",INDEX(表單!$D$2:$D$301,MATCH($A486,表單!$A$2:$A$301,0))),IFERROR(INDEX($N$2:$N$201,MATCH($A486,$L$2:$L$201,0)),"")))</f>
        <v/>
      </c>
      <c r="D486" s="15">
        <f>IF($A486="","",IF(ISNUMBER(MATCH($A486,表單!$A$2:$A$301,0)),"線上表單",IFERROR(INDEX($O$2:$O$201,MATCH($A486,$L$2:$L$201,0)),"")))</f>
        <v/>
      </c>
      <c r="E486" s="15">
        <f>IF($A486="","",IF(ISNUMBER(MATCH($A486,表單!$A$2:$A$301,0)),"本檔","系統"))</f>
        <v/>
      </c>
      <c r="J486">
        <f>IF(485&lt;=COUNTA($L$2:$L$201),INDEX($L$2:$L$201,485),IFERROR(INDEX(表單!$A$2:$A$301,MATCH(485-COUNTA($L$2:$L$201),$H$2:$H$301,0)),""))</f>
        <v/>
      </c>
    </row>
    <row r="487">
      <c r="A487" s="15">
        <f>IF($J487="","",$J487)</f>
        <v/>
      </c>
      <c r="B487" s="15">
        <f>IF($A487="","",IF(ISNUMBER(MATCH($A487,表單!$A$2:$A$301,0)),INDEX(表單!$B$2:$B$301,MATCH($A487,表單!$A$2:$A$301,0)),IFERROR(INDEX($M$2:$M$201,MATCH($A487,$L$2:$L$201,0)),"")))</f>
        <v/>
      </c>
      <c r="C487" s="15">
        <f>IF($A487="","",IF(ISNUMBER(MATCH($A487,表單!$A$2:$A$301,0)),IF(TRIM(INDEX(表單!$D$2:$D$301,MATCH($A487,表單!$A$2:$A$301,0)))="","（分項工程層）",INDEX(表單!$D$2:$D$301,MATCH($A487,表單!$A$2:$A$301,0))),IFERROR(INDEX($N$2:$N$201,MATCH($A487,$L$2:$L$201,0)),"")))</f>
        <v/>
      </c>
      <c r="D487" s="15">
        <f>IF($A487="","",IF(ISNUMBER(MATCH($A487,表單!$A$2:$A$301,0)),"線上表單",IFERROR(INDEX($O$2:$O$201,MATCH($A487,$L$2:$L$201,0)),"")))</f>
        <v/>
      </c>
      <c r="E487" s="15">
        <f>IF($A487="","",IF(ISNUMBER(MATCH($A487,表單!$A$2:$A$301,0)),"本檔","系統"))</f>
        <v/>
      </c>
      <c r="J487">
        <f>IF(486&lt;=COUNTA($L$2:$L$201),INDEX($L$2:$L$201,486),IFERROR(INDEX(表單!$A$2:$A$301,MATCH(486-COUNTA($L$2:$L$201),$H$2:$H$301,0)),""))</f>
        <v/>
      </c>
    </row>
    <row r="488">
      <c r="A488" s="15">
        <f>IF($J488="","",$J488)</f>
        <v/>
      </c>
      <c r="B488" s="15">
        <f>IF($A488="","",IF(ISNUMBER(MATCH($A488,表單!$A$2:$A$301,0)),INDEX(表單!$B$2:$B$301,MATCH($A488,表單!$A$2:$A$301,0)),IFERROR(INDEX($M$2:$M$201,MATCH($A488,$L$2:$L$201,0)),"")))</f>
        <v/>
      </c>
      <c r="C488" s="15">
        <f>IF($A488="","",IF(ISNUMBER(MATCH($A488,表單!$A$2:$A$301,0)),IF(TRIM(INDEX(表單!$D$2:$D$301,MATCH($A488,表單!$A$2:$A$301,0)))="","（分項工程層）",INDEX(表單!$D$2:$D$301,MATCH($A488,表單!$A$2:$A$301,0))),IFERROR(INDEX($N$2:$N$201,MATCH($A488,$L$2:$L$201,0)),"")))</f>
        <v/>
      </c>
      <c r="D488" s="15">
        <f>IF($A488="","",IF(ISNUMBER(MATCH($A488,表單!$A$2:$A$301,0)),"線上表單",IFERROR(INDEX($O$2:$O$201,MATCH($A488,$L$2:$L$201,0)),"")))</f>
        <v/>
      </c>
      <c r="E488" s="15">
        <f>IF($A488="","",IF(ISNUMBER(MATCH($A488,表單!$A$2:$A$301,0)),"本檔","系統"))</f>
        <v/>
      </c>
      <c r="J488">
        <f>IF(487&lt;=COUNTA($L$2:$L$201),INDEX($L$2:$L$201,487),IFERROR(INDEX(表單!$A$2:$A$301,MATCH(487-COUNTA($L$2:$L$201),$H$2:$H$301,0)),""))</f>
        <v/>
      </c>
    </row>
    <row r="489">
      <c r="A489" s="15">
        <f>IF($J489="","",$J489)</f>
        <v/>
      </c>
      <c r="B489" s="15">
        <f>IF($A489="","",IF(ISNUMBER(MATCH($A489,表單!$A$2:$A$301,0)),INDEX(表單!$B$2:$B$301,MATCH($A489,表單!$A$2:$A$301,0)),IFERROR(INDEX($M$2:$M$201,MATCH($A489,$L$2:$L$201,0)),"")))</f>
        <v/>
      </c>
      <c r="C489" s="15">
        <f>IF($A489="","",IF(ISNUMBER(MATCH($A489,表單!$A$2:$A$301,0)),IF(TRIM(INDEX(表單!$D$2:$D$301,MATCH($A489,表單!$A$2:$A$301,0)))="","（分項工程層）",INDEX(表單!$D$2:$D$301,MATCH($A489,表單!$A$2:$A$301,0))),IFERROR(INDEX($N$2:$N$201,MATCH($A489,$L$2:$L$201,0)),"")))</f>
        <v/>
      </c>
      <c r="D489" s="15">
        <f>IF($A489="","",IF(ISNUMBER(MATCH($A489,表單!$A$2:$A$301,0)),"線上表單",IFERROR(INDEX($O$2:$O$201,MATCH($A489,$L$2:$L$201,0)),"")))</f>
        <v/>
      </c>
      <c r="E489" s="15">
        <f>IF($A489="","",IF(ISNUMBER(MATCH($A489,表單!$A$2:$A$301,0)),"本檔","系統"))</f>
        <v/>
      </c>
      <c r="J489">
        <f>IF(488&lt;=COUNTA($L$2:$L$201),INDEX($L$2:$L$201,488),IFERROR(INDEX(表單!$A$2:$A$301,MATCH(488-COUNTA($L$2:$L$201),$H$2:$H$301,0)),""))</f>
        <v/>
      </c>
    </row>
    <row r="490">
      <c r="A490" s="15">
        <f>IF($J490="","",$J490)</f>
        <v/>
      </c>
      <c r="B490" s="15">
        <f>IF($A490="","",IF(ISNUMBER(MATCH($A490,表單!$A$2:$A$301,0)),INDEX(表單!$B$2:$B$301,MATCH($A490,表單!$A$2:$A$301,0)),IFERROR(INDEX($M$2:$M$201,MATCH($A490,$L$2:$L$201,0)),"")))</f>
        <v/>
      </c>
      <c r="C490" s="15">
        <f>IF($A490="","",IF(ISNUMBER(MATCH($A490,表單!$A$2:$A$301,0)),IF(TRIM(INDEX(表單!$D$2:$D$301,MATCH($A490,表單!$A$2:$A$301,0)))="","（分項工程層）",INDEX(表單!$D$2:$D$301,MATCH($A490,表單!$A$2:$A$301,0))),IFERROR(INDEX($N$2:$N$201,MATCH($A490,$L$2:$L$201,0)),"")))</f>
        <v/>
      </c>
      <c r="D490" s="15">
        <f>IF($A490="","",IF(ISNUMBER(MATCH($A490,表單!$A$2:$A$301,0)),"線上表單",IFERROR(INDEX($O$2:$O$201,MATCH($A490,$L$2:$L$201,0)),"")))</f>
        <v/>
      </c>
      <c r="E490" s="15">
        <f>IF($A490="","",IF(ISNUMBER(MATCH($A490,表單!$A$2:$A$301,0)),"本檔","系統"))</f>
        <v/>
      </c>
      <c r="J490">
        <f>IF(489&lt;=COUNTA($L$2:$L$201),INDEX($L$2:$L$201,489),IFERROR(INDEX(表單!$A$2:$A$301,MATCH(489-COUNTA($L$2:$L$201),$H$2:$H$301,0)),""))</f>
        <v/>
      </c>
    </row>
    <row r="491">
      <c r="A491" s="15">
        <f>IF($J491="","",$J491)</f>
        <v/>
      </c>
      <c r="B491" s="15">
        <f>IF($A491="","",IF(ISNUMBER(MATCH($A491,表單!$A$2:$A$301,0)),INDEX(表單!$B$2:$B$301,MATCH($A491,表單!$A$2:$A$301,0)),IFERROR(INDEX($M$2:$M$201,MATCH($A491,$L$2:$L$201,0)),"")))</f>
        <v/>
      </c>
      <c r="C491" s="15">
        <f>IF($A491="","",IF(ISNUMBER(MATCH($A491,表單!$A$2:$A$301,0)),IF(TRIM(INDEX(表單!$D$2:$D$301,MATCH($A491,表單!$A$2:$A$301,0)))="","（分項工程層）",INDEX(表單!$D$2:$D$301,MATCH($A491,表單!$A$2:$A$301,0))),IFERROR(INDEX($N$2:$N$201,MATCH($A491,$L$2:$L$201,0)),"")))</f>
        <v/>
      </c>
      <c r="D491" s="15">
        <f>IF($A491="","",IF(ISNUMBER(MATCH($A491,表單!$A$2:$A$301,0)),"線上表單",IFERROR(INDEX($O$2:$O$201,MATCH($A491,$L$2:$L$201,0)),"")))</f>
        <v/>
      </c>
      <c r="E491" s="15">
        <f>IF($A491="","",IF(ISNUMBER(MATCH($A491,表單!$A$2:$A$301,0)),"本檔","系統"))</f>
        <v/>
      </c>
      <c r="J491">
        <f>IF(490&lt;=COUNTA($L$2:$L$201),INDEX($L$2:$L$201,490),IFERROR(INDEX(表單!$A$2:$A$301,MATCH(490-COUNTA($L$2:$L$201),$H$2:$H$301,0)),""))</f>
        <v/>
      </c>
    </row>
    <row r="492">
      <c r="A492" s="15">
        <f>IF($J492="","",$J492)</f>
        <v/>
      </c>
      <c r="B492" s="15">
        <f>IF($A492="","",IF(ISNUMBER(MATCH($A492,表單!$A$2:$A$301,0)),INDEX(表單!$B$2:$B$301,MATCH($A492,表單!$A$2:$A$301,0)),IFERROR(INDEX($M$2:$M$201,MATCH($A492,$L$2:$L$201,0)),"")))</f>
        <v/>
      </c>
      <c r="C492" s="15">
        <f>IF($A492="","",IF(ISNUMBER(MATCH($A492,表單!$A$2:$A$301,0)),IF(TRIM(INDEX(表單!$D$2:$D$301,MATCH($A492,表單!$A$2:$A$301,0)))="","（分項工程層）",INDEX(表單!$D$2:$D$301,MATCH($A492,表單!$A$2:$A$301,0))),IFERROR(INDEX($N$2:$N$201,MATCH($A492,$L$2:$L$201,0)),"")))</f>
        <v/>
      </c>
      <c r="D492" s="15">
        <f>IF($A492="","",IF(ISNUMBER(MATCH($A492,表單!$A$2:$A$301,0)),"線上表單",IFERROR(INDEX($O$2:$O$201,MATCH($A492,$L$2:$L$201,0)),"")))</f>
        <v/>
      </c>
      <c r="E492" s="15">
        <f>IF($A492="","",IF(ISNUMBER(MATCH($A492,表單!$A$2:$A$301,0)),"本檔","系統"))</f>
        <v/>
      </c>
      <c r="J492">
        <f>IF(491&lt;=COUNTA($L$2:$L$201),INDEX($L$2:$L$201,491),IFERROR(INDEX(表單!$A$2:$A$301,MATCH(491-COUNTA($L$2:$L$201),$H$2:$H$301,0)),""))</f>
        <v/>
      </c>
    </row>
    <row r="493">
      <c r="A493" s="15">
        <f>IF($J493="","",$J493)</f>
        <v/>
      </c>
      <c r="B493" s="15">
        <f>IF($A493="","",IF(ISNUMBER(MATCH($A493,表單!$A$2:$A$301,0)),INDEX(表單!$B$2:$B$301,MATCH($A493,表單!$A$2:$A$301,0)),IFERROR(INDEX($M$2:$M$201,MATCH($A493,$L$2:$L$201,0)),"")))</f>
        <v/>
      </c>
      <c r="C493" s="15">
        <f>IF($A493="","",IF(ISNUMBER(MATCH($A493,表單!$A$2:$A$301,0)),IF(TRIM(INDEX(表單!$D$2:$D$301,MATCH($A493,表單!$A$2:$A$301,0)))="","（分項工程層）",INDEX(表單!$D$2:$D$301,MATCH($A493,表單!$A$2:$A$301,0))),IFERROR(INDEX($N$2:$N$201,MATCH($A493,$L$2:$L$201,0)),"")))</f>
        <v/>
      </c>
      <c r="D493" s="15">
        <f>IF($A493="","",IF(ISNUMBER(MATCH($A493,表單!$A$2:$A$301,0)),"線上表單",IFERROR(INDEX($O$2:$O$201,MATCH($A493,$L$2:$L$201,0)),"")))</f>
        <v/>
      </c>
      <c r="E493" s="15">
        <f>IF($A493="","",IF(ISNUMBER(MATCH($A493,表單!$A$2:$A$301,0)),"本檔","系統"))</f>
        <v/>
      </c>
      <c r="J493">
        <f>IF(492&lt;=COUNTA($L$2:$L$201),INDEX($L$2:$L$201,492),IFERROR(INDEX(表單!$A$2:$A$301,MATCH(492-COUNTA($L$2:$L$201),$H$2:$H$301,0)),""))</f>
        <v/>
      </c>
    </row>
    <row r="494">
      <c r="A494" s="15">
        <f>IF($J494="","",$J494)</f>
        <v/>
      </c>
      <c r="B494" s="15">
        <f>IF($A494="","",IF(ISNUMBER(MATCH($A494,表單!$A$2:$A$301,0)),INDEX(表單!$B$2:$B$301,MATCH($A494,表單!$A$2:$A$301,0)),IFERROR(INDEX($M$2:$M$201,MATCH($A494,$L$2:$L$201,0)),"")))</f>
        <v/>
      </c>
      <c r="C494" s="15">
        <f>IF($A494="","",IF(ISNUMBER(MATCH($A494,表單!$A$2:$A$301,0)),IF(TRIM(INDEX(表單!$D$2:$D$301,MATCH($A494,表單!$A$2:$A$301,0)))="","（分項工程層）",INDEX(表單!$D$2:$D$301,MATCH($A494,表單!$A$2:$A$301,0))),IFERROR(INDEX($N$2:$N$201,MATCH($A494,$L$2:$L$201,0)),"")))</f>
        <v/>
      </c>
      <c r="D494" s="15">
        <f>IF($A494="","",IF(ISNUMBER(MATCH($A494,表單!$A$2:$A$301,0)),"線上表單",IFERROR(INDEX($O$2:$O$201,MATCH($A494,$L$2:$L$201,0)),"")))</f>
        <v/>
      </c>
      <c r="E494" s="15">
        <f>IF($A494="","",IF(ISNUMBER(MATCH($A494,表單!$A$2:$A$301,0)),"本檔","系統"))</f>
        <v/>
      </c>
      <c r="J494">
        <f>IF(493&lt;=COUNTA($L$2:$L$201),INDEX($L$2:$L$201,493),IFERROR(INDEX(表單!$A$2:$A$301,MATCH(493-COUNTA($L$2:$L$201),$H$2:$H$301,0)),""))</f>
        <v/>
      </c>
    </row>
    <row r="495">
      <c r="A495" s="15">
        <f>IF($J495="","",$J495)</f>
        <v/>
      </c>
      <c r="B495" s="15">
        <f>IF($A495="","",IF(ISNUMBER(MATCH($A495,表單!$A$2:$A$301,0)),INDEX(表單!$B$2:$B$301,MATCH($A495,表單!$A$2:$A$301,0)),IFERROR(INDEX($M$2:$M$201,MATCH($A495,$L$2:$L$201,0)),"")))</f>
        <v/>
      </c>
      <c r="C495" s="15">
        <f>IF($A495="","",IF(ISNUMBER(MATCH($A495,表單!$A$2:$A$301,0)),IF(TRIM(INDEX(表單!$D$2:$D$301,MATCH($A495,表單!$A$2:$A$301,0)))="","（分項工程層）",INDEX(表單!$D$2:$D$301,MATCH($A495,表單!$A$2:$A$301,0))),IFERROR(INDEX($N$2:$N$201,MATCH($A495,$L$2:$L$201,0)),"")))</f>
        <v/>
      </c>
      <c r="D495" s="15">
        <f>IF($A495="","",IF(ISNUMBER(MATCH($A495,表單!$A$2:$A$301,0)),"線上表單",IFERROR(INDEX($O$2:$O$201,MATCH($A495,$L$2:$L$201,0)),"")))</f>
        <v/>
      </c>
      <c r="E495" s="15">
        <f>IF($A495="","",IF(ISNUMBER(MATCH($A495,表單!$A$2:$A$301,0)),"本檔","系統"))</f>
        <v/>
      </c>
      <c r="J495">
        <f>IF(494&lt;=COUNTA($L$2:$L$201),INDEX($L$2:$L$201,494),IFERROR(INDEX(表單!$A$2:$A$301,MATCH(494-COUNTA($L$2:$L$201),$H$2:$H$301,0)),""))</f>
        <v/>
      </c>
    </row>
    <row r="496">
      <c r="A496" s="15">
        <f>IF($J496="","",$J496)</f>
        <v/>
      </c>
      <c r="B496" s="15">
        <f>IF($A496="","",IF(ISNUMBER(MATCH($A496,表單!$A$2:$A$301,0)),INDEX(表單!$B$2:$B$301,MATCH($A496,表單!$A$2:$A$301,0)),IFERROR(INDEX($M$2:$M$201,MATCH($A496,$L$2:$L$201,0)),"")))</f>
        <v/>
      </c>
      <c r="C496" s="15">
        <f>IF($A496="","",IF(ISNUMBER(MATCH($A496,表單!$A$2:$A$301,0)),IF(TRIM(INDEX(表單!$D$2:$D$301,MATCH($A496,表單!$A$2:$A$301,0)))="","（分項工程層）",INDEX(表單!$D$2:$D$301,MATCH($A496,表單!$A$2:$A$301,0))),IFERROR(INDEX($N$2:$N$201,MATCH($A496,$L$2:$L$201,0)),"")))</f>
        <v/>
      </c>
      <c r="D496" s="15">
        <f>IF($A496="","",IF(ISNUMBER(MATCH($A496,表單!$A$2:$A$301,0)),"線上表單",IFERROR(INDEX($O$2:$O$201,MATCH($A496,$L$2:$L$201,0)),"")))</f>
        <v/>
      </c>
      <c r="E496" s="15">
        <f>IF($A496="","",IF(ISNUMBER(MATCH($A496,表單!$A$2:$A$301,0)),"本檔","系統"))</f>
        <v/>
      </c>
      <c r="J496">
        <f>IF(495&lt;=COUNTA($L$2:$L$201),INDEX($L$2:$L$201,495),IFERROR(INDEX(表單!$A$2:$A$301,MATCH(495-COUNTA($L$2:$L$201),$H$2:$H$301,0)),""))</f>
        <v/>
      </c>
    </row>
    <row r="497">
      <c r="A497" s="15">
        <f>IF($J497="","",$J497)</f>
        <v/>
      </c>
      <c r="B497" s="15">
        <f>IF($A497="","",IF(ISNUMBER(MATCH($A497,表單!$A$2:$A$301,0)),INDEX(表單!$B$2:$B$301,MATCH($A497,表單!$A$2:$A$301,0)),IFERROR(INDEX($M$2:$M$201,MATCH($A497,$L$2:$L$201,0)),"")))</f>
        <v/>
      </c>
      <c r="C497" s="15">
        <f>IF($A497="","",IF(ISNUMBER(MATCH($A497,表單!$A$2:$A$301,0)),IF(TRIM(INDEX(表單!$D$2:$D$301,MATCH($A497,表單!$A$2:$A$301,0)))="","（分項工程層）",INDEX(表單!$D$2:$D$301,MATCH($A497,表單!$A$2:$A$301,0))),IFERROR(INDEX($N$2:$N$201,MATCH($A497,$L$2:$L$201,0)),"")))</f>
        <v/>
      </c>
      <c r="D497" s="15">
        <f>IF($A497="","",IF(ISNUMBER(MATCH($A497,表單!$A$2:$A$301,0)),"線上表單",IFERROR(INDEX($O$2:$O$201,MATCH($A497,$L$2:$L$201,0)),"")))</f>
        <v/>
      </c>
      <c r="E497" s="15">
        <f>IF($A497="","",IF(ISNUMBER(MATCH($A497,表單!$A$2:$A$301,0)),"本檔","系統"))</f>
        <v/>
      </c>
      <c r="J497">
        <f>IF(496&lt;=COUNTA($L$2:$L$201),INDEX($L$2:$L$201,496),IFERROR(INDEX(表單!$A$2:$A$301,MATCH(496-COUNTA($L$2:$L$201),$H$2:$H$301,0)),""))</f>
        <v/>
      </c>
    </row>
    <row r="498">
      <c r="A498" s="15">
        <f>IF($J498="","",$J498)</f>
        <v/>
      </c>
      <c r="B498" s="15">
        <f>IF($A498="","",IF(ISNUMBER(MATCH($A498,表單!$A$2:$A$301,0)),INDEX(表單!$B$2:$B$301,MATCH($A498,表單!$A$2:$A$301,0)),IFERROR(INDEX($M$2:$M$201,MATCH($A498,$L$2:$L$201,0)),"")))</f>
        <v/>
      </c>
      <c r="C498" s="15">
        <f>IF($A498="","",IF(ISNUMBER(MATCH($A498,表單!$A$2:$A$301,0)),IF(TRIM(INDEX(表單!$D$2:$D$301,MATCH($A498,表單!$A$2:$A$301,0)))="","（分項工程層）",INDEX(表單!$D$2:$D$301,MATCH($A498,表單!$A$2:$A$301,0))),IFERROR(INDEX($N$2:$N$201,MATCH($A498,$L$2:$L$201,0)),"")))</f>
        <v/>
      </c>
      <c r="D498" s="15">
        <f>IF($A498="","",IF(ISNUMBER(MATCH($A498,表單!$A$2:$A$301,0)),"線上表單",IFERROR(INDEX($O$2:$O$201,MATCH($A498,$L$2:$L$201,0)),"")))</f>
        <v/>
      </c>
      <c r="E498" s="15">
        <f>IF($A498="","",IF(ISNUMBER(MATCH($A498,表單!$A$2:$A$301,0)),"本檔","系統"))</f>
        <v/>
      </c>
      <c r="J498">
        <f>IF(497&lt;=COUNTA($L$2:$L$201),INDEX($L$2:$L$201,497),IFERROR(INDEX(表單!$A$2:$A$301,MATCH(497-COUNTA($L$2:$L$201),$H$2:$H$301,0)),""))</f>
        <v/>
      </c>
    </row>
    <row r="499">
      <c r="A499" s="15">
        <f>IF($J499="","",$J499)</f>
        <v/>
      </c>
      <c r="B499" s="15">
        <f>IF($A499="","",IF(ISNUMBER(MATCH($A499,表單!$A$2:$A$301,0)),INDEX(表單!$B$2:$B$301,MATCH($A499,表單!$A$2:$A$301,0)),IFERROR(INDEX($M$2:$M$201,MATCH($A499,$L$2:$L$201,0)),"")))</f>
        <v/>
      </c>
      <c r="C499" s="15">
        <f>IF($A499="","",IF(ISNUMBER(MATCH($A499,表單!$A$2:$A$301,0)),IF(TRIM(INDEX(表單!$D$2:$D$301,MATCH($A499,表單!$A$2:$A$301,0)))="","（分項工程層）",INDEX(表單!$D$2:$D$301,MATCH($A499,表單!$A$2:$A$301,0))),IFERROR(INDEX($N$2:$N$201,MATCH($A499,$L$2:$L$201,0)),"")))</f>
        <v/>
      </c>
      <c r="D499" s="15">
        <f>IF($A499="","",IF(ISNUMBER(MATCH($A499,表單!$A$2:$A$301,0)),"線上表單",IFERROR(INDEX($O$2:$O$201,MATCH($A499,$L$2:$L$201,0)),"")))</f>
        <v/>
      </c>
      <c r="E499" s="15">
        <f>IF($A499="","",IF(ISNUMBER(MATCH($A499,表單!$A$2:$A$301,0)),"本檔","系統"))</f>
        <v/>
      </c>
      <c r="J499">
        <f>IF(498&lt;=COUNTA($L$2:$L$201),INDEX($L$2:$L$201,498),IFERROR(INDEX(表單!$A$2:$A$301,MATCH(498-COUNTA($L$2:$L$201),$H$2:$H$301,0)),""))</f>
        <v/>
      </c>
    </row>
    <row r="500">
      <c r="A500" s="15">
        <f>IF($J500="","",$J500)</f>
        <v/>
      </c>
      <c r="B500" s="15">
        <f>IF($A500="","",IF(ISNUMBER(MATCH($A500,表單!$A$2:$A$301,0)),INDEX(表單!$B$2:$B$301,MATCH($A500,表單!$A$2:$A$301,0)),IFERROR(INDEX($M$2:$M$201,MATCH($A500,$L$2:$L$201,0)),"")))</f>
        <v/>
      </c>
      <c r="C500" s="15">
        <f>IF($A500="","",IF(ISNUMBER(MATCH($A500,表單!$A$2:$A$301,0)),IF(TRIM(INDEX(表單!$D$2:$D$301,MATCH($A500,表單!$A$2:$A$301,0)))="","（分項工程層）",INDEX(表單!$D$2:$D$301,MATCH($A500,表單!$A$2:$A$301,0))),IFERROR(INDEX($N$2:$N$201,MATCH($A500,$L$2:$L$201,0)),"")))</f>
        <v/>
      </c>
      <c r="D500" s="15">
        <f>IF($A500="","",IF(ISNUMBER(MATCH($A500,表單!$A$2:$A$301,0)),"線上表單",IFERROR(INDEX($O$2:$O$201,MATCH($A500,$L$2:$L$201,0)),"")))</f>
        <v/>
      </c>
      <c r="E500" s="15">
        <f>IF($A500="","",IF(ISNUMBER(MATCH($A500,表單!$A$2:$A$301,0)),"本檔","系統"))</f>
        <v/>
      </c>
      <c r="J500">
        <f>IF(499&lt;=COUNTA($L$2:$L$201),INDEX($L$2:$L$201,499),IFERROR(INDEX(表單!$A$2:$A$301,MATCH(499-COUNTA($L$2:$L$201),$H$2:$H$301,0)),""))</f>
        <v/>
      </c>
    </row>
    <row r="501">
      <c r="A501" s="15">
        <f>IF($J501="","",$J501)</f>
        <v/>
      </c>
      <c r="B501" s="15">
        <f>IF($A501="","",IF(ISNUMBER(MATCH($A501,表單!$A$2:$A$301,0)),INDEX(表單!$B$2:$B$301,MATCH($A501,表單!$A$2:$A$301,0)),IFERROR(INDEX($M$2:$M$201,MATCH($A501,$L$2:$L$201,0)),"")))</f>
        <v/>
      </c>
      <c r="C501" s="15">
        <f>IF($A501="","",IF(ISNUMBER(MATCH($A501,表單!$A$2:$A$301,0)),IF(TRIM(INDEX(表單!$D$2:$D$301,MATCH($A501,表單!$A$2:$A$301,0)))="","（分項工程層）",INDEX(表單!$D$2:$D$301,MATCH($A501,表單!$A$2:$A$301,0))),IFERROR(INDEX($N$2:$N$201,MATCH($A501,$L$2:$L$201,0)),"")))</f>
        <v/>
      </c>
      <c r="D501" s="15">
        <f>IF($A501="","",IF(ISNUMBER(MATCH($A501,表單!$A$2:$A$301,0)),"線上表單",IFERROR(INDEX($O$2:$O$201,MATCH($A501,$L$2:$L$201,0)),"")))</f>
        <v/>
      </c>
      <c r="E501" s="15">
        <f>IF($A501="","",IF(ISNUMBER(MATCH($A501,表單!$A$2:$A$301,0)),"本檔","系統"))</f>
        <v/>
      </c>
      <c r="J501">
        <f>IF(500&lt;=COUNTA($L$2:$L$201),INDEX($L$2:$L$201,500),IFERROR(INDEX(表單!$A$2:$A$301,MATCH(500-COUNTA($L$2:$L$201),$H$2:$H$301,0)),""))</f>
        <v/>
      </c>
    </row>
  </sheetData>
  <autoFilter ref="A1:E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8C8C8C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hidden="1" width="13" customWidth="1" min="8" max="8"/>
  </cols>
  <sheetData>
    <row r="1">
      <c r="A1" s="16" t="inlineStr">
        <is>
          <t>表單類型</t>
        </is>
      </c>
      <c r="B1" s="16" t="inlineStr">
        <is>
          <t>預設階段</t>
        </is>
      </c>
      <c r="C1" s="16" t="inlineStr">
        <is>
          <t>判定類型</t>
        </is>
      </c>
      <c r="D1" s="16" t="inlineStr">
        <is>
          <t>是否</t>
        </is>
      </c>
      <c r="E1" s="16" t="inlineStr">
        <is>
          <t>參考文件編號（系統現有）</t>
        </is>
      </c>
      <c r="H1" s="17" t="inlineStr"/>
    </row>
    <row r="2">
      <c r="A2" s="18" t="inlineStr">
        <is>
          <t>自主檢查表</t>
        </is>
      </c>
      <c r="B2" s="18" t="inlineStr">
        <is>
          <t>施工前</t>
        </is>
      </c>
      <c r="C2" s="18" t="inlineStr">
        <is>
          <t>選項</t>
        </is>
      </c>
      <c r="D2" s="18" t="inlineStr">
        <is>
          <t>Y</t>
        </is>
      </c>
      <c r="E2" s="18" t="inlineStr">
        <is>
          <t>CF671-DW-0101</t>
        </is>
      </c>
      <c r="H2" s="19" t="inlineStr"/>
    </row>
    <row r="3">
      <c r="A3" s="18" t="inlineStr">
        <is>
          <t>抽查紀錄表</t>
        </is>
      </c>
      <c r="B3" s="18" t="inlineStr">
        <is>
          <t>施工中</t>
        </is>
      </c>
      <c r="C3" s="18" t="inlineStr">
        <is>
          <t>數值</t>
        </is>
      </c>
      <c r="D3" s="18" t="inlineStr">
        <is>
          <t>N</t>
        </is>
      </c>
      <c r="E3" s="18" t="inlineStr">
        <is>
          <t>CF671-PL-0032</t>
        </is>
      </c>
      <c r="H3" s="20" t="inlineStr"/>
    </row>
    <row r="4">
      <c r="B4" s="18" t="inlineStr">
        <is>
          <t>施工後</t>
        </is>
      </c>
      <c r="C4" s="18" t="inlineStr">
        <is>
          <t>照片</t>
        </is>
      </c>
      <c r="E4" s="18" t="inlineStr">
        <is>
          <t>CF671-SP-0005</t>
        </is>
      </c>
    </row>
    <row r="5">
      <c r="C5" s="18" t="inlineStr">
        <is>
          <t>文字</t>
        </is>
      </c>
      <c r="E5" s="18" t="inlineStr">
        <is>
          <t>CF671-SP-0007</t>
        </is>
      </c>
    </row>
    <row r="6">
      <c r="C6" s="18" t="inlineStr">
        <is>
          <t>連結表單</t>
        </is>
      </c>
    </row>
    <row r="9">
      <c r="A9" s="21" t="inlineStr">
        <is>
          <t>判定類型說明</t>
        </is>
      </c>
    </row>
    <row r="10">
      <c r="A10" s="8" t="inlineStr">
        <is>
          <t>選項</t>
        </is>
      </c>
      <c r="B10" s="8" t="inlineStr">
        <is>
          <t>現場判定 ○ 合格／╳ 缺失／╱ 無此項</t>
        </is>
      </c>
    </row>
    <row r="11">
      <c r="A11" s="8" t="inlineStr">
        <is>
          <t>數值</t>
        </is>
      </c>
      <c r="B11" s="8" t="inlineStr">
        <is>
          <t>填量測值，依「數值欄位」上下限自動建議判定</t>
        </is>
      </c>
    </row>
    <row r="12">
      <c r="A12" s="8" t="inlineStr">
        <is>
          <t>照片</t>
        </is>
      </c>
      <c r="B12" s="8" t="inlineStr">
        <is>
          <t>必須拍照佐證</t>
        </is>
      </c>
    </row>
    <row r="13">
      <c r="A13" s="8" t="inlineStr">
        <is>
          <t>文字</t>
        </is>
      </c>
      <c r="B13" s="8" t="inlineStr">
        <is>
          <t>填文字說明</t>
        </is>
      </c>
    </row>
    <row r="14">
      <c r="A14" s="8" t="inlineStr">
        <is>
          <t>連結表單</t>
        </is>
      </c>
      <c r="B14" s="8" t="inlineStr">
        <is>
          <t>引用另一張自主檢查表，需填連結表號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2026-10-15T10:10:12Z</dcterms:created>
  <dcterms:modified xmlns:dcterms="http://purl.org/dc/terms/" xmlns:xsi="http://www.w3.org/2001/XMLSchema-instance" xsi:type="dcterms:W3CDTF">2026-10-15T10:10:12Z</dcterms:modified>
</cp:coreProperties>
</file>